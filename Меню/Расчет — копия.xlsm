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rutkovskaya\аа\Кворк\Меню\"/>
    </mc:Choice>
  </mc:AlternateContent>
  <xr:revisionPtr revIDLastSave="0" documentId="13_ncr:1_{C8F5718B-E934-4C0E-B467-06D58BEAA83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Обложка" sheetId="1" r:id="rId1"/>
    <sheet name="Лист3 учет" sheetId="2" r:id="rId2"/>
    <sheet name="Меню" sheetId="5" r:id="rId3"/>
    <sheet name="Акт Пн" sheetId="6" r:id="rId4"/>
    <sheet name="Акт Вт" sheetId="9" r:id="rId5"/>
    <sheet name="Акт Ср" sheetId="10" r:id="rId6"/>
    <sheet name="инфо" sheetId="3" r:id="rId7"/>
    <sheet name="Сводная ведомость" sheetId="7" r:id="rId8"/>
    <sheet name="Лист3 печать" sheetId="4" r:id="rId9"/>
  </sheets>
  <definedNames>
    <definedName name="_xlnm._FilterDatabase" localSheetId="6" hidden="1">инфо!$A$1:$Q$1</definedName>
    <definedName name="_xlnm._FilterDatabase" localSheetId="1" hidden="1">'Лист3 учет'!$A$1:$P$335</definedName>
    <definedName name="ДатаНачала">Меню!$BD$4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4" i="10" l="1"/>
  <c r="G104" i="10"/>
  <c r="F104" i="10"/>
  <c r="E104" i="10"/>
  <c r="D104" i="10"/>
  <c r="H103" i="10"/>
  <c r="G103" i="10"/>
  <c r="F103" i="10"/>
  <c r="E103" i="10"/>
  <c r="D103" i="10"/>
  <c r="H102" i="10"/>
  <c r="G102" i="10"/>
  <c r="F102" i="10"/>
  <c r="E102" i="10"/>
  <c r="D102" i="10"/>
  <c r="H101" i="10"/>
  <c r="G101" i="10"/>
  <c r="F101" i="10"/>
  <c r="E101" i="10"/>
  <c r="D101" i="10"/>
  <c r="H100" i="10"/>
  <c r="G100" i="10"/>
  <c r="F100" i="10"/>
  <c r="E100" i="10"/>
  <c r="D100" i="10"/>
  <c r="H99" i="10"/>
  <c r="G99" i="10"/>
  <c r="F99" i="10"/>
  <c r="E99" i="10"/>
  <c r="D99" i="10"/>
  <c r="H98" i="10"/>
  <c r="G98" i="10"/>
  <c r="F98" i="10"/>
  <c r="E98" i="10"/>
  <c r="D98" i="10"/>
  <c r="H97" i="10"/>
  <c r="G97" i="10"/>
  <c r="F97" i="10"/>
  <c r="E97" i="10"/>
  <c r="D97" i="10"/>
  <c r="H96" i="10"/>
  <c r="G96" i="10"/>
  <c r="F96" i="10"/>
  <c r="E96" i="10"/>
  <c r="D96" i="10"/>
  <c r="H95" i="10"/>
  <c r="G95" i="10"/>
  <c r="F95" i="10"/>
  <c r="E95" i="10"/>
  <c r="D95" i="10"/>
  <c r="H94" i="10"/>
  <c r="G94" i="10"/>
  <c r="F94" i="10"/>
  <c r="E94" i="10"/>
  <c r="D94" i="10"/>
  <c r="H93" i="10"/>
  <c r="G93" i="10"/>
  <c r="F93" i="10"/>
  <c r="E93" i="10"/>
  <c r="D93" i="10"/>
  <c r="H92" i="10"/>
  <c r="G92" i="10"/>
  <c r="F92" i="10"/>
  <c r="E92" i="10"/>
  <c r="D92" i="10"/>
  <c r="H91" i="10"/>
  <c r="G91" i="10"/>
  <c r="F91" i="10"/>
  <c r="E91" i="10"/>
  <c r="D91" i="10"/>
  <c r="H90" i="10"/>
  <c r="G90" i="10"/>
  <c r="F90" i="10"/>
  <c r="E90" i="10"/>
  <c r="D90" i="10"/>
  <c r="H89" i="10"/>
  <c r="G89" i="10"/>
  <c r="F89" i="10"/>
  <c r="E89" i="10"/>
  <c r="D89" i="10"/>
  <c r="H88" i="10"/>
  <c r="G88" i="10"/>
  <c r="F88" i="10"/>
  <c r="E88" i="10"/>
  <c r="D88" i="10"/>
  <c r="H87" i="10"/>
  <c r="G87" i="10"/>
  <c r="F87" i="10"/>
  <c r="E87" i="10"/>
  <c r="D87" i="10"/>
  <c r="H86" i="10"/>
  <c r="G86" i="10"/>
  <c r="F86" i="10"/>
  <c r="E86" i="10"/>
  <c r="D86" i="10"/>
  <c r="H85" i="10"/>
  <c r="G85" i="10"/>
  <c r="F85" i="10"/>
  <c r="E85" i="10"/>
  <c r="D85" i="10"/>
  <c r="H84" i="10"/>
  <c r="G84" i="10"/>
  <c r="F84" i="10"/>
  <c r="E84" i="10"/>
  <c r="D84" i="10"/>
  <c r="H83" i="10"/>
  <c r="G83" i="10"/>
  <c r="F83" i="10"/>
  <c r="E83" i="10"/>
  <c r="D83" i="10"/>
  <c r="H82" i="10"/>
  <c r="G82" i="10"/>
  <c r="F82" i="10"/>
  <c r="E82" i="10"/>
  <c r="D82" i="10"/>
  <c r="H81" i="10"/>
  <c r="G81" i="10"/>
  <c r="F81" i="10"/>
  <c r="E81" i="10"/>
  <c r="D81" i="10"/>
  <c r="H80" i="10"/>
  <c r="G80" i="10"/>
  <c r="F80" i="10"/>
  <c r="E80" i="10"/>
  <c r="D80" i="10"/>
  <c r="H79" i="10"/>
  <c r="G79" i="10"/>
  <c r="F79" i="10"/>
  <c r="E79" i="10"/>
  <c r="D79" i="10"/>
  <c r="H78" i="10"/>
  <c r="G78" i="10"/>
  <c r="F78" i="10"/>
  <c r="E78" i="10"/>
  <c r="D78" i="10"/>
  <c r="H77" i="10"/>
  <c r="G77" i="10"/>
  <c r="F77" i="10"/>
  <c r="E77" i="10"/>
  <c r="D77" i="10"/>
  <c r="H76" i="10"/>
  <c r="G76" i="10"/>
  <c r="F76" i="10"/>
  <c r="E76" i="10"/>
  <c r="D76" i="10"/>
  <c r="H75" i="10"/>
  <c r="G75" i="10"/>
  <c r="F75" i="10"/>
  <c r="E75" i="10"/>
  <c r="D75" i="10"/>
  <c r="H74" i="10"/>
  <c r="G74" i="10"/>
  <c r="F74" i="10"/>
  <c r="E74" i="10"/>
  <c r="D74" i="10"/>
  <c r="H73" i="10"/>
  <c r="G73" i="10"/>
  <c r="F73" i="10"/>
  <c r="E73" i="10"/>
  <c r="D73" i="10"/>
  <c r="H72" i="10"/>
  <c r="G72" i="10"/>
  <c r="F72" i="10"/>
  <c r="E72" i="10"/>
  <c r="D72" i="10"/>
  <c r="H71" i="10"/>
  <c r="G71" i="10"/>
  <c r="F71" i="10"/>
  <c r="E71" i="10"/>
  <c r="D71" i="10"/>
  <c r="H70" i="10"/>
  <c r="G70" i="10"/>
  <c r="F70" i="10"/>
  <c r="E70" i="10"/>
  <c r="D70" i="10"/>
  <c r="H69" i="10"/>
  <c r="G69" i="10"/>
  <c r="F69" i="10"/>
  <c r="E69" i="10"/>
  <c r="D69" i="10"/>
  <c r="H68" i="10"/>
  <c r="G68" i="10"/>
  <c r="F68" i="10"/>
  <c r="E68" i="10"/>
  <c r="D68" i="10"/>
  <c r="H67" i="10"/>
  <c r="G67" i="10"/>
  <c r="F67" i="10"/>
  <c r="E67" i="10"/>
  <c r="D67" i="10"/>
  <c r="H66" i="10"/>
  <c r="G66" i="10"/>
  <c r="F66" i="10"/>
  <c r="E66" i="10"/>
  <c r="D66" i="10"/>
  <c r="H65" i="10"/>
  <c r="G65" i="10"/>
  <c r="F65" i="10"/>
  <c r="E65" i="10"/>
  <c r="D65" i="10"/>
  <c r="H64" i="10"/>
  <c r="G64" i="10"/>
  <c r="F64" i="10"/>
  <c r="E64" i="10"/>
  <c r="D64" i="10"/>
  <c r="H63" i="10"/>
  <c r="G63" i="10"/>
  <c r="F63" i="10"/>
  <c r="E63" i="10"/>
  <c r="D63" i="10"/>
  <c r="H62" i="10"/>
  <c r="G62" i="10"/>
  <c r="F62" i="10"/>
  <c r="E62" i="10"/>
  <c r="D62" i="10"/>
  <c r="H61" i="10"/>
  <c r="G61" i="10"/>
  <c r="F61" i="10"/>
  <c r="E61" i="10"/>
  <c r="D61" i="10"/>
  <c r="H60" i="10"/>
  <c r="G60" i="10"/>
  <c r="F60" i="10"/>
  <c r="E60" i="10"/>
  <c r="D60" i="10"/>
  <c r="H59" i="10"/>
  <c r="G59" i="10"/>
  <c r="F59" i="10"/>
  <c r="E59" i="10"/>
  <c r="D59" i="10"/>
  <c r="H58" i="10"/>
  <c r="G58" i="10"/>
  <c r="F58" i="10"/>
  <c r="E58" i="10"/>
  <c r="D58" i="10"/>
  <c r="H57" i="10"/>
  <c r="G57" i="10"/>
  <c r="F57" i="10"/>
  <c r="E57" i="10"/>
  <c r="D57" i="10"/>
  <c r="H56" i="10"/>
  <c r="G56" i="10"/>
  <c r="F56" i="10"/>
  <c r="E56" i="10"/>
  <c r="D56" i="10"/>
  <c r="H55" i="10"/>
  <c r="G55" i="10"/>
  <c r="F55" i="10"/>
  <c r="E55" i="10"/>
  <c r="D55" i="10"/>
  <c r="H54" i="10"/>
  <c r="G54" i="10"/>
  <c r="F54" i="10"/>
  <c r="E54" i="10"/>
  <c r="D54" i="10"/>
  <c r="H53" i="10"/>
  <c r="G53" i="10"/>
  <c r="F53" i="10"/>
  <c r="E53" i="10"/>
  <c r="D53" i="10"/>
  <c r="H52" i="10"/>
  <c r="G52" i="10"/>
  <c r="F52" i="10"/>
  <c r="E52" i="10"/>
  <c r="D52" i="10"/>
  <c r="H51" i="10"/>
  <c r="G51" i="10"/>
  <c r="F51" i="10"/>
  <c r="E51" i="10"/>
  <c r="D51" i="10"/>
  <c r="H50" i="10"/>
  <c r="G50" i="10"/>
  <c r="F50" i="10"/>
  <c r="E50" i="10"/>
  <c r="D50" i="10"/>
  <c r="H49" i="10"/>
  <c r="G49" i="10"/>
  <c r="F49" i="10"/>
  <c r="E49" i="10"/>
  <c r="D49" i="10"/>
  <c r="H48" i="10"/>
  <c r="G48" i="10"/>
  <c r="F48" i="10"/>
  <c r="E48" i="10"/>
  <c r="D48" i="10"/>
  <c r="H47" i="10"/>
  <c r="G47" i="10"/>
  <c r="F47" i="10"/>
  <c r="E47" i="10"/>
  <c r="D47" i="10"/>
  <c r="H46" i="10"/>
  <c r="G46" i="10"/>
  <c r="F46" i="10"/>
  <c r="E46" i="10"/>
  <c r="D46" i="10"/>
  <c r="H45" i="10"/>
  <c r="G45" i="10"/>
  <c r="F45" i="10"/>
  <c r="E45" i="10"/>
  <c r="D45" i="10"/>
  <c r="H44" i="10"/>
  <c r="G44" i="10"/>
  <c r="F44" i="10"/>
  <c r="E44" i="10"/>
  <c r="D44" i="10"/>
  <c r="H43" i="10"/>
  <c r="G43" i="10"/>
  <c r="F43" i="10"/>
  <c r="E43" i="10"/>
  <c r="D43" i="10"/>
  <c r="H42" i="10"/>
  <c r="G42" i="10"/>
  <c r="F42" i="10"/>
  <c r="E42" i="10"/>
  <c r="D42" i="10"/>
  <c r="H41" i="10"/>
  <c r="G41" i="10"/>
  <c r="F41" i="10"/>
  <c r="E41" i="10"/>
  <c r="D41" i="10"/>
  <c r="H40" i="10"/>
  <c r="G40" i="10"/>
  <c r="F40" i="10"/>
  <c r="E40" i="10"/>
  <c r="D40" i="10"/>
  <c r="H39" i="10"/>
  <c r="G39" i="10"/>
  <c r="F39" i="10"/>
  <c r="E39" i="10"/>
  <c r="D39" i="10"/>
  <c r="H38" i="10"/>
  <c r="G38" i="10"/>
  <c r="F38" i="10"/>
  <c r="E38" i="10"/>
  <c r="D38" i="10"/>
  <c r="H37" i="10"/>
  <c r="G37" i="10"/>
  <c r="F37" i="10"/>
  <c r="E37" i="10"/>
  <c r="D37" i="10"/>
  <c r="H36" i="10"/>
  <c r="G36" i="10"/>
  <c r="F36" i="10"/>
  <c r="E36" i="10"/>
  <c r="D36" i="10"/>
  <c r="H35" i="10"/>
  <c r="G35" i="10"/>
  <c r="F35" i="10"/>
  <c r="E35" i="10"/>
  <c r="D35" i="10"/>
  <c r="H34" i="10"/>
  <c r="G34" i="10"/>
  <c r="F34" i="10"/>
  <c r="E34" i="10"/>
  <c r="D34" i="10"/>
  <c r="H33" i="10"/>
  <c r="G33" i="10"/>
  <c r="F33" i="10"/>
  <c r="E33" i="10"/>
  <c r="D33" i="10"/>
  <c r="H32" i="10"/>
  <c r="G32" i="10"/>
  <c r="F32" i="10"/>
  <c r="E32" i="10"/>
  <c r="D32" i="10"/>
  <c r="H31" i="10"/>
  <c r="G31" i="10"/>
  <c r="F31" i="10"/>
  <c r="E31" i="10"/>
  <c r="D31" i="10"/>
  <c r="H30" i="10"/>
  <c r="G30" i="10"/>
  <c r="F30" i="10"/>
  <c r="E30" i="10"/>
  <c r="D30" i="10"/>
  <c r="H29" i="10"/>
  <c r="G29" i="10"/>
  <c r="F29" i="10"/>
  <c r="E29" i="10"/>
  <c r="D29" i="10"/>
  <c r="H28" i="10"/>
  <c r="G28" i="10"/>
  <c r="F28" i="10"/>
  <c r="E28" i="10"/>
  <c r="D28" i="10"/>
  <c r="H27" i="10"/>
  <c r="G27" i="10"/>
  <c r="F27" i="10"/>
  <c r="E27" i="10"/>
  <c r="D27" i="10"/>
  <c r="H26" i="10"/>
  <c r="G26" i="10"/>
  <c r="F26" i="10"/>
  <c r="E26" i="10"/>
  <c r="D26" i="10"/>
  <c r="H25" i="10"/>
  <c r="G25" i="10"/>
  <c r="F25" i="10"/>
  <c r="E25" i="10"/>
  <c r="D25" i="10"/>
  <c r="H24" i="10"/>
  <c r="G24" i="10"/>
  <c r="F24" i="10"/>
  <c r="E24" i="10"/>
  <c r="D24" i="10"/>
  <c r="H23" i="10"/>
  <c r="G23" i="10"/>
  <c r="F23" i="10"/>
  <c r="E23" i="10"/>
  <c r="D23" i="10"/>
  <c r="H22" i="10"/>
  <c r="G22" i="10"/>
  <c r="F22" i="10"/>
  <c r="E22" i="10"/>
  <c r="D22" i="10"/>
  <c r="H21" i="10"/>
  <c r="G21" i="10"/>
  <c r="F21" i="10"/>
  <c r="E21" i="10"/>
  <c r="D21" i="10"/>
  <c r="H20" i="10"/>
  <c r="G20" i="10"/>
  <c r="F20" i="10"/>
  <c r="E20" i="10"/>
  <c r="D20" i="10"/>
  <c r="H19" i="10"/>
  <c r="G19" i="10"/>
  <c r="F19" i="10"/>
  <c r="E19" i="10"/>
  <c r="D19" i="10"/>
  <c r="H18" i="10"/>
  <c r="G18" i="10"/>
  <c r="F18" i="10"/>
  <c r="E18" i="10"/>
  <c r="D18" i="10"/>
  <c r="H17" i="10"/>
  <c r="G17" i="10"/>
  <c r="F17" i="10"/>
  <c r="E17" i="10"/>
  <c r="D17" i="10"/>
  <c r="H16" i="10"/>
  <c r="G16" i="10"/>
  <c r="F16" i="10"/>
  <c r="E16" i="10"/>
  <c r="D16" i="10"/>
  <c r="H15" i="10"/>
  <c r="G15" i="10"/>
  <c r="F15" i="10"/>
  <c r="E15" i="10"/>
  <c r="D15" i="10"/>
  <c r="H14" i="10"/>
  <c r="G14" i="10"/>
  <c r="F14" i="10"/>
  <c r="E14" i="10"/>
  <c r="D14" i="10"/>
  <c r="H13" i="10"/>
  <c r="G13" i="10"/>
  <c r="F13" i="10"/>
  <c r="E13" i="10"/>
  <c r="D13" i="10"/>
  <c r="K9" i="10"/>
  <c r="J9" i="10"/>
  <c r="K8" i="10"/>
  <c r="J8" i="10"/>
  <c r="K7" i="10"/>
  <c r="J7" i="10"/>
  <c r="K6" i="10"/>
  <c r="J6" i="10"/>
  <c r="E4" i="10"/>
  <c r="E4" i="9"/>
  <c r="H104" i="9"/>
  <c r="H103" i="9"/>
  <c r="H102" i="9"/>
  <c r="H101" i="9"/>
  <c r="H100" i="9"/>
  <c r="H99" i="9"/>
  <c r="H98" i="9"/>
  <c r="H97" i="9"/>
  <c r="H96" i="9"/>
  <c r="H95" i="9"/>
  <c r="H94" i="9"/>
  <c r="H93" i="9"/>
  <c r="H92" i="9"/>
  <c r="H91" i="9"/>
  <c r="H90" i="9"/>
  <c r="H89" i="9"/>
  <c r="H88" i="9"/>
  <c r="H87" i="9"/>
  <c r="H86" i="9"/>
  <c r="H85" i="9"/>
  <c r="H84" i="9"/>
  <c r="H83" i="9"/>
  <c r="H82" i="9"/>
  <c r="H81" i="9"/>
  <c r="H80" i="9"/>
  <c r="H79" i="9"/>
  <c r="H78" i="9"/>
  <c r="H77" i="9"/>
  <c r="H76" i="9"/>
  <c r="H75" i="9"/>
  <c r="H74" i="9"/>
  <c r="H73" i="9"/>
  <c r="H72" i="9"/>
  <c r="H71" i="9"/>
  <c r="H70" i="9"/>
  <c r="H69" i="9"/>
  <c r="H68" i="9"/>
  <c r="H67" i="9"/>
  <c r="H66" i="9"/>
  <c r="H65" i="9"/>
  <c r="H64" i="9"/>
  <c r="H63" i="9"/>
  <c r="H62" i="9"/>
  <c r="H61" i="9"/>
  <c r="H60" i="9"/>
  <c r="H59" i="9"/>
  <c r="H58" i="9"/>
  <c r="H57" i="9"/>
  <c r="H56" i="9"/>
  <c r="H55" i="9"/>
  <c r="H54" i="9"/>
  <c r="H53" i="9"/>
  <c r="H52" i="9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K9" i="9"/>
  <c r="K8" i="9"/>
  <c r="K7" i="9"/>
  <c r="K6" i="9"/>
  <c r="J9" i="9"/>
  <c r="J8" i="9"/>
  <c r="J7" i="9"/>
  <c r="J6" i="9"/>
  <c r="I107" i="10"/>
  <c r="I106" i="10"/>
  <c r="I105" i="10"/>
  <c r="D105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B14" i="10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C13" i="10"/>
  <c r="I107" i="9"/>
  <c r="I106" i="9"/>
  <c r="D105" i="9"/>
  <c r="I105" i="9" s="1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B14" i="9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C13" i="9"/>
  <c r="CI339" i="5"/>
  <c r="I63" i="10" l="1"/>
  <c r="I25" i="10"/>
  <c r="H9" i="10"/>
  <c r="I20" i="10"/>
  <c r="I26" i="10"/>
  <c r="I28" i="10"/>
  <c r="I44" i="10"/>
  <c r="I31" i="10"/>
  <c r="I32" i="10"/>
  <c r="I33" i="10"/>
  <c r="I34" i="10"/>
  <c r="I36" i="10"/>
  <c r="I37" i="10"/>
  <c r="I39" i="10"/>
  <c r="I40" i="10"/>
  <c r="I41" i="10"/>
  <c r="I42" i="10"/>
  <c r="I69" i="10"/>
  <c r="I77" i="10"/>
  <c r="I85" i="10"/>
  <c r="H9" i="9"/>
  <c r="AO9" i="5"/>
  <c r="AK9" i="5"/>
  <c r="AC9" i="5"/>
  <c r="I278" i="2"/>
  <c r="J278" i="2" s="1"/>
  <c r="I277" i="2"/>
  <c r="J277" i="2" s="1"/>
  <c r="I276" i="2"/>
  <c r="J276" i="2" s="1"/>
  <c r="I275" i="2"/>
  <c r="J275" i="2" s="1"/>
  <c r="I274" i="2"/>
  <c r="J274" i="2" s="1"/>
  <c r="I273" i="2"/>
  <c r="J273" i="2" s="1"/>
  <c r="I272" i="2"/>
  <c r="J272" i="2" s="1"/>
  <c r="I271" i="2"/>
  <c r="J271" i="2" s="1"/>
  <c r="I270" i="2"/>
  <c r="J270" i="2" s="1"/>
  <c r="I269" i="2"/>
  <c r="J269" i="2" s="1"/>
  <c r="I268" i="2"/>
  <c r="J268" i="2" s="1"/>
  <c r="I267" i="2"/>
  <c r="J267" i="2" s="1"/>
  <c r="I266" i="2"/>
  <c r="J266" i="2" s="1"/>
  <c r="I265" i="2"/>
  <c r="J265" i="2" s="1"/>
  <c r="I264" i="2"/>
  <c r="J264" i="2" s="1"/>
  <c r="I263" i="2"/>
  <c r="J263" i="2" s="1"/>
  <c r="I262" i="2"/>
  <c r="J262" i="2" s="1"/>
  <c r="I261" i="2"/>
  <c r="J261" i="2" s="1"/>
  <c r="I260" i="2"/>
  <c r="J260" i="2" s="1"/>
  <c r="I259" i="2"/>
  <c r="J259" i="2" s="1"/>
  <c r="I258" i="2"/>
  <c r="J258" i="2" s="1"/>
  <c r="I257" i="2"/>
  <c r="J257" i="2" s="1"/>
  <c r="I256" i="2"/>
  <c r="J256" i="2" s="1"/>
  <c r="I255" i="2"/>
  <c r="J255" i="2" s="1"/>
  <c r="I254" i="2"/>
  <c r="J254" i="2" s="1"/>
  <c r="I253" i="2"/>
  <c r="J253" i="2" s="1"/>
  <c r="I252" i="2"/>
  <c r="J252" i="2" s="1"/>
  <c r="I251" i="2"/>
  <c r="J251" i="2" s="1"/>
  <c r="I250" i="2"/>
  <c r="J250" i="2" s="1"/>
  <c r="I249" i="2"/>
  <c r="J249" i="2" s="1"/>
  <c r="I248" i="2"/>
  <c r="J248" i="2" s="1"/>
  <c r="I247" i="2"/>
  <c r="J247" i="2" s="1"/>
  <c r="I246" i="2"/>
  <c r="J246" i="2" s="1"/>
  <c r="I245" i="2"/>
  <c r="J245" i="2" s="1"/>
  <c r="I244" i="2"/>
  <c r="J244" i="2" s="1"/>
  <c r="I243" i="2"/>
  <c r="J243" i="2" s="1"/>
  <c r="I242" i="2"/>
  <c r="J242" i="2" s="1"/>
  <c r="I241" i="2"/>
  <c r="J241" i="2" s="1"/>
  <c r="I240" i="2"/>
  <c r="J240" i="2" s="1"/>
  <c r="I239" i="2"/>
  <c r="J239" i="2" s="1"/>
  <c r="I238" i="2"/>
  <c r="J238" i="2" s="1"/>
  <c r="I237" i="2"/>
  <c r="J237" i="2" s="1"/>
  <c r="I236" i="2"/>
  <c r="J236" i="2" s="1"/>
  <c r="I235" i="2"/>
  <c r="J235" i="2" s="1"/>
  <c r="I234" i="2"/>
  <c r="J234" i="2" s="1"/>
  <c r="I233" i="2"/>
  <c r="J233" i="2" s="1"/>
  <c r="I232" i="2"/>
  <c r="J232" i="2" s="1"/>
  <c r="I231" i="2"/>
  <c r="J231" i="2" s="1"/>
  <c r="I230" i="2"/>
  <c r="J230" i="2" s="1"/>
  <c r="I229" i="2"/>
  <c r="J229" i="2" s="1"/>
  <c r="I228" i="2"/>
  <c r="J228" i="2" s="1"/>
  <c r="I227" i="2"/>
  <c r="J227" i="2" s="1"/>
  <c r="I226" i="2"/>
  <c r="J226" i="2" s="1"/>
  <c r="I225" i="2"/>
  <c r="J225" i="2" s="1"/>
  <c r="I224" i="2"/>
  <c r="J224" i="2" s="1"/>
  <c r="I223" i="2"/>
  <c r="J223" i="2" s="1"/>
  <c r="I222" i="2"/>
  <c r="J222" i="2" s="1"/>
  <c r="I221" i="2"/>
  <c r="J221" i="2" s="1"/>
  <c r="I220" i="2"/>
  <c r="J220" i="2" s="1"/>
  <c r="I219" i="2"/>
  <c r="J219" i="2" s="1"/>
  <c r="I218" i="2"/>
  <c r="J218" i="2" s="1"/>
  <c r="I217" i="2"/>
  <c r="J217" i="2" s="1"/>
  <c r="I216" i="2"/>
  <c r="J216" i="2" s="1"/>
  <c r="I215" i="2"/>
  <c r="J215" i="2" s="1"/>
  <c r="I214" i="2"/>
  <c r="J214" i="2" s="1"/>
  <c r="I213" i="2"/>
  <c r="J213" i="2" s="1"/>
  <c r="I212" i="2"/>
  <c r="J212" i="2" s="1"/>
  <c r="I211" i="2"/>
  <c r="J211" i="2" s="1"/>
  <c r="I210" i="2"/>
  <c r="J210" i="2" s="1"/>
  <c r="I209" i="2"/>
  <c r="J209" i="2" s="1"/>
  <c r="I208" i="2"/>
  <c r="J208" i="2" s="1"/>
  <c r="I207" i="2"/>
  <c r="J207" i="2" s="1"/>
  <c r="I206" i="2"/>
  <c r="J206" i="2" s="1"/>
  <c r="I205" i="2"/>
  <c r="J205" i="2" s="1"/>
  <c r="I204" i="2"/>
  <c r="J204" i="2" s="1"/>
  <c r="I203" i="2"/>
  <c r="J203" i="2" s="1"/>
  <c r="I202" i="2"/>
  <c r="J202" i="2" s="1"/>
  <c r="I201" i="2"/>
  <c r="J201" i="2" s="1"/>
  <c r="I200" i="2"/>
  <c r="J200" i="2" s="1"/>
  <c r="I199" i="2"/>
  <c r="J199" i="2" s="1"/>
  <c r="I198" i="2"/>
  <c r="J198" i="2" s="1"/>
  <c r="I197" i="2"/>
  <c r="J197" i="2" s="1"/>
  <c r="I196" i="2"/>
  <c r="J196" i="2" s="1"/>
  <c r="I195" i="2"/>
  <c r="J195" i="2" s="1"/>
  <c r="I194" i="2"/>
  <c r="J194" i="2" s="1"/>
  <c r="I193" i="2"/>
  <c r="J193" i="2" s="1"/>
  <c r="I192" i="2"/>
  <c r="J192" i="2" s="1"/>
  <c r="I191" i="2"/>
  <c r="J191" i="2" s="1"/>
  <c r="I190" i="2"/>
  <c r="J190" i="2" s="1"/>
  <c r="I189" i="2"/>
  <c r="J189" i="2" s="1"/>
  <c r="I188" i="2"/>
  <c r="J188" i="2" s="1"/>
  <c r="I187" i="2"/>
  <c r="J187" i="2" s="1"/>
  <c r="I186" i="2"/>
  <c r="J186" i="2" s="1"/>
  <c r="I185" i="2"/>
  <c r="J185" i="2" s="1"/>
  <c r="I184" i="2"/>
  <c r="J184" i="2" s="1"/>
  <c r="I183" i="2"/>
  <c r="J183" i="2" s="1"/>
  <c r="I182" i="2"/>
  <c r="J182" i="2" s="1"/>
  <c r="I181" i="2"/>
  <c r="J181" i="2" s="1"/>
  <c r="I180" i="2"/>
  <c r="J180" i="2" s="1"/>
  <c r="I179" i="2"/>
  <c r="J179" i="2" s="1"/>
  <c r="I178" i="2"/>
  <c r="J178" i="2" s="1"/>
  <c r="I177" i="2"/>
  <c r="J177" i="2" s="1"/>
  <c r="I176" i="2"/>
  <c r="J176" i="2" s="1"/>
  <c r="I175" i="2"/>
  <c r="J175" i="2" s="1"/>
  <c r="I174" i="2"/>
  <c r="J174" i="2" s="1"/>
  <c r="I173" i="2"/>
  <c r="J173" i="2" s="1"/>
  <c r="I172" i="2"/>
  <c r="J172" i="2" s="1"/>
  <c r="I171" i="2"/>
  <c r="J171" i="2" s="1"/>
  <c r="I170" i="2"/>
  <c r="J170" i="2" s="1"/>
  <c r="I169" i="2"/>
  <c r="J169" i="2" s="1"/>
  <c r="I168" i="2"/>
  <c r="J168" i="2" s="1"/>
  <c r="I167" i="2"/>
  <c r="J167" i="2" s="1"/>
  <c r="I166" i="2"/>
  <c r="J166" i="2" s="1"/>
  <c r="I165" i="2"/>
  <c r="J165" i="2" s="1"/>
  <c r="I164" i="2"/>
  <c r="J164" i="2" s="1"/>
  <c r="I163" i="2"/>
  <c r="J163" i="2" s="1"/>
  <c r="I162" i="2"/>
  <c r="J162" i="2" s="1"/>
  <c r="I161" i="2"/>
  <c r="J161" i="2" s="1"/>
  <c r="I160" i="2"/>
  <c r="J160" i="2" s="1"/>
  <c r="I159" i="2"/>
  <c r="J159" i="2" s="1"/>
  <c r="I158" i="2"/>
  <c r="J158" i="2" s="1"/>
  <c r="I157" i="2"/>
  <c r="J157" i="2" s="1"/>
  <c r="I156" i="2"/>
  <c r="J156" i="2" s="1"/>
  <c r="I155" i="2"/>
  <c r="J155" i="2" s="1"/>
  <c r="I154" i="2"/>
  <c r="J154" i="2" s="1"/>
  <c r="I153" i="2"/>
  <c r="J153" i="2" s="1"/>
  <c r="I152" i="2"/>
  <c r="J152" i="2" s="1"/>
  <c r="I151" i="2"/>
  <c r="J151" i="2" s="1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I107" i="6"/>
  <c r="I106" i="6"/>
  <c r="J6" i="6"/>
  <c r="K6" i="6"/>
  <c r="J7" i="6"/>
  <c r="K7" i="6"/>
  <c r="J8" i="6"/>
  <c r="K8" i="6"/>
  <c r="J9" i="6"/>
  <c r="K9" i="6"/>
  <c r="BR331" i="5"/>
  <c r="BR326" i="5"/>
  <c r="BR313" i="5"/>
  <c r="BR298" i="5"/>
  <c r="BR286" i="5"/>
  <c r="BR281" i="5"/>
  <c r="BR268" i="5"/>
  <c r="BR253" i="5"/>
  <c r="BR241" i="5"/>
  <c r="BR236" i="5"/>
  <c r="BR223" i="5"/>
  <c r="BR208" i="5"/>
  <c r="BR196" i="5"/>
  <c r="BR191" i="5"/>
  <c r="BR178" i="5"/>
  <c r="BR163" i="5"/>
  <c r="BR151" i="5"/>
  <c r="BR146" i="5"/>
  <c r="BR133" i="5"/>
  <c r="BR118" i="5"/>
  <c r="BR101" i="5"/>
  <c r="G62" i="9" s="1"/>
  <c r="BR88" i="5"/>
  <c r="F62" i="9" s="1"/>
  <c r="BR73" i="5"/>
  <c r="E62" i="9" s="1"/>
  <c r="BR61" i="5"/>
  <c r="BR56" i="5"/>
  <c r="BR43" i="5"/>
  <c r="BR28" i="5"/>
  <c r="BS331" i="5"/>
  <c r="BS326" i="5"/>
  <c r="BS313" i="5"/>
  <c r="BS298" i="5"/>
  <c r="BS286" i="5"/>
  <c r="BS281" i="5"/>
  <c r="BS268" i="5"/>
  <c r="BS253" i="5"/>
  <c r="BS241" i="5"/>
  <c r="BS236" i="5"/>
  <c r="BS223" i="5"/>
  <c r="BS208" i="5"/>
  <c r="BS196" i="5"/>
  <c r="BS191" i="5"/>
  <c r="BS178" i="5"/>
  <c r="BS163" i="5"/>
  <c r="BS151" i="5"/>
  <c r="BS146" i="5"/>
  <c r="BS133" i="5"/>
  <c r="BS118" i="5"/>
  <c r="BS101" i="5"/>
  <c r="BS88" i="5"/>
  <c r="BS73" i="5"/>
  <c r="BS61" i="5"/>
  <c r="BS56" i="5"/>
  <c r="BS43" i="5"/>
  <c r="BS28" i="5"/>
  <c r="BT8" i="5"/>
  <c r="BT9" i="5" s="1"/>
  <c r="BS8" i="5"/>
  <c r="BS9" i="5" s="1"/>
  <c r="BR8" i="5"/>
  <c r="BR9" i="5" s="1"/>
  <c r="AQ331" i="5"/>
  <c r="AQ326" i="5"/>
  <c r="AQ313" i="5"/>
  <c r="AQ298" i="5"/>
  <c r="AQ286" i="5"/>
  <c r="AQ281" i="5"/>
  <c r="AQ268" i="5"/>
  <c r="AQ253" i="5"/>
  <c r="AQ241" i="5"/>
  <c r="AQ236" i="5"/>
  <c r="AQ223" i="5"/>
  <c r="AQ208" i="5"/>
  <c r="AQ196" i="5"/>
  <c r="AQ191" i="5"/>
  <c r="AQ178" i="5"/>
  <c r="AQ163" i="5"/>
  <c r="AQ151" i="5"/>
  <c r="AQ146" i="5"/>
  <c r="AQ133" i="5"/>
  <c r="AQ118" i="5"/>
  <c r="AQ101" i="5"/>
  <c r="AQ88" i="5"/>
  <c r="AQ73" i="5"/>
  <c r="AQ61" i="5"/>
  <c r="AQ56" i="5"/>
  <c r="AQ43" i="5"/>
  <c r="AQ28" i="5"/>
  <c r="AQ8" i="5"/>
  <c r="AQ9" i="5" s="1"/>
  <c r="AO331" i="5"/>
  <c r="AO326" i="5"/>
  <c r="AO313" i="5"/>
  <c r="AO298" i="5"/>
  <c r="AO286" i="5"/>
  <c r="AO281" i="5"/>
  <c r="AO268" i="5"/>
  <c r="AO253" i="5"/>
  <c r="AO241" i="5"/>
  <c r="AO236" i="5"/>
  <c r="AO223" i="5"/>
  <c r="AO208" i="5"/>
  <c r="AO196" i="5"/>
  <c r="AO191" i="5"/>
  <c r="AO178" i="5"/>
  <c r="AO163" i="5"/>
  <c r="AO151" i="5"/>
  <c r="AO146" i="5"/>
  <c r="AO133" i="5"/>
  <c r="AO118" i="5"/>
  <c r="AO101" i="5"/>
  <c r="G36" i="9" s="1"/>
  <c r="AO88" i="5"/>
  <c r="F36" i="9" s="1"/>
  <c r="AO73" i="5"/>
  <c r="E36" i="9" s="1"/>
  <c r="AO61" i="5"/>
  <c r="AO56" i="5"/>
  <c r="AO43" i="5"/>
  <c r="AO28" i="5"/>
  <c r="AN331" i="5"/>
  <c r="AN326" i="5"/>
  <c r="AN313" i="5"/>
  <c r="AN298" i="5"/>
  <c r="AN286" i="5"/>
  <c r="AN281" i="5"/>
  <c r="AN268" i="5"/>
  <c r="AN253" i="5"/>
  <c r="AN241" i="5"/>
  <c r="AN236" i="5"/>
  <c r="AN223" i="5"/>
  <c r="AN208" i="5"/>
  <c r="AN196" i="5"/>
  <c r="AN191" i="5"/>
  <c r="AN178" i="5"/>
  <c r="AN163" i="5"/>
  <c r="AN151" i="5"/>
  <c r="AN146" i="5"/>
  <c r="AN133" i="5"/>
  <c r="AN118" i="5"/>
  <c r="AN101" i="5"/>
  <c r="AN88" i="5"/>
  <c r="AN73" i="5"/>
  <c r="AN61" i="5"/>
  <c r="AN56" i="5"/>
  <c r="AN43" i="5"/>
  <c r="AN28" i="5"/>
  <c r="AM331" i="5"/>
  <c r="AM326" i="5"/>
  <c r="AM313" i="5"/>
  <c r="AM298" i="5"/>
  <c r="AM286" i="5"/>
  <c r="AM281" i="5"/>
  <c r="AM268" i="5"/>
  <c r="AM253" i="5"/>
  <c r="AM241" i="5"/>
  <c r="AM236" i="5"/>
  <c r="AM223" i="5"/>
  <c r="AM208" i="5"/>
  <c r="AM196" i="5"/>
  <c r="AM191" i="5"/>
  <c r="AM178" i="5"/>
  <c r="AM163" i="5"/>
  <c r="AM151" i="5"/>
  <c r="AM146" i="5"/>
  <c r="AM133" i="5"/>
  <c r="AM118" i="5"/>
  <c r="AM101" i="5"/>
  <c r="AM88" i="5"/>
  <c r="AM73" i="5"/>
  <c r="AM61" i="5"/>
  <c r="AM56" i="5"/>
  <c r="AM43" i="5"/>
  <c r="AM28" i="5"/>
  <c r="AL331" i="5"/>
  <c r="AL326" i="5"/>
  <c r="AL313" i="5"/>
  <c r="AL298" i="5"/>
  <c r="AL286" i="5"/>
  <c r="AL281" i="5"/>
  <c r="AL268" i="5"/>
  <c r="AL253" i="5"/>
  <c r="AL241" i="5"/>
  <c r="AL236" i="5"/>
  <c r="AL223" i="5"/>
  <c r="AL208" i="5"/>
  <c r="AL196" i="5"/>
  <c r="AL191" i="5"/>
  <c r="AL178" i="5"/>
  <c r="AL163" i="5"/>
  <c r="AL151" i="5"/>
  <c r="AL146" i="5"/>
  <c r="AL133" i="5"/>
  <c r="AL118" i="5"/>
  <c r="AL101" i="5"/>
  <c r="AL88" i="5"/>
  <c r="AL73" i="5"/>
  <c r="AL61" i="5"/>
  <c r="AL56" i="5"/>
  <c r="AL43" i="5"/>
  <c r="AL28" i="5"/>
  <c r="AK331" i="5"/>
  <c r="AK326" i="5"/>
  <c r="AK313" i="5"/>
  <c r="AK298" i="5"/>
  <c r="AK286" i="5"/>
  <c r="AK281" i="5"/>
  <c r="AK268" i="5"/>
  <c r="AK253" i="5"/>
  <c r="AK241" i="5"/>
  <c r="AK236" i="5"/>
  <c r="AK223" i="5"/>
  <c r="AK208" i="5"/>
  <c r="AK196" i="5"/>
  <c r="AK191" i="5"/>
  <c r="AK178" i="5"/>
  <c r="AK163" i="5"/>
  <c r="AK151" i="5"/>
  <c r="AK146" i="5"/>
  <c r="AK133" i="5"/>
  <c r="AK118" i="5"/>
  <c r="AK101" i="5"/>
  <c r="AK88" i="5"/>
  <c r="AK73" i="5"/>
  <c r="AK61" i="5"/>
  <c r="AK56" i="5"/>
  <c r="AK43" i="5"/>
  <c r="AK28" i="5"/>
  <c r="AJ331" i="5"/>
  <c r="AJ326" i="5"/>
  <c r="AJ313" i="5"/>
  <c r="AJ298" i="5"/>
  <c r="AJ286" i="5"/>
  <c r="AJ281" i="5"/>
  <c r="AJ268" i="5"/>
  <c r="AJ253" i="5"/>
  <c r="AJ241" i="5"/>
  <c r="AJ236" i="5"/>
  <c r="AJ223" i="5"/>
  <c r="AJ208" i="5"/>
  <c r="AJ196" i="5"/>
  <c r="AJ191" i="5"/>
  <c r="AJ178" i="5"/>
  <c r="AJ163" i="5"/>
  <c r="AJ151" i="5"/>
  <c r="AJ146" i="5"/>
  <c r="AJ133" i="5"/>
  <c r="AJ118" i="5"/>
  <c r="AJ101" i="5"/>
  <c r="AJ88" i="5"/>
  <c r="AJ73" i="5"/>
  <c r="AJ61" i="5"/>
  <c r="AJ56" i="5"/>
  <c r="AJ43" i="5"/>
  <c r="AJ28" i="5"/>
  <c r="AI331" i="5"/>
  <c r="AI326" i="5"/>
  <c r="AI313" i="5"/>
  <c r="AI298" i="5"/>
  <c r="AI286" i="5"/>
  <c r="AI281" i="5"/>
  <c r="AI268" i="5"/>
  <c r="AI253" i="5"/>
  <c r="AI241" i="5"/>
  <c r="AI236" i="5"/>
  <c r="AI223" i="5"/>
  <c r="AI208" i="5"/>
  <c r="AI196" i="5"/>
  <c r="AI191" i="5"/>
  <c r="AI178" i="5"/>
  <c r="AI163" i="5"/>
  <c r="AI151" i="5"/>
  <c r="AI146" i="5"/>
  <c r="AI133" i="5"/>
  <c r="AI118" i="5"/>
  <c r="AI101" i="5"/>
  <c r="AI88" i="5"/>
  <c r="AI73" i="5"/>
  <c r="AI61" i="5"/>
  <c r="AI56" i="5"/>
  <c r="AI43" i="5"/>
  <c r="AI28" i="5"/>
  <c r="AO8" i="5"/>
  <c r="AN8" i="5"/>
  <c r="AN9" i="5" s="1"/>
  <c r="AM8" i="5"/>
  <c r="AM9" i="5" s="1"/>
  <c r="AL8" i="5"/>
  <c r="AL9" i="5" s="1"/>
  <c r="AK8" i="5"/>
  <c r="AJ8" i="5"/>
  <c r="AJ9" i="5" s="1"/>
  <c r="AI8" i="5"/>
  <c r="AI9" i="5" s="1"/>
  <c r="AD331" i="5"/>
  <c r="AD326" i="5"/>
  <c r="AD313" i="5"/>
  <c r="AD298" i="5"/>
  <c r="AD286" i="5"/>
  <c r="AD281" i="5"/>
  <c r="AD268" i="5"/>
  <c r="AD253" i="5"/>
  <c r="AD241" i="5"/>
  <c r="AD236" i="5"/>
  <c r="AD223" i="5"/>
  <c r="AD208" i="5"/>
  <c r="AD196" i="5"/>
  <c r="AD191" i="5"/>
  <c r="AD178" i="5"/>
  <c r="AD163" i="5"/>
  <c r="AD151" i="5"/>
  <c r="AD146" i="5"/>
  <c r="AD133" i="5"/>
  <c r="AD118" i="5"/>
  <c r="AD101" i="5"/>
  <c r="AD88" i="5"/>
  <c r="AD73" i="5"/>
  <c r="AD61" i="5"/>
  <c r="AD56" i="5"/>
  <c r="AD43" i="5"/>
  <c r="AD28" i="5"/>
  <c r="AC331" i="5"/>
  <c r="AC326" i="5"/>
  <c r="AC313" i="5"/>
  <c r="AC298" i="5"/>
  <c r="AC286" i="5"/>
  <c r="AC281" i="5"/>
  <c r="AC268" i="5"/>
  <c r="AC253" i="5"/>
  <c r="AC241" i="5"/>
  <c r="AC236" i="5"/>
  <c r="AC223" i="5"/>
  <c r="AC208" i="5"/>
  <c r="AC196" i="5"/>
  <c r="AC191" i="5"/>
  <c r="AC178" i="5"/>
  <c r="AC163" i="5"/>
  <c r="AC151" i="5"/>
  <c r="AC146" i="5"/>
  <c r="AC133" i="5"/>
  <c r="AC118" i="5"/>
  <c r="AC101" i="5"/>
  <c r="AC88" i="5"/>
  <c r="AC73" i="5"/>
  <c r="AC61" i="5"/>
  <c r="AC56" i="5"/>
  <c r="AC43" i="5"/>
  <c r="AC28" i="5"/>
  <c r="AB331" i="5"/>
  <c r="AB326" i="5"/>
  <c r="AB313" i="5"/>
  <c r="AB298" i="5"/>
  <c r="AB286" i="5"/>
  <c r="AB281" i="5"/>
  <c r="AB268" i="5"/>
  <c r="AB253" i="5"/>
  <c r="AB241" i="5"/>
  <c r="AB236" i="5"/>
  <c r="AB223" i="5"/>
  <c r="AB208" i="5"/>
  <c r="AB196" i="5"/>
  <c r="AB191" i="5"/>
  <c r="AB178" i="5"/>
  <c r="AB163" i="5"/>
  <c r="AB151" i="5"/>
  <c r="AB146" i="5"/>
  <c r="AB133" i="5"/>
  <c r="AB118" i="5"/>
  <c r="AB101" i="5"/>
  <c r="AB88" i="5"/>
  <c r="AB73" i="5"/>
  <c r="AB61" i="5"/>
  <c r="AB56" i="5"/>
  <c r="AB43" i="5"/>
  <c r="AB28" i="5"/>
  <c r="AY331" i="5"/>
  <c r="AY326" i="5"/>
  <c r="AY313" i="5"/>
  <c r="AY298" i="5"/>
  <c r="AY286" i="5"/>
  <c r="AY281" i="5"/>
  <c r="AY268" i="5"/>
  <c r="AY253" i="5"/>
  <c r="AY241" i="5"/>
  <c r="AY236" i="5"/>
  <c r="AY223" i="5"/>
  <c r="AY208" i="5"/>
  <c r="AY196" i="5"/>
  <c r="AY191" i="5"/>
  <c r="AY178" i="5"/>
  <c r="AY163" i="5"/>
  <c r="AY151" i="5"/>
  <c r="AY146" i="5"/>
  <c r="AY133" i="5"/>
  <c r="AY118" i="5"/>
  <c r="AY101" i="5"/>
  <c r="AY88" i="5"/>
  <c r="AY73" i="5"/>
  <c r="AY61" i="5"/>
  <c r="AY56" i="5"/>
  <c r="AY43" i="5"/>
  <c r="AY28" i="5"/>
  <c r="AX331" i="5"/>
  <c r="AX326" i="5"/>
  <c r="AX313" i="5"/>
  <c r="AX298" i="5"/>
  <c r="AX286" i="5"/>
  <c r="AX281" i="5"/>
  <c r="AX268" i="5"/>
  <c r="AX253" i="5"/>
  <c r="AX241" i="5"/>
  <c r="AX236" i="5"/>
  <c r="AX223" i="5"/>
  <c r="AX208" i="5"/>
  <c r="AX196" i="5"/>
  <c r="AX191" i="5"/>
  <c r="AX178" i="5"/>
  <c r="AX163" i="5"/>
  <c r="AX151" i="5"/>
  <c r="AX146" i="5"/>
  <c r="AX133" i="5"/>
  <c r="AX118" i="5"/>
  <c r="AX101" i="5"/>
  <c r="AX88" i="5"/>
  <c r="AX73" i="5"/>
  <c r="AX61" i="5"/>
  <c r="AX56" i="5"/>
  <c r="AX43" i="5"/>
  <c r="AX28" i="5"/>
  <c r="AY8" i="5"/>
  <c r="AY9" i="5" s="1"/>
  <c r="AX8" i="5"/>
  <c r="AX9" i="5" s="1"/>
  <c r="AD8" i="5"/>
  <c r="AD9" i="5" s="1"/>
  <c r="AC8" i="5"/>
  <c r="AB8" i="5"/>
  <c r="AB9" i="5" s="1"/>
  <c r="CB331" i="5"/>
  <c r="CB326" i="5"/>
  <c r="CB313" i="5"/>
  <c r="CB298" i="5"/>
  <c r="CB286" i="5"/>
  <c r="CB281" i="5"/>
  <c r="CB268" i="5"/>
  <c r="CB253" i="5"/>
  <c r="CB241" i="5"/>
  <c r="CB236" i="5"/>
  <c r="CB223" i="5"/>
  <c r="CB208" i="5"/>
  <c r="CB196" i="5"/>
  <c r="CB191" i="5"/>
  <c r="CB178" i="5"/>
  <c r="CB163" i="5"/>
  <c r="CB151" i="5"/>
  <c r="CB146" i="5"/>
  <c r="CB133" i="5"/>
  <c r="CB118" i="5"/>
  <c r="CB101" i="5"/>
  <c r="CB88" i="5"/>
  <c r="CB73" i="5"/>
  <c r="CB61" i="5"/>
  <c r="CB56" i="5"/>
  <c r="CB43" i="5"/>
  <c r="CB28" i="5"/>
  <c r="CB8" i="5"/>
  <c r="CB9" i="5" s="1"/>
  <c r="I22" i="10" l="1"/>
  <c r="I84" i="10"/>
  <c r="I51" i="10"/>
  <c r="I24" i="10"/>
  <c r="I81" i="10"/>
  <c r="I73" i="10"/>
  <c r="I65" i="10"/>
  <c r="I35" i="10"/>
  <c r="I83" i="10"/>
  <c r="I29" i="10"/>
  <c r="I30" i="10"/>
  <c r="I47" i="10"/>
  <c r="I62" i="9"/>
  <c r="I72" i="10"/>
  <c r="I59" i="10"/>
  <c r="I66" i="10"/>
  <c r="I82" i="10"/>
  <c r="I96" i="10"/>
  <c r="I100" i="10"/>
  <c r="I104" i="10"/>
  <c r="I46" i="10"/>
  <c r="I15" i="10"/>
  <c r="I93" i="10"/>
  <c r="I92" i="10"/>
  <c r="I90" i="10"/>
  <c r="I88" i="10"/>
  <c r="I52" i="10"/>
  <c r="I38" i="10"/>
  <c r="I80" i="10"/>
  <c r="I49" i="10"/>
  <c r="I45" i="10"/>
  <c r="I27" i="10"/>
  <c r="I19" i="10"/>
  <c r="I60" i="10"/>
  <c r="I70" i="10"/>
  <c r="I86" i="10"/>
  <c r="I97" i="10"/>
  <c r="I101" i="10"/>
  <c r="I71" i="10"/>
  <c r="I18" i="10"/>
  <c r="I14" i="10"/>
  <c r="I91" i="10"/>
  <c r="I67" i="10"/>
  <c r="I53" i="10"/>
  <c r="I21" i="10"/>
  <c r="I61" i="10"/>
  <c r="I74" i="10"/>
  <c r="I98" i="10"/>
  <c r="I102" i="10"/>
  <c r="I79" i="10"/>
  <c r="I68" i="10"/>
  <c r="I17" i="10"/>
  <c r="I13" i="10"/>
  <c r="I43" i="10"/>
  <c r="I94" i="10"/>
  <c r="I89" i="10"/>
  <c r="I87" i="10"/>
  <c r="I75" i="10"/>
  <c r="I64" i="10"/>
  <c r="I48" i="10"/>
  <c r="I23" i="10"/>
  <c r="I62" i="10"/>
  <c r="I78" i="10"/>
  <c r="I95" i="10"/>
  <c r="I99" i="10"/>
  <c r="I103" i="10"/>
  <c r="I76" i="10"/>
  <c r="I50" i="10"/>
  <c r="I16" i="10"/>
  <c r="I36" i="9"/>
  <c r="BR11" i="5"/>
  <c r="BS152" i="5"/>
  <c r="BS197" i="5"/>
  <c r="BS14" i="5"/>
  <c r="BS242" i="5"/>
  <c r="BS15" i="5"/>
  <c r="BR152" i="5"/>
  <c r="BR197" i="5"/>
  <c r="BR14" i="5"/>
  <c r="BR242" i="5"/>
  <c r="BS107" i="5"/>
  <c r="BR10" i="5"/>
  <c r="BS62" i="5"/>
  <c r="BR107" i="5"/>
  <c r="D62" i="9" s="1"/>
  <c r="BR15" i="5"/>
  <c r="BS16" i="5"/>
  <c r="BS332" i="5"/>
  <c r="BR332" i="5"/>
  <c r="AQ16" i="5"/>
  <c r="BR16" i="5"/>
  <c r="BS287" i="5"/>
  <c r="BR287" i="5"/>
  <c r="AK15" i="5"/>
  <c r="BS13" i="5"/>
  <c r="BR13" i="5"/>
  <c r="BR12" i="5"/>
  <c r="BS12" i="5"/>
  <c r="AQ11" i="5"/>
  <c r="BS11" i="5"/>
  <c r="BS10" i="5"/>
  <c r="BR62" i="5"/>
  <c r="AJ12" i="5"/>
  <c r="AQ197" i="5"/>
  <c r="AQ242" i="5"/>
  <c r="AQ287" i="5"/>
  <c r="AQ332" i="5"/>
  <c r="AO107" i="5"/>
  <c r="D36" i="9" s="1"/>
  <c r="AQ107" i="5"/>
  <c r="AN62" i="5"/>
  <c r="AN152" i="5"/>
  <c r="AN197" i="5"/>
  <c r="AN14" i="5"/>
  <c r="AN242" i="5"/>
  <c r="AN287" i="5"/>
  <c r="AO152" i="5"/>
  <c r="AO197" i="5"/>
  <c r="AO242" i="5"/>
  <c r="AO287" i="5"/>
  <c r="AO332" i="5"/>
  <c r="AQ13" i="5"/>
  <c r="AQ62" i="5"/>
  <c r="AQ12" i="5"/>
  <c r="AI16" i="5"/>
  <c r="AJ16" i="5"/>
  <c r="AK107" i="5"/>
  <c r="AL62" i="5"/>
  <c r="AL152" i="5"/>
  <c r="AL197" i="5"/>
  <c r="AL14" i="5"/>
  <c r="AL242" i="5"/>
  <c r="AL287" i="5"/>
  <c r="AM152" i="5"/>
  <c r="AM197" i="5"/>
  <c r="AM242" i="5"/>
  <c r="AQ14" i="5"/>
  <c r="AI12" i="5"/>
  <c r="AL10" i="5"/>
  <c r="AM107" i="5"/>
  <c r="AQ10" i="5"/>
  <c r="AQ15" i="5"/>
  <c r="AQ152" i="5"/>
  <c r="AN10" i="5"/>
  <c r="AJ287" i="5"/>
  <c r="AK152" i="5"/>
  <c r="AK197" i="5"/>
  <c r="AK14" i="5"/>
  <c r="AK287" i="5"/>
  <c r="AK332" i="5"/>
  <c r="AL13" i="5"/>
  <c r="AL332" i="5"/>
  <c r="AM62" i="5"/>
  <c r="AM287" i="5"/>
  <c r="AM332" i="5"/>
  <c r="AN13" i="5"/>
  <c r="AN332" i="5"/>
  <c r="AO62" i="5"/>
  <c r="AI152" i="5"/>
  <c r="AI197" i="5"/>
  <c r="AI14" i="5"/>
  <c r="AI242" i="5"/>
  <c r="AI15" i="5"/>
  <c r="AJ152" i="5"/>
  <c r="AJ197" i="5"/>
  <c r="AJ242" i="5"/>
  <c r="AJ15" i="5"/>
  <c r="AJ332" i="5"/>
  <c r="AK10" i="5"/>
  <c r="AK13" i="5"/>
  <c r="AL12" i="5"/>
  <c r="AN12" i="5"/>
  <c r="AX13" i="5"/>
  <c r="AK11" i="5"/>
  <c r="AI13" i="5"/>
  <c r="AI287" i="5"/>
  <c r="AI332" i="5"/>
  <c r="AJ13" i="5"/>
  <c r="AK12" i="5"/>
  <c r="AK16" i="5"/>
  <c r="AL107" i="5"/>
  <c r="AL16" i="5"/>
  <c r="AN107" i="5"/>
  <c r="AN16" i="5"/>
  <c r="AI11" i="5"/>
  <c r="AJ11" i="5"/>
  <c r="AI107" i="5"/>
  <c r="AJ62" i="5"/>
  <c r="AI10" i="5"/>
  <c r="AI62" i="5"/>
  <c r="AN11" i="5"/>
  <c r="AN15" i="5"/>
  <c r="AL11" i="5"/>
  <c r="AL15" i="5"/>
  <c r="AK242" i="5"/>
  <c r="AK62" i="5"/>
  <c r="AJ10" i="5"/>
  <c r="AJ14" i="5"/>
  <c r="AJ107" i="5"/>
  <c r="AD12" i="5"/>
  <c r="AD287" i="5"/>
  <c r="AD332" i="5"/>
  <c r="AY13" i="5"/>
  <c r="AY16" i="5"/>
  <c r="AC12" i="5"/>
  <c r="AD107" i="5"/>
  <c r="AX11" i="5"/>
  <c r="AY11" i="5"/>
  <c r="AC287" i="5"/>
  <c r="AC332" i="5"/>
  <c r="AD62" i="5"/>
  <c r="AD13" i="5"/>
  <c r="AX152" i="5"/>
  <c r="AX197" i="5"/>
  <c r="AX14" i="5"/>
  <c r="AX242" i="5"/>
  <c r="AX15" i="5"/>
  <c r="AB12" i="5"/>
  <c r="AB287" i="5"/>
  <c r="AB332" i="5"/>
  <c r="AC62" i="5"/>
  <c r="AC107" i="5"/>
  <c r="AC13" i="5"/>
  <c r="AB62" i="5"/>
  <c r="AB107" i="5"/>
  <c r="AB13" i="5"/>
  <c r="AX62" i="5"/>
  <c r="AX107" i="5"/>
  <c r="AX287" i="5"/>
  <c r="AX332" i="5"/>
  <c r="AY10" i="5"/>
  <c r="AY152" i="5"/>
  <c r="AY197" i="5"/>
  <c r="AY14" i="5"/>
  <c r="AY242" i="5"/>
  <c r="AY15" i="5"/>
  <c r="AC16" i="5"/>
  <c r="CB11" i="5"/>
  <c r="CB13" i="5"/>
  <c r="CB287" i="5"/>
  <c r="AX10" i="5"/>
  <c r="AX12" i="5"/>
  <c r="AY62" i="5"/>
  <c r="AY107" i="5"/>
  <c r="AY287" i="5"/>
  <c r="AY332" i="5"/>
  <c r="AB11" i="5"/>
  <c r="AC11" i="5"/>
  <c r="AX16" i="5"/>
  <c r="AY12" i="5"/>
  <c r="AB16" i="5"/>
  <c r="AD16" i="5"/>
  <c r="AB10" i="5"/>
  <c r="AB152" i="5"/>
  <c r="AB197" i="5"/>
  <c r="AB14" i="5"/>
  <c r="AB242" i="5"/>
  <c r="AB15" i="5"/>
  <c r="AC10" i="5"/>
  <c r="AC152" i="5"/>
  <c r="AC197" i="5"/>
  <c r="AC14" i="5"/>
  <c r="AC242" i="5"/>
  <c r="AC15" i="5"/>
  <c r="AD10" i="5"/>
  <c r="AD152" i="5"/>
  <c r="AD197" i="5"/>
  <c r="AD14" i="5"/>
  <c r="AD242" i="5"/>
  <c r="AD15" i="5"/>
  <c r="AD11" i="5"/>
  <c r="CB62" i="5"/>
  <c r="CB152" i="5"/>
  <c r="CB197" i="5"/>
  <c r="CB242" i="5"/>
  <c r="CB15" i="5"/>
  <c r="CB332" i="5"/>
  <c r="CB12" i="5"/>
  <c r="CB16" i="5"/>
  <c r="CB10" i="5"/>
  <c r="CB14" i="5"/>
  <c r="CB107" i="5"/>
  <c r="DO330" i="5"/>
  <c r="DN330" i="5"/>
  <c r="DM330" i="5"/>
  <c r="DL330" i="5"/>
  <c r="DO329" i="5"/>
  <c r="DN329" i="5"/>
  <c r="DM329" i="5"/>
  <c r="DL329" i="5"/>
  <c r="DO328" i="5"/>
  <c r="DN328" i="5"/>
  <c r="DM328" i="5"/>
  <c r="DL328" i="5"/>
  <c r="DO327" i="5"/>
  <c r="DO331" i="5" s="1"/>
  <c r="DN327" i="5"/>
  <c r="DM327" i="5"/>
  <c r="DL327" i="5"/>
  <c r="DO325" i="5"/>
  <c r="DN325" i="5"/>
  <c r="DM325" i="5"/>
  <c r="DL325" i="5"/>
  <c r="DO324" i="5"/>
  <c r="DN324" i="5"/>
  <c r="DM324" i="5"/>
  <c r="DL324" i="5"/>
  <c r="DO323" i="5"/>
  <c r="DN323" i="5"/>
  <c r="DM323" i="5"/>
  <c r="DL323" i="5"/>
  <c r="DO322" i="5"/>
  <c r="DN322" i="5"/>
  <c r="DM322" i="5"/>
  <c r="DL322" i="5"/>
  <c r="DO321" i="5"/>
  <c r="DN321" i="5"/>
  <c r="DM321" i="5"/>
  <c r="DL321" i="5"/>
  <c r="DO320" i="5"/>
  <c r="DN320" i="5"/>
  <c r="DM320" i="5"/>
  <c r="DL320" i="5"/>
  <c r="DO319" i="5"/>
  <c r="DN319" i="5"/>
  <c r="DM319" i="5"/>
  <c r="DL319" i="5"/>
  <c r="DO318" i="5"/>
  <c r="DN318" i="5"/>
  <c r="DM318" i="5"/>
  <c r="DL318" i="5"/>
  <c r="DO317" i="5"/>
  <c r="DN317" i="5"/>
  <c r="DM317" i="5"/>
  <c r="DL317" i="5"/>
  <c r="DO316" i="5"/>
  <c r="DN316" i="5"/>
  <c r="DM316" i="5"/>
  <c r="DL316" i="5"/>
  <c r="DO315" i="5"/>
  <c r="DN315" i="5"/>
  <c r="DM315" i="5"/>
  <c r="DL315" i="5"/>
  <c r="DO314" i="5"/>
  <c r="DN314" i="5"/>
  <c r="DM314" i="5"/>
  <c r="DL314" i="5"/>
  <c r="DO312" i="5"/>
  <c r="DN312" i="5"/>
  <c r="DM312" i="5"/>
  <c r="DL312" i="5"/>
  <c r="DO311" i="5"/>
  <c r="DN311" i="5"/>
  <c r="DM311" i="5"/>
  <c r="DL311" i="5"/>
  <c r="DO310" i="5"/>
  <c r="DN310" i="5"/>
  <c r="DM310" i="5"/>
  <c r="DL310" i="5"/>
  <c r="DO309" i="5"/>
  <c r="DN309" i="5"/>
  <c r="DM309" i="5"/>
  <c r="DL309" i="5"/>
  <c r="DO308" i="5"/>
  <c r="DN308" i="5"/>
  <c r="DM308" i="5"/>
  <c r="DL308" i="5"/>
  <c r="DO307" i="5"/>
  <c r="DN307" i="5"/>
  <c r="DM307" i="5"/>
  <c r="DL307" i="5"/>
  <c r="DO306" i="5"/>
  <c r="DN306" i="5"/>
  <c r="DM306" i="5"/>
  <c r="DL306" i="5"/>
  <c r="DO305" i="5"/>
  <c r="DN305" i="5"/>
  <c r="DM305" i="5"/>
  <c r="DL305" i="5"/>
  <c r="DO304" i="5"/>
  <c r="DN304" i="5"/>
  <c r="DM304" i="5"/>
  <c r="DL304" i="5"/>
  <c r="DO303" i="5"/>
  <c r="DN303" i="5"/>
  <c r="DM303" i="5"/>
  <c r="DL303" i="5"/>
  <c r="DO302" i="5"/>
  <c r="DN302" i="5"/>
  <c r="DM302" i="5"/>
  <c r="DL302" i="5"/>
  <c r="DO301" i="5"/>
  <c r="DN301" i="5"/>
  <c r="DM301" i="5"/>
  <c r="DL301" i="5"/>
  <c r="DO300" i="5"/>
  <c r="DN300" i="5"/>
  <c r="DM300" i="5"/>
  <c r="DL300" i="5"/>
  <c r="DO299" i="5"/>
  <c r="DN299" i="5"/>
  <c r="DM299" i="5"/>
  <c r="DL299" i="5"/>
  <c r="DL313" i="5" s="1"/>
  <c r="DO297" i="5"/>
  <c r="DN297" i="5"/>
  <c r="DM297" i="5"/>
  <c r="DL297" i="5"/>
  <c r="DO296" i="5"/>
  <c r="DN296" i="5"/>
  <c r="DM296" i="5"/>
  <c r="DL296" i="5"/>
  <c r="DO295" i="5"/>
  <c r="DN295" i="5"/>
  <c r="DM295" i="5"/>
  <c r="DL295" i="5"/>
  <c r="DO294" i="5"/>
  <c r="DN294" i="5"/>
  <c r="DM294" i="5"/>
  <c r="DL294" i="5"/>
  <c r="DO293" i="5"/>
  <c r="DN293" i="5"/>
  <c r="DM293" i="5"/>
  <c r="DL293" i="5"/>
  <c r="DO292" i="5"/>
  <c r="DN292" i="5"/>
  <c r="DM292" i="5"/>
  <c r="DL292" i="5"/>
  <c r="DO291" i="5"/>
  <c r="DN291" i="5"/>
  <c r="DM291" i="5"/>
  <c r="DL291" i="5"/>
  <c r="DO290" i="5"/>
  <c r="DN290" i="5"/>
  <c r="DM290" i="5"/>
  <c r="DL290" i="5"/>
  <c r="DO289" i="5"/>
  <c r="DN289" i="5"/>
  <c r="DM289" i="5"/>
  <c r="DL289" i="5"/>
  <c r="DO288" i="5"/>
  <c r="DO298" i="5" s="1"/>
  <c r="DN288" i="5"/>
  <c r="DM288" i="5"/>
  <c r="DL288" i="5"/>
  <c r="DO285" i="5"/>
  <c r="DN285" i="5"/>
  <c r="DM285" i="5"/>
  <c r="DL285" i="5"/>
  <c r="DO284" i="5"/>
  <c r="DN284" i="5"/>
  <c r="DM284" i="5"/>
  <c r="DL284" i="5"/>
  <c r="DO283" i="5"/>
  <c r="DN283" i="5"/>
  <c r="DM283" i="5"/>
  <c r="DL283" i="5"/>
  <c r="DO282" i="5"/>
  <c r="DN282" i="5"/>
  <c r="DM282" i="5"/>
  <c r="DM286" i="5" s="1"/>
  <c r="DL282" i="5"/>
  <c r="DO280" i="5"/>
  <c r="DN280" i="5"/>
  <c r="DM280" i="5"/>
  <c r="DL280" i="5"/>
  <c r="DO279" i="5"/>
  <c r="DN279" i="5"/>
  <c r="DM279" i="5"/>
  <c r="DL279" i="5"/>
  <c r="DO278" i="5"/>
  <c r="DN278" i="5"/>
  <c r="DM278" i="5"/>
  <c r="DL278" i="5"/>
  <c r="DO277" i="5"/>
  <c r="DN277" i="5"/>
  <c r="DM277" i="5"/>
  <c r="DL277" i="5"/>
  <c r="DO276" i="5"/>
  <c r="DN276" i="5"/>
  <c r="DM276" i="5"/>
  <c r="DL276" i="5"/>
  <c r="DO275" i="5"/>
  <c r="DN275" i="5"/>
  <c r="DM275" i="5"/>
  <c r="DL275" i="5"/>
  <c r="DO274" i="5"/>
  <c r="DN274" i="5"/>
  <c r="DM274" i="5"/>
  <c r="DL274" i="5"/>
  <c r="DO273" i="5"/>
  <c r="DN273" i="5"/>
  <c r="DM273" i="5"/>
  <c r="DL273" i="5"/>
  <c r="DO272" i="5"/>
  <c r="DN272" i="5"/>
  <c r="DM272" i="5"/>
  <c r="DL272" i="5"/>
  <c r="DO271" i="5"/>
  <c r="DN271" i="5"/>
  <c r="DM271" i="5"/>
  <c r="DL271" i="5"/>
  <c r="DO270" i="5"/>
  <c r="DN270" i="5"/>
  <c r="DM270" i="5"/>
  <c r="DL270" i="5"/>
  <c r="DO269" i="5"/>
  <c r="DO281" i="5" s="1"/>
  <c r="DN269" i="5"/>
  <c r="DN281" i="5" s="1"/>
  <c r="DM269" i="5"/>
  <c r="DL269" i="5"/>
  <c r="DO267" i="5"/>
  <c r="DN267" i="5"/>
  <c r="DM267" i="5"/>
  <c r="DL267" i="5"/>
  <c r="DO266" i="5"/>
  <c r="DN266" i="5"/>
  <c r="DM266" i="5"/>
  <c r="DL266" i="5"/>
  <c r="DO265" i="5"/>
  <c r="DN265" i="5"/>
  <c r="DM265" i="5"/>
  <c r="DL265" i="5"/>
  <c r="DO264" i="5"/>
  <c r="DN264" i="5"/>
  <c r="DM264" i="5"/>
  <c r="DL264" i="5"/>
  <c r="DO263" i="5"/>
  <c r="DN263" i="5"/>
  <c r="DM263" i="5"/>
  <c r="DL263" i="5"/>
  <c r="DO262" i="5"/>
  <c r="DN262" i="5"/>
  <c r="DM262" i="5"/>
  <c r="DL262" i="5"/>
  <c r="DO261" i="5"/>
  <c r="DN261" i="5"/>
  <c r="DM261" i="5"/>
  <c r="DL261" i="5"/>
  <c r="DO260" i="5"/>
  <c r="DN260" i="5"/>
  <c r="DM260" i="5"/>
  <c r="DL260" i="5"/>
  <c r="DO259" i="5"/>
  <c r="DN259" i="5"/>
  <c r="DM259" i="5"/>
  <c r="DL259" i="5"/>
  <c r="DO258" i="5"/>
  <c r="DN258" i="5"/>
  <c r="DM258" i="5"/>
  <c r="DL258" i="5"/>
  <c r="DO257" i="5"/>
  <c r="DN257" i="5"/>
  <c r="DM257" i="5"/>
  <c r="DL257" i="5"/>
  <c r="DO256" i="5"/>
  <c r="DN256" i="5"/>
  <c r="DM256" i="5"/>
  <c r="DL256" i="5"/>
  <c r="DO255" i="5"/>
  <c r="DN255" i="5"/>
  <c r="DM255" i="5"/>
  <c r="DL255" i="5"/>
  <c r="DO254" i="5"/>
  <c r="DO268" i="5" s="1"/>
  <c r="DN254" i="5"/>
  <c r="DN268" i="5" s="1"/>
  <c r="DM254" i="5"/>
  <c r="DL254" i="5"/>
  <c r="DL268" i="5" s="1"/>
  <c r="DO252" i="5"/>
  <c r="DN252" i="5"/>
  <c r="DM252" i="5"/>
  <c r="DL252" i="5"/>
  <c r="DO251" i="5"/>
  <c r="DN251" i="5"/>
  <c r="DM251" i="5"/>
  <c r="DL251" i="5"/>
  <c r="DO250" i="5"/>
  <c r="DN250" i="5"/>
  <c r="DM250" i="5"/>
  <c r="DL250" i="5"/>
  <c r="DO249" i="5"/>
  <c r="DN249" i="5"/>
  <c r="DM249" i="5"/>
  <c r="DL249" i="5"/>
  <c r="DO248" i="5"/>
  <c r="DN248" i="5"/>
  <c r="DM248" i="5"/>
  <c r="DL248" i="5"/>
  <c r="DO247" i="5"/>
  <c r="DN247" i="5"/>
  <c r="DM247" i="5"/>
  <c r="DL247" i="5"/>
  <c r="DO246" i="5"/>
  <c r="DN246" i="5"/>
  <c r="DM246" i="5"/>
  <c r="DL246" i="5"/>
  <c r="DO245" i="5"/>
  <c r="DN245" i="5"/>
  <c r="DM245" i="5"/>
  <c r="DL245" i="5"/>
  <c r="DO244" i="5"/>
  <c r="DN244" i="5"/>
  <c r="DM244" i="5"/>
  <c r="DL244" i="5"/>
  <c r="DO243" i="5"/>
  <c r="DO253" i="5" s="1"/>
  <c r="DN243" i="5"/>
  <c r="DN253" i="5" s="1"/>
  <c r="DM243" i="5"/>
  <c r="DM253" i="5" s="1"/>
  <c r="DL243" i="5"/>
  <c r="DL253" i="5" s="1"/>
  <c r="DO240" i="5"/>
  <c r="DN240" i="5"/>
  <c r="DM240" i="5"/>
  <c r="DL240" i="5"/>
  <c r="DO239" i="5"/>
  <c r="DN239" i="5"/>
  <c r="DM239" i="5"/>
  <c r="DL239" i="5"/>
  <c r="DO238" i="5"/>
  <c r="DN238" i="5"/>
  <c r="DM238" i="5"/>
  <c r="DL238" i="5"/>
  <c r="DO237" i="5"/>
  <c r="DO241" i="5" s="1"/>
  <c r="DN237" i="5"/>
  <c r="DN241" i="5" s="1"/>
  <c r="DM237" i="5"/>
  <c r="DL237" i="5"/>
  <c r="DL241" i="5" s="1"/>
  <c r="DO235" i="5"/>
  <c r="DN235" i="5"/>
  <c r="DM235" i="5"/>
  <c r="DL235" i="5"/>
  <c r="DO234" i="5"/>
  <c r="DN234" i="5"/>
  <c r="DM234" i="5"/>
  <c r="DL234" i="5"/>
  <c r="DO233" i="5"/>
  <c r="DN233" i="5"/>
  <c r="DM233" i="5"/>
  <c r="DL233" i="5"/>
  <c r="DO232" i="5"/>
  <c r="DN232" i="5"/>
  <c r="DM232" i="5"/>
  <c r="DL232" i="5"/>
  <c r="DO231" i="5"/>
  <c r="DN231" i="5"/>
  <c r="DM231" i="5"/>
  <c r="DL231" i="5"/>
  <c r="DO230" i="5"/>
  <c r="DN230" i="5"/>
  <c r="DM230" i="5"/>
  <c r="DL230" i="5"/>
  <c r="DO229" i="5"/>
  <c r="DN229" i="5"/>
  <c r="DM229" i="5"/>
  <c r="DL229" i="5"/>
  <c r="DO228" i="5"/>
  <c r="DN228" i="5"/>
  <c r="DM228" i="5"/>
  <c r="DL228" i="5"/>
  <c r="DO227" i="5"/>
  <c r="DN227" i="5"/>
  <c r="DM227" i="5"/>
  <c r="DL227" i="5"/>
  <c r="DO226" i="5"/>
  <c r="DN226" i="5"/>
  <c r="DM226" i="5"/>
  <c r="DL226" i="5"/>
  <c r="DO225" i="5"/>
  <c r="DN225" i="5"/>
  <c r="DM225" i="5"/>
  <c r="DL225" i="5"/>
  <c r="DO224" i="5"/>
  <c r="DO236" i="5" s="1"/>
  <c r="DN224" i="5"/>
  <c r="DN236" i="5" s="1"/>
  <c r="DM224" i="5"/>
  <c r="DM236" i="5" s="1"/>
  <c r="DL224" i="5"/>
  <c r="DL236" i="5" s="1"/>
  <c r="DO222" i="5"/>
  <c r="DN222" i="5"/>
  <c r="DM222" i="5"/>
  <c r="DL222" i="5"/>
  <c r="DO221" i="5"/>
  <c r="DN221" i="5"/>
  <c r="DM221" i="5"/>
  <c r="DL221" i="5"/>
  <c r="DO220" i="5"/>
  <c r="DN220" i="5"/>
  <c r="DM220" i="5"/>
  <c r="DL220" i="5"/>
  <c r="DO219" i="5"/>
  <c r="DN219" i="5"/>
  <c r="DM219" i="5"/>
  <c r="DL219" i="5"/>
  <c r="DO218" i="5"/>
  <c r="DN218" i="5"/>
  <c r="DM218" i="5"/>
  <c r="DL218" i="5"/>
  <c r="DO217" i="5"/>
  <c r="DN217" i="5"/>
  <c r="DM217" i="5"/>
  <c r="DL217" i="5"/>
  <c r="DO216" i="5"/>
  <c r="DN216" i="5"/>
  <c r="DM216" i="5"/>
  <c r="DL216" i="5"/>
  <c r="DO215" i="5"/>
  <c r="DN215" i="5"/>
  <c r="DM215" i="5"/>
  <c r="DL215" i="5"/>
  <c r="DO214" i="5"/>
  <c r="DN214" i="5"/>
  <c r="DM214" i="5"/>
  <c r="DL214" i="5"/>
  <c r="DO213" i="5"/>
  <c r="DN213" i="5"/>
  <c r="DM213" i="5"/>
  <c r="DL213" i="5"/>
  <c r="DO212" i="5"/>
  <c r="DN212" i="5"/>
  <c r="DM212" i="5"/>
  <c r="DL212" i="5"/>
  <c r="DO211" i="5"/>
  <c r="DN211" i="5"/>
  <c r="DM211" i="5"/>
  <c r="DL211" i="5"/>
  <c r="DO210" i="5"/>
  <c r="DN210" i="5"/>
  <c r="DM210" i="5"/>
  <c r="DL210" i="5"/>
  <c r="DO209" i="5"/>
  <c r="DO223" i="5" s="1"/>
  <c r="DN209" i="5"/>
  <c r="DN223" i="5" s="1"/>
  <c r="DM209" i="5"/>
  <c r="DL209" i="5"/>
  <c r="DO207" i="5"/>
  <c r="DN207" i="5"/>
  <c r="DM207" i="5"/>
  <c r="DL207" i="5"/>
  <c r="DO206" i="5"/>
  <c r="DN206" i="5"/>
  <c r="DM206" i="5"/>
  <c r="DL206" i="5"/>
  <c r="DO205" i="5"/>
  <c r="DN205" i="5"/>
  <c r="DM205" i="5"/>
  <c r="DL205" i="5"/>
  <c r="DO204" i="5"/>
  <c r="DN204" i="5"/>
  <c r="DM204" i="5"/>
  <c r="DL204" i="5"/>
  <c r="DO203" i="5"/>
  <c r="DN203" i="5"/>
  <c r="DM203" i="5"/>
  <c r="DL203" i="5"/>
  <c r="DO202" i="5"/>
  <c r="DN202" i="5"/>
  <c r="DM202" i="5"/>
  <c r="DL202" i="5"/>
  <c r="DO201" i="5"/>
  <c r="DN201" i="5"/>
  <c r="DM201" i="5"/>
  <c r="DL201" i="5"/>
  <c r="DO200" i="5"/>
  <c r="DN200" i="5"/>
  <c r="DM200" i="5"/>
  <c r="DL200" i="5"/>
  <c r="DO199" i="5"/>
  <c r="DN199" i="5"/>
  <c r="DM199" i="5"/>
  <c r="DL199" i="5"/>
  <c r="DO198" i="5"/>
  <c r="DN198" i="5"/>
  <c r="DM198" i="5"/>
  <c r="DM208" i="5" s="1"/>
  <c r="DL198" i="5"/>
  <c r="DO195" i="5"/>
  <c r="DN195" i="5"/>
  <c r="DM195" i="5"/>
  <c r="DL195" i="5"/>
  <c r="DO194" i="5"/>
  <c r="DN194" i="5"/>
  <c r="DM194" i="5"/>
  <c r="DL194" i="5"/>
  <c r="DO193" i="5"/>
  <c r="DN193" i="5"/>
  <c r="DM193" i="5"/>
  <c r="DL193" i="5"/>
  <c r="DO192" i="5"/>
  <c r="DN192" i="5"/>
  <c r="DN196" i="5" s="1"/>
  <c r="DM192" i="5"/>
  <c r="DM196" i="5" s="1"/>
  <c r="DL192" i="5"/>
  <c r="DL196" i="5" s="1"/>
  <c r="DO190" i="5"/>
  <c r="DN190" i="5"/>
  <c r="DM190" i="5"/>
  <c r="DL190" i="5"/>
  <c r="DO189" i="5"/>
  <c r="DN189" i="5"/>
  <c r="DM189" i="5"/>
  <c r="DL189" i="5"/>
  <c r="DO188" i="5"/>
  <c r="DN188" i="5"/>
  <c r="DM188" i="5"/>
  <c r="DL188" i="5"/>
  <c r="DO187" i="5"/>
  <c r="DN187" i="5"/>
  <c r="DM187" i="5"/>
  <c r="DL187" i="5"/>
  <c r="DO186" i="5"/>
  <c r="DN186" i="5"/>
  <c r="DM186" i="5"/>
  <c r="DL186" i="5"/>
  <c r="DO185" i="5"/>
  <c r="DN185" i="5"/>
  <c r="DM185" i="5"/>
  <c r="DL185" i="5"/>
  <c r="DO184" i="5"/>
  <c r="DN184" i="5"/>
  <c r="DM184" i="5"/>
  <c r="DL184" i="5"/>
  <c r="DO183" i="5"/>
  <c r="DN183" i="5"/>
  <c r="DM183" i="5"/>
  <c r="DL183" i="5"/>
  <c r="DO182" i="5"/>
  <c r="DN182" i="5"/>
  <c r="DM182" i="5"/>
  <c r="DL182" i="5"/>
  <c r="DO181" i="5"/>
  <c r="DN181" i="5"/>
  <c r="DM181" i="5"/>
  <c r="DL181" i="5"/>
  <c r="DO180" i="5"/>
  <c r="DN180" i="5"/>
  <c r="DM180" i="5"/>
  <c r="DL180" i="5"/>
  <c r="DO179" i="5"/>
  <c r="DO191" i="5" s="1"/>
  <c r="DN179" i="5"/>
  <c r="DN191" i="5" s="1"/>
  <c r="DM179" i="5"/>
  <c r="DL179" i="5"/>
  <c r="DO177" i="5"/>
  <c r="DN177" i="5"/>
  <c r="DM177" i="5"/>
  <c r="DL177" i="5"/>
  <c r="DO176" i="5"/>
  <c r="DN176" i="5"/>
  <c r="DM176" i="5"/>
  <c r="DL176" i="5"/>
  <c r="DO175" i="5"/>
  <c r="DN175" i="5"/>
  <c r="DM175" i="5"/>
  <c r="DL175" i="5"/>
  <c r="DO174" i="5"/>
  <c r="DN174" i="5"/>
  <c r="DM174" i="5"/>
  <c r="DL174" i="5"/>
  <c r="DO173" i="5"/>
  <c r="DN173" i="5"/>
  <c r="DM173" i="5"/>
  <c r="DL173" i="5"/>
  <c r="DO172" i="5"/>
  <c r="DN172" i="5"/>
  <c r="DM172" i="5"/>
  <c r="DL172" i="5"/>
  <c r="DO171" i="5"/>
  <c r="DN171" i="5"/>
  <c r="DM171" i="5"/>
  <c r="DL171" i="5"/>
  <c r="DO170" i="5"/>
  <c r="DN170" i="5"/>
  <c r="DM170" i="5"/>
  <c r="DL170" i="5"/>
  <c r="DO169" i="5"/>
  <c r="DN169" i="5"/>
  <c r="DM169" i="5"/>
  <c r="DL169" i="5"/>
  <c r="DO168" i="5"/>
  <c r="DN168" i="5"/>
  <c r="DM168" i="5"/>
  <c r="DL168" i="5"/>
  <c r="DO167" i="5"/>
  <c r="DN167" i="5"/>
  <c r="DM167" i="5"/>
  <c r="DL167" i="5"/>
  <c r="DO166" i="5"/>
  <c r="DN166" i="5"/>
  <c r="DM166" i="5"/>
  <c r="DL166" i="5"/>
  <c r="DO165" i="5"/>
  <c r="DN165" i="5"/>
  <c r="DM165" i="5"/>
  <c r="DL165" i="5"/>
  <c r="DO164" i="5"/>
  <c r="DO178" i="5" s="1"/>
  <c r="DN164" i="5"/>
  <c r="DN178" i="5" s="1"/>
  <c r="DM164" i="5"/>
  <c r="DM178" i="5" s="1"/>
  <c r="DL164" i="5"/>
  <c r="DO162" i="5"/>
  <c r="DN162" i="5"/>
  <c r="DM162" i="5"/>
  <c r="DL162" i="5"/>
  <c r="DO161" i="5"/>
  <c r="DN161" i="5"/>
  <c r="DM161" i="5"/>
  <c r="DL161" i="5"/>
  <c r="DO160" i="5"/>
  <c r="DN160" i="5"/>
  <c r="DM160" i="5"/>
  <c r="DL160" i="5"/>
  <c r="DO159" i="5"/>
  <c r="DN159" i="5"/>
  <c r="DM159" i="5"/>
  <c r="DL159" i="5"/>
  <c r="DO158" i="5"/>
  <c r="DN158" i="5"/>
  <c r="DM158" i="5"/>
  <c r="DL158" i="5"/>
  <c r="DO157" i="5"/>
  <c r="DN157" i="5"/>
  <c r="DM157" i="5"/>
  <c r="DL157" i="5"/>
  <c r="DO156" i="5"/>
  <c r="DN156" i="5"/>
  <c r="DM156" i="5"/>
  <c r="DL156" i="5"/>
  <c r="DO155" i="5"/>
  <c r="DN155" i="5"/>
  <c r="DM155" i="5"/>
  <c r="DL155" i="5"/>
  <c r="DO154" i="5"/>
  <c r="DN154" i="5"/>
  <c r="DM154" i="5"/>
  <c r="DL154" i="5"/>
  <c r="DO153" i="5"/>
  <c r="DO163" i="5" s="1"/>
  <c r="DN153" i="5"/>
  <c r="DN163" i="5" s="1"/>
  <c r="DN197" i="5" s="1"/>
  <c r="DM153" i="5"/>
  <c r="DM163" i="5" s="1"/>
  <c r="DL153" i="5"/>
  <c r="DO150" i="5"/>
  <c r="DN150" i="5"/>
  <c r="DM150" i="5"/>
  <c r="DL150" i="5"/>
  <c r="DO149" i="5"/>
  <c r="DN149" i="5"/>
  <c r="DM149" i="5"/>
  <c r="DL149" i="5"/>
  <c r="DO148" i="5"/>
  <c r="DN148" i="5"/>
  <c r="DM148" i="5"/>
  <c r="DL148" i="5"/>
  <c r="DO147" i="5"/>
  <c r="DN147" i="5"/>
  <c r="DN151" i="5" s="1"/>
  <c r="DM147" i="5"/>
  <c r="DL147" i="5"/>
  <c r="DO145" i="5"/>
  <c r="DN145" i="5"/>
  <c r="DM145" i="5"/>
  <c r="DL145" i="5"/>
  <c r="DO144" i="5"/>
  <c r="DN144" i="5"/>
  <c r="DM144" i="5"/>
  <c r="DL144" i="5"/>
  <c r="DO143" i="5"/>
  <c r="DN143" i="5"/>
  <c r="DM143" i="5"/>
  <c r="DL143" i="5"/>
  <c r="DO142" i="5"/>
  <c r="DN142" i="5"/>
  <c r="DM142" i="5"/>
  <c r="DL142" i="5"/>
  <c r="DO141" i="5"/>
  <c r="DN141" i="5"/>
  <c r="DM141" i="5"/>
  <c r="DL141" i="5"/>
  <c r="DO140" i="5"/>
  <c r="DN140" i="5"/>
  <c r="DM140" i="5"/>
  <c r="DL140" i="5"/>
  <c r="DO139" i="5"/>
  <c r="DN139" i="5"/>
  <c r="DM139" i="5"/>
  <c r="DL139" i="5"/>
  <c r="DO138" i="5"/>
  <c r="DN138" i="5"/>
  <c r="DM138" i="5"/>
  <c r="DL138" i="5"/>
  <c r="DO137" i="5"/>
  <c r="DN137" i="5"/>
  <c r="DM137" i="5"/>
  <c r="DL137" i="5"/>
  <c r="DO136" i="5"/>
  <c r="DN136" i="5"/>
  <c r="DM136" i="5"/>
  <c r="DL136" i="5"/>
  <c r="DO135" i="5"/>
  <c r="DN135" i="5"/>
  <c r="DM135" i="5"/>
  <c r="DL135" i="5"/>
  <c r="DO134" i="5"/>
  <c r="DN134" i="5"/>
  <c r="DM134" i="5"/>
  <c r="DL134" i="5"/>
  <c r="DO132" i="5"/>
  <c r="DN132" i="5"/>
  <c r="DM132" i="5"/>
  <c r="DL132" i="5"/>
  <c r="DO131" i="5"/>
  <c r="DN131" i="5"/>
  <c r="DM131" i="5"/>
  <c r="DL131" i="5"/>
  <c r="DO130" i="5"/>
  <c r="DN130" i="5"/>
  <c r="DM130" i="5"/>
  <c r="DL130" i="5"/>
  <c r="DO129" i="5"/>
  <c r="DN129" i="5"/>
  <c r="DM129" i="5"/>
  <c r="DL129" i="5"/>
  <c r="DO128" i="5"/>
  <c r="DN128" i="5"/>
  <c r="DM128" i="5"/>
  <c r="DL128" i="5"/>
  <c r="DO127" i="5"/>
  <c r="DN127" i="5"/>
  <c r="DM127" i="5"/>
  <c r="DL127" i="5"/>
  <c r="DO126" i="5"/>
  <c r="DN126" i="5"/>
  <c r="DM126" i="5"/>
  <c r="DL126" i="5"/>
  <c r="DO125" i="5"/>
  <c r="DN125" i="5"/>
  <c r="DM125" i="5"/>
  <c r="DL125" i="5"/>
  <c r="DO124" i="5"/>
  <c r="DN124" i="5"/>
  <c r="DM124" i="5"/>
  <c r="DL124" i="5"/>
  <c r="DO123" i="5"/>
  <c r="DN123" i="5"/>
  <c r="DM123" i="5"/>
  <c r="DL123" i="5"/>
  <c r="DO122" i="5"/>
  <c r="DN122" i="5"/>
  <c r="DM122" i="5"/>
  <c r="DL122" i="5"/>
  <c r="DO121" i="5"/>
  <c r="DN121" i="5"/>
  <c r="DM121" i="5"/>
  <c r="DL121" i="5"/>
  <c r="DO120" i="5"/>
  <c r="DN120" i="5"/>
  <c r="DM120" i="5"/>
  <c r="DL120" i="5"/>
  <c r="DO119" i="5"/>
  <c r="DO133" i="5" s="1"/>
  <c r="DN119" i="5"/>
  <c r="DM119" i="5"/>
  <c r="DL119" i="5"/>
  <c r="DO117" i="5"/>
  <c r="DN117" i="5"/>
  <c r="DM117" i="5"/>
  <c r="DL117" i="5"/>
  <c r="DO116" i="5"/>
  <c r="DN116" i="5"/>
  <c r="DM116" i="5"/>
  <c r="DL116" i="5"/>
  <c r="DO115" i="5"/>
  <c r="DN115" i="5"/>
  <c r="DM115" i="5"/>
  <c r="DL115" i="5"/>
  <c r="DO114" i="5"/>
  <c r="DN114" i="5"/>
  <c r="DM114" i="5"/>
  <c r="DL114" i="5"/>
  <c r="DO113" i="5"/>
  <c r="DN113" i="5"/>
  <c r="DM113" i="5"/>
  <c r="DL113" i="5"/>
  <c r="DO112" i="5"/>
  <c r="DN112" i="5"/>
  <c r="DM112" i="5"/>
  <c r="DL112" i="5"/>
  <c r="DO111" i="5"/>
  <c r="DN111" i="5"/>
  <c r="DM111" i="5"/>
  <c r="DL111" i="5"/>
  <c r="DO110" i="5"/>
  <c r="DN110" i="5"/>
  <c r="DM110" i="5"/>
  <c r="DL110" i="5"/>
  <c r="DO109" i="5"/>
  <c r="DN109" i="5"/>
  <c r="DM109" i="5"/>
  <c r="DL109" i="5"/>
  <c r="DO108" i="5"/>
  <c r="DO118" i="5" s="1"/>
  <c r="DN108" i="5"/>
  <c r="DN118" i="5" s="1"/>
  <c r="DM108" i="5"/>
  <c r="DL108" i="5"/>
  <c r="DO105" i="5"/>
  <c r="DN105" i="5"/>
  <c r="DM105" i="5"/>
  <c r="DL105" i="5"/>
  <c r="DO104" i="5"/>
  <c r="DN104" i="5"/>
  <c r="DM104" i="5"/>
  <c r="DL104" i="5"/>
  <c r="DO103" i="5"/>
  <c r="DN103" i="5"/>
  <c r="DM103" i="5"/>
  <c r="DL103" i="5"/>
  <c r="DO102" i="5"/>
  <c r="DO106" i="5" s="1"/>
  <c r="DN102" i="5"/>
  <c r="DM102" i="5"/>
  <c r="DL102" i="5"/>
  <c r="DO100" i="5"/>
  <c r="DN100" i="5"/>
  <c r="DM100" i="5"/>
  <c r="DL100" i="5"/>
  <c r="DO99" i="5"/>
  <c r="DN99" i="5"/>
  <c r="DM99" i="5"/>
  <c r="DL99" i="5"/>
  <c r="DO98" i="5"/>
  <c r="DN98" i="5"/>
  <c r="DM98" i="5"/>
  <c r="DL98" i="5"/>
  <c r="DO97" i="5"/>
  <c r="DN97" i="5"/>
  <c r="DM97" i="5"/>
  <c r="DL97" i="5"/>
  <c r="DO96" i="5"/>
  <c r="DN96" i="5"/>
  <c r="DM96" i="5"/>
  <c r="DL96" i="5"/>
  <c r="DO95" i="5"/>
  <c r="DN95" i="5"/>
  <c r="DM95" i="5"/>
  <c r="DL95" i="5"/>
  <c r="DO94" i="5"/>
  <c r="DN94" i="5"/>
  <c r="DM94" i="5"/>
  <c r="DL94" i="5"/>
  <c r="DO93" i="5"/>
  <c r="DN93" i="5"/>
  <c r="DM93" i="5"/>
  <c r="DL93" i="5"/>
  <c r="DO92" i="5"/>
  <c r="DN92" i="5"/>
  <c r="DM92" i="5"/>
  <c r="DL92" i="5"/>
  <c r="DO91" i="5"/>
  <c r="DN91" i="5"/>
  <c r="DM91" i="5"/>
  <c r="DL91" i="5"/>
  <c r="DO90" i="5"/>
  <c r="DN90" i="5"/>
  <c r="DM90" i="5"/>
  <c r="DL90" i="5"/>
  <c r="DO89" i="5"/>
  <c r="DO101" i="5" s="1"/>
  <c r="DN89" i="5"/>
  <c r="DN101" i="5" s="1"/>
  <c r="DM89" i="5"/>
  <c r="DL89" i="5"/>
  <c r="DO87" i="5"/>
  <c r="DN87" i="5"/>
  <c r="DM87" i="5"/>
  <c r="DL87" i="5"/>
  <c r="DO86" i="5"/>
  <c r="DN86" i="5"/>
  <c r="DM86" i="5"/>
  <c r="DL86" i="5"/>
  <c r="DO85" i="5"/>
  <c r="DN85" i="5"/>
  <c r="DM85" i="5"/>
  <c r="DL85" i="5"/>
  <c r="DO84" i="5"/>
  <c r="DN84" i="5"/>
  <c r="DM84" i="5"/>
  <c r="DL84" i="5"/>
  <c r="DO83" i="5"/>
  <c r="DN83" i="5"/>
  <c r="DM83" i="5"/>
  <c r="DL83" i="5"/>
  <c r="DO82" i="5"/>
  <c r="DN82" i="5"/>
  <c r="DM82" i="5"/>
  <c r="DL82" i="5"/>
  <c r="DO81" i="5"/>
  <c r="DN81" i="5"/>
  <c r="DM81" i="5"/>
  <c r="DL81" i="5"/>
  <c r="DO80" i="5"/>
  <c r="DN80" i="5"/>
  <c r="DM80" i="5"/>
  <c r="DL80" i="5"/>
  <c r="DO79" i="5"/>
  <c r="DN79" i="5"/>
  <c r="DM79" i="5"/>
  <c r="DL79" i="5"/>
  <c r="DO78" i="5"/>
  <c r="DN78" i="5"/>
  <c r="DM78" i="5"/>
  <c r="DL78" i="5"/>
  <c r="DO77" i="5"/>
  <c r="DN77" i="5"/>
  <c r="DM77" i="5"/>
  <c r="DL77" i="5"/>
  <c r="DO76" i="5"/>
  <c r="DN76" i="5"/>
  <c r="DM76" i="5"/>
  <c r="DL76" i="5"/>
  <c r="DO75" i="5"/>
  <c r="DN75" i="5"/>
  <c r="DM75" i="5"/>
  <c r="DL75" i="5"/>
  <c r="DO74" i="5"/>
  <c r="DO88" i="5" s="1"/>
  <c r="DN74" i="5"/>
  <c r="DM74" i="5"/>
  <c r="DL74" i="5"/>
  <c r="DO72" i="5"/>
  <c r="DN72" i="5"/>
  <c r="DM72" i="5"/>
  <c r="DL72" i="5"/>
  <c r="DO71" i="5"/>
  <c r="DN71" i="5"/>
  <c r="DM71" i="5"/>
  <c r="DL71" i="5"/>
  <c r="DO70" i="5"/>
  <c r="DN70" i="5"/>
  <c r="DM70" i="5"/>
  <c r="DL70" i="5"/>
  <c r="DO69" i="5"/>
  <c r="DN69" i="5"/>
  <c r="DM69" i="5"/>
  <c r="DL69" i="5"/>
  <c r="DO68" i="5"/>
  <c r="DN68" i="5"/>
  <c r="DM68" i="5"/>
  <c r="DL68" i="5"/>
  <c r="DO67" i="5"/>
  <c r="DN67" i="5"/>
  <c r="DM67" i="5"/>
  <c r="DL67" i="5"/>
  <c r="DO66" i="5"/>
  <c r="DN66" i="5"/>
  <c r="DM66" i="5"/>
  <c r="DL66" i="5"/>
  <c r="DO65" i="5"/>
  <c r="DN65" i="5"/>
  <c r="DM65" i="5"/>
  <c r="DL65" i="5"/>
  <c r="DO64" i="5"/>
  <c r="DN64" i="5"/>
  <c r="DM64" i="5"/>
  <c r="DL64" i="5"/>
  <c r="DO63" i="5"/>
  <c r="DN63" i="5"/>
  <c r="DM63" i="5"/>
  <c r="DL63" i="5"/>
  <c r="DL151" i="5" l="1"/>
  <c r="D25" i="9"/>
  <c r="D35" i="9"/>
  <c r="D108" i="10"/>
  <c r="DO208" i="5"/>
  <c r="DO242" i="5" s="1"/>
  <c r="DO326" i="5"/>
  <c r="BS333" i="5"/>
  <c r="BR333" i="5"/>
  <c r="DL286" i="5"/>
  <c r="DM241" i="5"/>
  <c r="AQ333" i="5"/>
  <c r="DL163" i="5"/>
  <c r="AL333" i="5"/>
  <c r="DN313" i="5"/>
  <c r="DN106" i="5"/>
  <c r="DN298" i="5"/>
  <c r="DN286" i="5"/>
  <c r="DN287" i="5" s="1"/>
  <c r="AO333" i="5"/>
  <c r="DL331" i="5"/>
  <c r="AN333" i="5"/>
  <c r="AK333" i="5"/>
  <c r="AI333" i="5"/>
  <c r="AM333" i="5"/>
  <c r="AJ333" i="5"/>
  <c r="DL298" i="5"/>
  <c r="AD333" i="5"/>
  <c r="AB333" i="5"/>
  <c r="AC333" i="5"/>
  <c r="DN208" i="5"/>
  <c r="DN242" i="5" s="1"/>
  <c r="DN326" i="5"/>
  <c r="DN331" i="5"/>
  <c r="DL326" i="5"/>
  <c r="AY333" i="5"/>
  <c r="AX333" i="5"/>
  <c r="DL208" i="5"/>
  <c r="DM191" i="5"/>
  <c r="DM197" i="5" s="1"/>
  <c r="DO313" i="5"/>
  <c r="DO332" i="5" s="1"/>
  <c r="DM313" i="5"/>
  <c r="CB333" i="5"/>
  <c r="DM298" i="5"/>
  <c r="DM331" i="5"/>
  <c r="DM281" i="5"/>
  <c r="DO151" i="5"/>
  <c r="DM326" i="5"/>
  <c r="DL146" i="5"/>
  <c r="DN146" i="5"/>
  <c r="DM146" i="5"/>
  <c r="DL133" i="5"/>
  <c r="DN133" i="5"/>
  <c r="DL118" i="5"/>
  <c r="DM106" i="5"/>
  <c r="DL101" i="5"/>
  <c r="DL88" i="5"/>
  <c r="DN88" i="5"/>
  <c r="DN73" i="5"/>
  <c r="DM73" i="5"/>
  <c r="DM101" i="5"/>
  <c r="DM118" i="5"/>
  <c r="DM268" i="5"/>
  <c r="DM151" i="5"/>
  <c r="DM223" i="5"/>
  <c r="DM242" i="5" s="1"/>
  <c r="DL106" i="5"/>
  <c r="DM88" i="5"/>
  <c r="DL73" i="5"/>
  <c r="DL281" i="5"/>
  <c r="DL223" i="5"/>
  <c r="DL242" i="5" s="1"/>
  <c r="DL178" i="5"/>
  <c r="DL191" i="5"/>
  <c r="DM133" i="5"/>
  <c r="DO286" i="5"/>
  <c r="DO73" i="5"/>
  <c r="DO107" i="5" s="1"/>
  <c r="DO146" i="5"/>
  <c r="DO196" i="5"/>
  <c r="DO197" i="5" s="1"/>
  <c r="DO287" i="5"/>
  <c r="E3" i="1"/>
  <c r="DK326" i="5"/>
  <c r="DJ326" i="5"/>
  <c r="DI326" i="5"/>
  <c r="DH326" i="5"/>
  <c r="DG326" i="5"/>
  <c r="DF326" i="5"/>
  <c r="DE326" i="5"/>
  <c r="DD326" i="5"/>
  <c r="DC326" i="5"/>
  <c r="DB326" i="5"/>
  <c r="DA326" i="5"/>
  <c r="CZ326" i="5"/>
  <c r="CY326" i="5"/>
  <c r="CX326" i="5"/>
  <c r="CW326" i="5"/>
  <c r="CV326" i="5"/>
  <c r="CU326" i="5"/>
  <c r="CT326" i="5"/>
  <c r="CS326" i="5"/>
  <c r="CR326" i="5"/>
  <c r="CQ326" i="5"/>
  <c r="CP326" i="5"/>
  <c r="CO326" i="5"/>
  <c r="CN326" i="5"/>
  <c r="CM326" i="5"/>
  <c r="CL326" i="5"/>
  <c r="CK326" i="5"/>
  <c r="CJ326" i="5"/>
  <c r="CI326" i="5"/>
  <c r="CH326" i="5"/>
  <c r="CG326" i="5"/>
  <c r="CF326" i="5"/>
  <c r="CE326" i="5"/>
  <c r="CD326" i="5"/>
  <c r="CC326" i="5"/>
  <c r="CA326" i="5"/>
  <c r="BZ326" i="5"/>
  <c r="BY326" i="5"/>
  <c r="BX326" i="5"/>
  <c r="BW326" i="5"/>
  <c r="BV326" i="5"/>
  <c r="BU326" i="5"/>
  <c r="BT326" i="5"/>
  <c r="BQ326" i="5"/>
  <c r="BP326" i="5"/>
  <c r="BO326" i="5"/>
  <c r="BN326" i="5"/>
  <c r="BM326" i="5"/>
  <c r="BL326" i="5"/>
  <c r="BK326" i="5"/>
  <c r="BJ326" i="5"/>
  <c r="BI326" i="5"/>
  <c r="BH326" i="5"/>
  <c r="BG326" i="5"/>
  <c r="BF326" i="5"/>
  <c r="BE326" i="5"/>
  <c r="BD326" i="5"/>
  <c r="BC326" i="5"/>
  <c r="BB326" i="5"/>
  <c r="BA326" i="5"/>
  <c r="AZ326" i="5"/>
  <c r="AW326" i="5"/>
  <c r="AV326" i="5"/>
  <c r="AU326" i="5"/>
  <c r="AT326" i="5"/>
  <c r="AS326" i="5"/>
  <c r="AR326" i="5"/>
  <c r="AP326" i="5"/>
  <c r="AH326" i="5"/>
  <c r="AG326" i="5"/>
  <c r="AF326" i="5"/>
  <c r="AE326" i="5"/>
  <c r="AA326" i="5"/>
  <c r="Z326" i="5"/>
  <c r="Y326" i="5"/>
  <c r="X326" i="5"/>
  <c r="W326" i="5"/>
  <c r="V326" i="5"/>
  <c r="U326" i="5"/>
  <c r="T326" i="5"/>
  <c r="S326" i="5"/>
  <c r="R326" i="5"/>
  <c r="Q326" i="5"/>
  <c r="P326" i="5"/>
  <c r="O326" i="5"/>
  <c r="N326" i="5"/>
  <c r="M326" i="5"/>
  <c r="L326" i="5"/>
  <c r="K326" i="5"/>
  <c r="J326" i="5"/>
  <c r="DK331" i="5"/>
  <c r="DJ331" i="5"/>
  <c r="DI331" i="5"/>
  <c r="DH331" i="5"/>
  <c r="DG331" i="5"/>
  <c r="DF331" i="5"/>
  <c r="DE331" i="5"/>
  <c r="DD331" i="5"/>
  <c r="DC331" i="5"/>
  <c r="DB331" i="5"/>
  <c r="DA331" i="5"/>
  <c r="CZ331" i="5"/>
  <c r="CY331" i="5"/>
  <c r="CX331" i="5"/>
  <c r="CW331" i="5"/>
  <c r="CV331" i="5"/>
  <c r="CU331" i="5"/>
  <c r="CT331" i="5"/>
  <c r="CS331" i="5"/>
  <c r="CR331" i="5"/>
  <c r="CQ331" i="5"/>
  <c r="CP331" i="5"/>
  <c r="CO331" i="5"/>
  <c r="CN331" i="5"/>
  <c r="CM331" i="5"/>
  <c r="CL331" i="5"/>
  <c r="CK331" i="5"/>
  <c r="CJ331" i="5"/>
  <c r="CI331" i="5"/>
  <c r="CH331" i="5"/>
  <c r="CG331" i="5"/>
  <c r="CF331" i="5"/>
  <c r="CE331" i="5"/>
  <c r="CD331" i="5"/>
  <c r="CC331" i="5"/>
  <c r="CA331" i="5"/>
  <c r="BZ331" i="5"/>
  <c r="BY331" i="5"/>
  <c r="BX331" i="5"/>
  <c r="BW331" i="5"/>
  <c r="BV331" i="5"/>
  <c r="BU331" i="5"/>
  <c r="BT331" i="5"/>
  <c r="BQ331" i="5"/>
  <c r="BP331" i="5"/>
  <c r="BO331" i="5"/>
  <c r="BN331" i="5"/>
  <c r="BM331" i="5"/>
  <c r="BL331" i="5"/>
  <c r="BK331" i="5"/>
  <c r="BJ331" i="5"/>
  <c r="BI331" i="5"/>
  <c r="BH331" i="5"/>
  <c r="BG331" i="5"/>
  <c r="BF331" i="5"/>
  <c r="BE331" i="5"/>
  <c r="BD331" i="5"/>
  <c r="BC331" i="5"/>
  <c r="BB331" i="5"/>
  <c r="BA331" i="5"/>
  <c r="AZ331" i="5"/>
  <c r="AW331" i="5"/>
  <c r="AV331" i="5"/>
  <c r="AU331" i="5"/>
  <c r="AT331" i="5"/>
  <c r="AS331" i="5"/>
  <c r="AR331" i="5"/>
  <c r="AP331" i="5"/>
  <c r="AH331" i="5"/>
  <c r="AG331" i="5"/>
  <c r="AF331" i="5"/>
  <c r="AE331" i="5"/>
  <c r="AA331" i="5"/>
  <c r="Z331" i="5"/>
  <c r="Y331" i="5"/>
  <c r="X331" i="5"/>
  <c r="W331" i="5"/>
  <c r="V331" i="5"/>
  <c r="U331" i="5"/>
  <c r="T331" i="5"/>
  <c r="S331" i="5"/>
  <c r="R331" i="5"/>
  <c r="Q331" i="5"/>
  <c r="P331" i="5"/>
  <c r="O331" i="5"/>
  <c r="N331" i="5"/>
  <c r="M331" i="5"/>
  <c r="L331" i="5"/>
  <c r="K331" i="5"/>
  <c r="J331" i="5"/>
  <c r="DK286" i="5"/>
  <c r="DJ286" i="5"/>
  <c r="DI286" i="5"/>
  <c r="DH286" i="5"/>
  <c r="DG286" i="5"/>
  <c r="DF286" i="5"/>
  <c r="DE286" i="5"/>
  <c r="DD286" i="5"/>
  <c r="DC286" i="5"/>
  <c r="DB286" i="5"/>
  <c r="DA286" i="5"/>
  <c r="CZ286" i="5"/>
  <c r="CY286" i="5"/>
  <c r="CX286" i="5"/>
  <c r="CW286" i="5"/>
  <c r="CV286" i="5"/>
  <c r="CU286" i="5"/>
  <c r="CT286" i="5"/>
  <c r="CS286" i="5"/>
  <c r="CR286" i="5"/>
  <c r="CQ286" i="5"/>
  <c r="CP286" i="5"/>
  <c r="CO286" i="5"/>
  <c r="CN286" i="5"/>
  <c r="CM286" i="5"/>
  <c r="CL286" i="5"/>
  <c r="CK286" i="5"/>
  <c r="CJ286" i="5"/>
  <c r="CI286" i="5"/>
  <c r="CH286" i="5"/>
  <c r="CG286" i="5"/>
  <c r="CF286" i="5"/>
  <c r="CE286" i="5"/>
  <c r="CD286" i="5"/>
  <c r="CC286" i="5"/>
  <c r="CA286" i="5"/>
  <c r="BZ286" i="5"/>
  <c r="BY286" i="5"/>
  <c r="BX286" i="5"/>
  <c r="BW286" i="5"/>
  <c r="BV286" i="5"/>
  <c r="BU286" i="5"/>
  <c r="BT286" i="5"/>
  <c r="BQ286" i="5"/>
  <c r="BP286" i="5"/>
  <c r="BO286" i="5"/>
  <c r="BN286" i="5"/>
  <c r="BM286" i="5"/>
  <c r="BL286" i="5"/>
  <c r="BK286" i="5"/>
  <c r="BJ286" i="5"/>
  <c r="BI286" i="5"/>
  <c r="BH286" i="5"/>
  <c r="BG286" i="5"/>
  <c r="BF286" i="5"/>
  <c r="BE286" i="5"/>
  <c r="BD286" i="5"/>
  <c r="BC286" i="5"/>
  <c r="BB286" i="5"/>
  <c r="BA286" i="5"/>
  <c r="AZ286" i="5"/>
  <c r="AW286" i="5"/>
  <c r="AV286" i="5"/>
  <c r="AU286" i="5"/>
  <c r="AT286" i="5"/>
  <c r="AS286" i="5"/>
  <c r="AR286" i="5"/>
  <c r="AP286" i="5"/>
  <c r="AH286" i="5"/>
  <c r="AG286" i="5"/>
  <c r="AF286" i="5"/>
  <c r="AE286" i="5"/>
  <c r="AA286" i="5"/>
  <c r="Z286" i="5"/>
  <c r="Y286" i="5"/>
  <c r="X286" i="5"/>
  <c r="W286" i="5"/>
  <c r="V286" i="5"/>
  <c r="U286" i="5"/>
  <c r="T286" i="5"/>
  <c r="S286" i="5"/>
  <c r="R286" i="5"/>
  <c r="Q286" i="5"/>
  <c r="P286" i="5"/>
  <c r="O286" i="5"/>
  <c r="N286" i="5"/>
  <c r="M286" i="5"/>
  <c r="L286" i="5"/>
  <c r="K286" i="5"/>
  <c r="J286" i="5"/>
  <c r="DK241" i="5"/>
  <c r="DJ241" i="5"/>
  <c r="DI241" i="5"/>
  <c r="DH241" i="5"/>
  <c r="DG241" i="5"/>
  <c r="DF241" i="5"/>
  <c r="DE241" i="5"/>
  <c r="DD241" i="5"/>
  <c r="DC241" i="5"/>
  <c r="DB241" i="5"/>
  <c r="DA241" i="5"/>
  <c r="CZ241" i="5"/>
  <c r="CY241" i="5"/>
  <c r="CX241" i="5"/>
  <c r="CW241" i="5"/>
  <c r="CV241" i="5"/>
  <c r="CU241" i="5"/>
  <c r="CT241" i="5"/>
  <c r="CS241" i="5"/>
  <c r="CR241" i="5"/>
  <c r="CQ241" i="5"/>
  <c r="CP241" i="5"/>
  <c r="CO241" i="5"/>
  <c r="CN241" i="5"/>
  <c r="CM241" i="5"/>
  <c r="CL241" i="5"/>
  <c r="CK241" i="5"/>
  <c r="CJ241" i="5"/>
  <c r="CI241" i="5"/>
  <c r="CH241" i="5"/>
  <c r="CG241" i="5"/>
  <c r="CF241" i="5"/>
  <c r="CE241" i="5"/>
  <c r="CD241" i="5"/>
  <c r="CC241" i="5"/>
  <c r="CA241" i="5"/>
  <c r="BZ241" i="5"/>
  <c r="BY241" i="5"/>
  <c r="BX241" i="5"/>
  <c r="BW241" i="5"/>
  <c r="BV241" i="5"/>
  <c r="BU241" i="5"/>
  <c r="BT241" i="5"/>
  <c r="BQ241" i="5"/>
  <c r="BP241" i="5"/>
  <c r="BO241" i="5"/>
  <c r="BN241" i="5"/>
  <c r="BM241" i="5"/>
  <c r="BL241" i="5"/>
  <c r="BK241" i="5"/>
  <c r="BJ241" i="5"/>
  <c r="BI241" i="5"/>
  <c r="BH241" i="5"/>
  <c r="BG241" i="5"/>
  <c r="BF241" i="5"/>
  <c r="BE241" i="5"/>
  <c r="BD241" i="5"/>
  <c r="BC241" i="5"/>
  <c r="BB241" i="5"/>
  <c r="BA241" i="5"/>
  <c r="AZ241" i="5"/>
  <c r="AW241" i="5"/>
  <c r="AV241" i="5"/>
  <c r="AU241" i="5"/>
  <c r="AT241" i="5"/>
  <c r="AS241" i="5"/>
  <c r="AR241" i="5"/>
  <c r="AP241" i="5"/>
  <c r="AH241" i="5"/>
  <c r="AG241" i="5"/>
  <c r="AF241" i="5"/>
  <c r="AE241" i="5"/>
  <c r="AA241" i="5"/>
  <c r="Z241" i="5"/>
  <c r="Y241" i="5"/>
  <c r="X241" i="5"/>
  <c r="W241" i="5"/>
  <c r="V241" i="5"/>
  <c r="U241" i="5"/>
  <c r="T241" i="5"/>
  <c r="S241" i="5"/>
  <c r="R241" i="5"/>
  <c r="Q241" i="5"/>
  <c r="P241" i="5"/>
  <c r="O241" i="5"/>
  <c r="N241" i="5"/>
  <c r="M241" i="5"/>
  <c r="L241" i="5"/>
  <c r="K241" i="5"/>
  <c r="J241" i="5"/>
  <c r="DK196" i="5"/>
  <c r="DJ196" i="5"/>
  <c r="DI196" i="5"/>
  <c r="DH196" i="5"/>
  <c r="DG196" i="5"/>
  <c r="DF196" i="5"/>
  <c r="DE196" i="5"/>
  <c r="DD196" i="5"/>
  <c r="DC196" i="5"/>
  <c r="DB196" i="5"/>
  <c r="DA196" i="5"/>
  <c r="CZ196" i="5"/>
  <c r="CY196" i="5"/>
  <c r="CX196" i="5"/>
  <c r="CW196" i="5"/>
  <c r="CV196" i="5"/>
  <c r="CU196" i="5"/>
  <c r="CT196" i="5"/>
  <c r="CS196" i="5"/>
  <c r="CR196" i="5"/>
  <c r="CQ196" i="5"/>
  <c r="CP196" i="5"/>
  <c r="CO196" i="5"/>
  <c r="CN196" i="5"/>
  <c r="CM196" i="5"/>
  <c r="CL196" i="5"/>
  <c r="CK196" i="5"/>
  <c r="CJ196" i="5"/>
  <c r="CI196" i="5"/>
  <c r="CH196" i="5"/>
  <c r="CG196" i="5"/>
  <c r="CF196" i="5"/>
  <c r="CE196" i="5"/>
  <c r="CD196" i="5"/>
  <c r="CC196" i="5"/>
  <c r="CA196" i="5"/>
  <c r="BZ196" i="5"/>
  <c r="BY196" i="5"/>
  <c r="BX196" i="5"/>
  <c r="BW196" i="5"/>
  <c r="BV196" i="5"/>
  <c r="BU196" i="5"/>
  <c r="BT196" i="5"/>
  <c r="BQ196" i="5"/>
  <c r="BP196" i="5"/>
  <c r="BO196" i="5"/>
  <c r="BN196" i="5"/>
  <c r="BM196" i="5"/>
  <c r="BL196" i="5"/>
  <c r="BK196" i="5"/>
  <c r="BJ196" i="5"/>
  <c r="BI196" i="5"/>
  <c r="BH196" i="5"/>
  <c r="BG196" i="5"/>
  <c r="BF196" i="5"/>
  <c r="BE196" i="5"/>
  <c r="BD196" i="5"/>
  <c r="BC196" i="5"/>
  <c r="BB196" i="5"/>
  <c r="BA196" i="5"/>
  <c r="AZ196" i="5"/>
  <c r="AW196" i="5"/>
  <c r="AV196" i="5"/>
  <c r="AU196" i="5"/>
  <c r="AT196" i="5"/>
  <c r="AS196" i="5"/>
  <c r="AR196" i="5"/>
  <c r="AP196" i="5"/>
  <c r="AH196" i="5"/>
  <c r="AG196" i="5"/>
  <c r="AF196" i="5"/>
  <c r="AE196" i="5"/>
  <c r="AA196" i="5"/>
  <c r="Z196" i="5"/>
  <c r="Y196" i="5"/>
  <c r="X196" i="5"/>
  <c r="W196" i="5"/>
  <c r="V196" i="5"/>
  <c r="U196" i="5"/>
  <c r="T196" i="5"/>
  <c r="S196" i="5"/>
  <c r="R196" i="5"/>
  <c r="Q196" i="5"/>
  <c r="P196" i="5"/>
  <c r="O196" i="5"/>
  <c r="N196" i="5"/>
  <c r="M196" i="5"/>
  <c r="L196" i="5"/>
  <c r="K196" i="5"/>
  <c r="J196" i="5"/>
  <c r="DK151" i="5"/>
  <c r="DJ151" i="5"/>
  <c r="DI151" i="5"/>
  <c r="DH151" i="5"/>
  <c r="DG151" i="5"/>
  <c r="DF151" i="5"/>
  <c r="DE151" i="5"/>
  <c r="DD151" i="5"/>
  <c r="DC151" i="5"/>
  <c r="DB151" i="5"/>
  <c r="DA151" i="5"/>
  <c r="CZ151" i="5"/>
  <c r="CY151" i="5"/>
  <c r="CX151" i="5"/>
  <c r="CW151" i="5"/>
  <c r="CV151" i="5"/>
  <c r="CU151" i="5"/>
  <c r="CT151" i="5"/>
  <c r="CS151" i="5"/>
  <c r="CR151" i="5"/>
  <c r="CQ151" i="5"/>
  <c r="CP151" i="5"/>
  <c r="CO151" i="5"/>
  <c r="CN151" i="5"/>
  <c r="CM151" i="5"/>
  <c r="CL151" i="5"/>
  <c r="CK151" i="5"/>
  <c r="CJ151" i="5"/>
  <c r="CI151" i="5"/>
  <c r="CH151" i="5"/>
  <c r="CG151" i="5"/>
  <c r="CF151" i="5"/>
  <c r="CE151" i="5"/>
  <c r="CD151" i="5"/>
  <c r="CC151" i="5"/>
  <c r="CA151" i="5"/>
  <c r="BZ151" i="5"/>
  <c r="BY151" i="5"/>
  <c r="BX151" i="5"/>
  <c r="BW151" i="5"/>
  <c r="BV151" i="5"/>
  <c r="BU151" i="5"/>
  <c r="BT151" i="5"/>
  <c r="BQ151" i="5"/>
  <c r="BP151" i="5"/>
  <c r="BO151" i="5"/>
  <c r="BN151" i="5"/>
  <c r="BM151" i="5"/>
  <c r="BL151" i="5"/>
  <c r="BK151" i="5"/>
  <c r="BJ151" i="5"/>
  <c r="BI151" i="5"/>
  <c r="BH151" i="5"/>
  <c r="BG151" i="5"/>
  <c r="BF151" i="5"/>
  <c r="BE151" i="5"/>
  <c r="BD151" i="5"/>
  <c r="BC151" i="5"/>
  <c r="BB151" i="5"/>
  <c r="BA151" i="5"/>
  <c r="AZ151" i="5"/>
  <c r="AW151" i="5"/>
  <c r="AV151" i="5"/>
  <c r="AU151" i="5"/>
  <c r="AT151" i="5"/>
  <c r="AS151" i="5"/>
  <c r="AR151" i="5"/>
  <c r="AP151" i="5"/>
  <c r="AH151" i="5"/>
  <c r="AG151" i="5"/>
  <c r="AF151" i="5"/>
  <c r="AE151" i="5"/>
  <c r="AA151" i="5"/>
  <c r="Z151" i="5"/>
  <c r="Y151" i="5"/>
  <c r="X151" i="5"/>
  <c r="W151" i="5"/>
  <c r="V151" i="5"/>
  <c r="U151" i="5"/>
  <c r="T151" i="5"/>
  <c r="S151" i="5"/>
  <c r="R151" i="5"/>
  <c r="Q151" i="5"/>
  <c r="P151" i="5"/>
  <c r="O151" i="5"/>
  <c r="N151" i="5"/>
  <c r="M151" i="5"/>
  <c r="L151" i="5"/>
  <c r="K151" i="5"/>
  <c r="J151" i="5"/>
  <c r="DK281" i="5"/>
  <c r="DJ281" i="5"/>
  <c r="DI281" i="5"/>
  <c r="DH281" i="5"/>
  <c r="DG281" i="5"/>
  <c r="DF281" i="5"/>
  <c r="DE281" i="5"/>
  <c r="DD281" i="5"/>
  <c r="DC281" i="5"/>
  <c r="DB281" i="5"/>
  <c r="DA281" i="5"/>
  <c r="CZ281" i="5"/>
  <c r="CY281" i="5"/>
  <c r="CX281" i="5"/>
  <c r="CW281" i="5"/>
  <c r="CV281" i="5"/>
  <c r="CU281" i="5"/>
  <c r="CT281" i="5"/>
  <c r="CS281" i="5"/>
  <c r="CR281" i="5"/>
  <c r="CQ281" i="5"/>
  <c r="CP281" i="5"/>
  <c r="CO281" i="5"/>
  <c r="CN281" i="5"/>
  <c r="CM281" i="5"/>
  <c r="CL281" i="5"/>
  <c r="CK281" i="5"/>
  <c r="CJ281" i="5"/>
  <c r="CI281" i="5"/>
  <c r="CH281" i="5"/>
  <c r="CG281" i="5"/>
  <c r="CF281" i="5"/>
  <c r="CE281" i="5"/>
  <c r="CD281" i="5"/>
  <c r="CC281" i="5"/>
  <c r="CA281" i="5"/>
  <c r="BZ281" i="5"/>
  <c r="BY281" i="5"/>
  <c r="BX281" i="5"/>
  <c r="BW281" i="5"/>
  <c r="BV281" i="5"/>
  <c r="BU281" i="5"/>
  <c r="BT281" i="5"/>
  <c r="BQ281" i="5"/>
  <c r="BP281" i="5"/>
  <c r="BO281" i="5"/>
  <c r="BN281" i="5"/>
  <c r="BM281" i="5"/>
  <c r="BL281" i="5"/>
  <c r="BK281" i="5"/>
  <c r="BJ281" i="5"/>
  <c r="BI281" i="5"/>
  <c r="BH281" i="5"/>
  <c r="BG281" i="5"/>
  <c r="BF281" i="5"/>
  <c r="BE281" i="5"/>
  <c r="BD281" i="5"/>
  <c r="BC281" i="5"/>
  <c r="BB281" i="5"/>
  <c r="BA281" i="5"/>
  <c r="AZ281" i="5"/>
  <c r="AW281" i="5"/>
  <c r="AV281" i="5"/>
  <c r="AU281" i="5"/>
  <c r="AT281" i="5"/>
  <c r="AS281" i="5"/>
  <c r="AR281" i="5"/>
  <c r="AP281" i="5"/>
  <c r="AH281" i="5"/>
  <c r="AG281" i="5"/>
  <c r="AF281" i="5"/>
  <c r="AE281" i="5"/>
  <c r="AA281" i="5"/>
  <c r="Z281" i="5"/>
  <c r="Y281" i="5"/>
  <c r="X281" i="5"/>
  <c r="W281" i="5"/>
  <c r="V281" i="5"/>
  <c r="U281" i="5"/>
  <c r="T281" i="5"/>
  <c r="S281" i="5"/>
  <c r="R281" i="5"/>
  <c r="Q281" i="5"/>
  <c r="P281" i="5"/>
  <c r="O281" i="5"/>
  <c r="N281" i="5"/>
  <c r="M281" i="5"/>
  <c r="L281" i="5"/>
  <c r="K281" i="5"/>
  <c r="J281" i="5"/>
  <c r="DK236" i="5"/>
  <c r="DJ236" i="5"/>
  <c r="DI236" i="5"/>
  <c r="DH236" i="5"/>
  <c r="DG236" i="5"/>
  <c r="DF236" i="5"/>
  <c r="DE236" i="5"/>
  <c r="DD236" i="5"/>
  <c r="DC236" i="5"/>
  <c r="DB236" i="5"/>
  <c r="DA236" i="5"/>
  <c r="CZ236" i="5"/>
  <c r="CY236" i="5"/>
  <c r="CX236" i="5"/>
  <c r="CW236" i="5"/>
  <c r="CV236" i="5"/>
  <c r="CU236" i="5"/>
  <c r="CT236" i="5"/>
  <c r="CS236" i="5"/>
  <c r="CR236" i="5"/>
  <c r="CQ236" i="5"/>
  <c r="CP236" i="5"/>
  <c r="CO236" i="5"/>
  <c r="CN236" i="5"/>
  <c r="CM236" i="5"/>
  <c r="CL236" i="5"/>
  <c r="CK236" i="5"/>
  <c r="CJ236" i="5"/>
  <c r="CI236" i="5"/>
  <c r="CH236" i="5"/>
  <c r="CG236" i="5"/>
  <c r="CF236" i="5"/>
  <c r="CE236" i="5"/>
  <c r="CD236" i="5"/>
  <c r="CC236" i="5"/>
  <c r="CA236" i="5"/>
  <c r="BZ236" i="5"/>
  <c r="BY236" i="5"/>
  <c r="BX236" i="5"/>
  <c r="BW236" i="5"/>
  <c r="BV236" i="5"/>
  <c r="BU236" i="5"/>
  <c r="BT236" i="5"/>
  <c r="BQ236" i="5"/>
  <c r="BP236" i="5"/>
  <c r="BO236" i="5"/>
  <c r="BN236" i="5"/>
  <c r="BM236" i="5"/>
  <c r="BL236" i="5"/>
  <c r="BK236" i="5"/>
  <c r="BJ236" i="5"/>
  <c r="BI236" i="5"/>
  <c r="BH236" i="5"/>
  <c r="BG236" i="5"/>
  <c r="BF236" i="5"/>
  <c r="BE236" i="5"/>
  <c r="BD236" i="5"/>
  <c r="BC236" i="5"/>
  <c r="BB236" i="5"/>
  <c r="BA236" i="5"/>
  <c r="AZ236" i="5"/>
  <c r="AW236" i="5"/>
  <c r="AV236" i="5"/>
  <c r="AU236" i="5"/>
  <c r="AT236" i="5"/>
  <c r="AS236" i="5"/>
  <c r="AR236" i="5"/>
  <c r="AP236" i="5"/>
  <c r="AH236" i="5"/>
  <c r="AG236" i="5"/>
  <c r="AF236" i="5"/>
  <c r="AE236" i="5"/>
  <c r="AA236" i="5"/>
  <c r="Z236" i="5"/>
  <c r="Y236" i="5"/>
  <c r="X236" i="5"/>
  <c r="W236" i="5"/>
  <c r="V236" i="5"/>
  <c r="U236" i="5"/>
  <c r="T236" i="5"/>
  <c r="S236" i="5"/>
  <c r="R236" i="5"/>
  <c r="Q236" i="5"/>
  <c r="P236" i="5"/>
  <c r="O236" i="5"/>
  <c r="N236" i="5"/>
  <c r="M236" i="5"/>
  <c r="L236" i="5"/>
  <c r="K236" i="5"/>
  <c r="J236" i="5"/>
  <c r="DK191" i="5"/>
  <c r="DJ191" i="5"/>
  <c r="DI191" i="5"/>
  <c r="DH191" i="5"/>
  <c r="DG191" i="5"/>
  <c r="DF191" i="5"/>
  <c r="DE191" i="5"/>
  <c r="DD191" i="5"/>
  <c r="DC191" i="5"/>
  <c r="DB191" i="5"/>
  <c r="DA191" i="5"/>
  <c r="CZ191" i="5"/>
  <c r="CY191" i="5"/>
  <c r="CX191" i="5"/>
  <c r="CW191" i="5"/>
  <c r="CV191" i="5"/>
  <c r="CU191" i="5"/>
  <c r="CT191" i="5"/>
  <c r="CS191" i="5"/>
  <c r="CR191" i="5"/>
  <c r="CQ191" i="5"/>
  <c r="CP191" i="5"/>
  <c r="CO191" i="5"/>
  <c r="CN191" i="5"/>
  <c r="CM191" i="5"/>
  <c r="CL191" i="5"/>
  <c r="CK191" i="5"/>
  <c r="CJ191" i="5"/>
  <c r="CI191" i="5"/>
  <c r="CH191" i="5"/>
  <c r="CG191" i="5"/>
  <c r="CF191" i="5"/>
  <c r="CE191" i="5"/>
  <c r="CD191" i="5"/>
  <c r="CC191" i="5"/>
  <c r="CA191" i="5"/>
  <c r="BZ191" i="5"/>
  <c r="BY191" i="5"/>
  <c r="BX191" i="5"/>
  <c r="BW191" i="5"/>
  <c r="BV191" i="5"/>
  <c r="BU191" i="5"/>
  <c r="BT191" i="5"/>
  <c r="BQ191" i="5"/>
  <c r="BP191" i="5"/>
  <c r="BO191" i="5"/>
  <c r="BN191" i="5"/>
  <c r="BM191" i="5"/>
  <c r="BL191" i="5"/>
  <c r="BK191" i="5"/>
  <c r="BJ191" i="5"/>
  <c r="BI191" i="5"/>
  <c r="BH191" i="5"/>
  <c r="BG191" i="5"/>
  <c r="BF191" i="5"/>
  <c r="BE191" i="5"/>
  <c r="BD191" i="5"/>
  <c r="BC191" i="5"/>
  <c r="BB191" i="5"/>
  <c r="BA191" i="5"/>
  <c r="AZ191" i="5"/>
  <c r="AW191" i="5"/>
  <c r="AV191" i="5"/>
  <c r="AU191" i="5"/>
  <c r="AT191" i="5"/>
  <c r="AS191" i="5"/>
  <c r="AR191" i="5"/>
  <c r="AP191" i="5"/>
  <c r="AH191" i="5"/>
  <c r="AG191" i="5"/>
  <c r="AF191" i="5"/>
  <c r="AE191" i="5"/>
  <c r="AA191" i="5"/>
  <c r="Z191" i="5"/>
  <c r="Y191" i="5"/>
  <c r="X191" i="5"/>
  <c r="W191" i="5"/>
  <c r="V191" i="5"/>
  <c r="U191" i="5"/>
  <c r="T191" i="5"/>
  <c r="S191" i="5"/>
  <c r="R191" i="5"/>
  <c r="Q191" i="5"/>
  <c r="P191" i="5"/>
  <c r="O191" i="5"/>
  <c r="N191" i="5"/>
  <c r="M191" i="5"/>
  <c r="L191" i="5"/>
  <c r="K191" i="5"/>
  <c r="J191" i="5"/>
  <c r="DK146" i="5"/>
  <c r="DJ146" i="5"/>
  <c r="DI146" i="5"/>
  <c r="DH146" i="5"/>
  <c r="DG146" i="5"/>
  <c r="DF146" i="5"/>
  <c r="DE146" i="5"/>
  <c r="DD146" i="5"/>
  <c r="DC146" i="5"/>
  <c r="DB146" i="5"/>
  <c r="DA146" i="5"/>
  <c r="CZ146" i="5"/>
  <c r="CY146" i="5"/>
  <c r="CX146" i="5"/>
  <c r="CW146" i="5"/>
  <c r="CV146" i="5"/>
  <c r="CU146" i="5"/>
  <c r="CT146" i="5"/>
  <c r="CS146" i="5"/>
  <c r="CR146" i="5"/>
  <c r="CQ146" i="5"/>
  <c r="CP146" i="5"/>
  <c r="CO146" i="5"/>
  <c r="CN146" i="5"/>
  <c r="CM146" i="5"/>
  <c r="CL146" i="5"/>
  <c r="CK146" i="5"/>
  <c r="CJ146" i="5"/>
  <c r="CI146" i="5"/>
  <c r="CH146" i="5"/>
  <c r="CG146" i="5"/>
  <c r="CF146" i="5"/>
  <c r="CE146" i="5"/>
  <c r="CD146" i="5"/>
  <c r="CC146" i="5"/>
  <c r="CA146" i="5"/>
  <c r="BZ146" i="5"/>
  <c r="BY146" i="5"/>
  <c r="BX146" i="5"/>
  <c r="BW146" i="5"/>
  <c r="BV146" i="5"/>
  <c r="BU146" i="5"/>
  <c r="BT146" i="5"/>
  <c r="BQ146" i="5"/>
  <c r="BP146" i="5"/>
  <c r="BO146" i="5"/>
  <c r="BN146" i="5"/>
  <c r="BM146" i="5"/>
  <c r="BL146" i="5"/>
  <c r="BK146" i="5"/>
  <c r="BJ146" i="5"/>
  <c r="BI146" i="5"/>
  <c r="BH146" i="5"/>
  <c r="BG146" i="5"/>
  <c r="BF146" i="5"/>
  <c r="BE146" i="5"/>
  <c r="BD146" i="5"/>
  <c r="BC146" i="5"/>
  <c r="BB146" i="5"/>
  <c r="BA146" i="5"/>
  <c r="AZ146" i="5"/>
  <c r="AW146" i="5"/>
  <c r="AV146" i="5"/>
  <c r="AU146" i="5"/>
  <c r="AT146" i="5"/>
  <c r="AS146" i="5"/>
  <c r="AR146" i="5"/>
  <c r="AP146" i="5"/>
  <c r="AH146" i="5"/>
  <c r="AG146" i="5"/>
  <c r="AF146" i="5"/>
  <c r="AE146" i="5"/>
  <c r="AA146" i="5"/>
  <c r="Z146" i="5"/>
  <c r="Y146" i="5"/>
  <c r="X146" i="5"/>
  <c r="W146" i="5"/>
  <c r="V146" i="5"/>
  <c r="U146" i="5"/>
  <c r="T146" i="5"/>
  <c r="S146" i="5"/>
  <c r="R146" i="5"/>
  <c r="Q146" i="5"/>
  <c r="P146" i="5"/>
  <c r="O146" i="5"/>
  <c r="N146" i="5"/>
  <c r="M146" i="5"/>
  <c r="L146" i="5"/>
  <c r="K146" i="5"/>
  <c r="J146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E118" i="5"/>
  <c r="AF118" i="5"/>
  <c r="AG118" i="5"/>
  <c r="AH118" i="5"/>
  <c r="AP118" i="5"/>
  <c r="AR118" i="5"/>
  <c r="AS118" i="5"/>
  <c r="AT118" i="5"/>
  <c r="AU118" i="5"/>
  <c r="AV118" i="5"/>
  <c r="AW118" i="5"/>
  <c r="AZ118" i="5"/>
  <c r="BA118" i="5"/>
  <c r="BB118" i="5"/>
  <c r="BC118" i="5"/>
  <c r="BD118" i="5"/>
  <c r="BE118" i="5"/>
  <c r="BF118" i="5"/>
  <c r="BG118" i="5"/>
  <c r="BH118" i="5"/>
  <c r="BI118" i="5"/>
  <c r="BJ118" i="5"/>
  <c r="BK118" i="5"/>
  <c r="BL118" i="5"/>
  <c r="BM118" i="5"/>
  <c r="BN118" i="5"/>
  <c r="BO118" i="5"/>
  <c r="BP118" i="5"/>
  <c r="BQ118" i="5"/>
  <c r="BT118" i="5"/>
  <c r="BU118" i="5"/>
  <c r="BV118" i="5"/>
  <c r="BW118" i="5"/>
  <c r="BX118" i="5"/>
  <c r="BY118" i="5"/>
  <c r="BZ118" i="5"/>
  <c r="CA118" i="5"/>
  <c r="CC118" i="5"/>
  <c r="CD118" i="5"/>
  <c r="CE118" i="5"/>
  <c r="CF118" i="5"/>
  <c r="CG118" i="5"/>
  <c r="CH118" i="5"/>
  <c r="CI118" i="5"/>
  <c r="CJ118" i="5"/>
  <c r="CK118" i="5"/>
  <c r="CL118" i="5"/>
  <c r="CM118" i="5"/>
  <c r="CN118" i="5"/>
  <c r="CO118" i="5"/>
  <c r="CP118" i="5"/>
  <c r="CQ118" i="5"/>
  <c r="CR118" i="5"/>
  <c r="CS118" i="5"/>
  <c r="CT118" i="5"/>
  <c r="CU118" i="5"/>
  <c r="CV118" i="5"/>
  <c r="CW118" i="5"/>
  <c r="CX118" i="5"/>
  <c r="CY118" i="5"/>
  <c r="CZ118" i="5"/>
  <c r="DA118" i="5"/>
  <c r="DB118" i="5"/>
  <c r="DC118" i="5"/>
  <c r="DD118" i="5"/>
  <c r="DE118" i="5"/>
  <c r="DF118" i="5"/>
  <c r="DG118" i="5"/>
  <c r="DH118" i="5"/>
  <c r="DI118" i="5"/>
  <c r="DJ118" i="5"/>
  <c r="DK118" i="5"/>
  <c r="DK101" i="5"/>
  <c r="DJ101" i="5"/>
  <c r="DI101" i="5"/>
  <c r="DH101" i="5"/>
  <c r="DG101" i="5"/>
  <c r="DF101" i="5"/>
  <c r="DE101" i="5"/>
  <c r="DD101" i="5"/>
  <c r="DC101" i="5"/>
  <c r="DB101" i="5"/>
  <c r="G95" i="9" s="1"/>
  <c r="DA101" i="5"/>
  <c r="G94" i="9" s="1"/>
  <c r="CZ101" i="5"/>
  <c r="G93" i="9" s="1"/>
  <c r="CY101" i="5"/>
  <c r="G92" i="9" s="1"/>
  <c r="CX101" i="5"/>
  <c r="G91" i="9" s="1"/>
  <c r="CW101" i="5"/>
  <c r="G90" i="9" s="1"/>
  <c r="CV101" i="5"/>
  <c r="G89" i="9" s="1"/>
  <c r="CU101" i="5"/>
  <c r="G88" i="9" s="1"/>
  <c r="CT101" i="5"/>
  <c r="G87" i="9" s="1"/>
  <c r="CS101" i="5"/>
  <c r="G86" i="9" s="1"/>
  <c r="CR101" i="5"/>
  <c r="G85" i="9" s="1"/>
  <c r="CQ101" i="5"/>
  <c r="G84" i="9" s="1"/>
  <c r="CP101" i="5"/>
  <c r="G83" i="9" s="1"/>
  <c r="CO101" i="5"/>
  <c r="G82" i="9" s="1"/>
  <c r="CN101" i="5"/>
  <c r="G81" i="9" s="1"/>
  <c r="CM101" i="5"/>
  <c r="G80" i="9" s="1"/>
  <c r="CL101" i="5"/>
  <c r="G79" i="9" s="1"/>
  <c r="CK101" i="5"/>
  <c r="G78" i="9" s="1"/>
  <c r="CJ101" i="5"/>
  <c r="G77" i="9" s="1"/>
  <c r="CI101" i="5"/>
  <c r="G76" i="9" s="1"/>
  <c r="CH101" i="5"/>
  <c r="G75" i="9" s="1"/>
  <c r="CG101" i="5"/>
  <c r="G74" i="9" s="1"/>
  <c r="CF101" i="5"/>
  <c r="G73" i="9" s="1"/>
  <c r="CE101" i="5"/>
  <c r="G72" i="9" s="1"/>
  <c r="CD101" i="5"/>
  <c r="G71" i="9" s="1"/>
  <c r="CC101" i="5"/>
  <c r="G70" i="9" s="1"/>
  <c r="CA101" i="5"/>
  <c r="G69" i="9" s="1"/>
  <c r="BZ101" i="5"/>
  <c r="G68" i="9" s="1"/>
  <c r="BY101" i="5"/>
  <c r="G67" i="9" s="1"/>
  <c r="BX101" i="5"/>
  <c r="G66" i="9" s="1"/>
  <c r="BW101" i="5"/>
  <c r="G65" i="9" s="1"/>
  <c r="BV101" i="5"/>
  <c r="G64" i="9" s="1"/>
  <c r="BU101" i="5"/>
  <c r="G63" i="9" s="1"/>
  <c r="BT101" i="5"/>
  <c r="BQ101" i="5"/>
  <c r="G61" i="9" s="1"/>
  <c r="BP101" i="5"/>
  <c r="G60" i="9" s="1"/>
  <c r="BO101" i="5"/>
  <c r="G59" i="9" s="1"/>
  <c r="BN101" i="5"/>
  <c r="G58" i="9" s="1"/>
  <c r="BM101" i="5"/>
  <c r="G57" i="9" s="1"/>
  <c r="BL101" i="5"/>
  <c r="G56" i="9" s="1"/>
  <c r="BK101" i="5"/>
  <c r="G55" i="9" s="1"/>
  <c r="BJ101" i="5"/>
  <c r="G54" i="9" s="1"/>
  <c r="BI101" i="5"/>
  <c r="G53" i="9" s="1"/>
  <c r="BH101" i="5"/>
  <c r="G52" i="9" s="1"/>
  <c r="BG101" i="5"/>
  <c r="G51" i="9" s="1"/>
  <c r="BF101" i="5"/>
  <c r="G50" i="9" s="1"/>
  <c r="BE101" i="5"/>
  <c r="G49" i="9" s="1"/>
  <c r="BD101" i="5"/>
  <c r="G48" i="9" s="1"/>
  <c r="BC101" i="5"/>
  <c r="G47" i="9" s="1"/>
  <c r="BB101" i="5"/>
  <c r="G46" i="9" s="1"/>
  <c r="BA101" i="5"/>
  <c r="G45" i="9" s="1"/>
  <c r="AZ101" i="5"/>
  <c r="G44" i="9" s="1"/>
  <c r="AW101" i="5"/>
  <c r="G43" i="9" s="1"/>
  <c r="AV101" i="5"/>
  <c r="G42" i="9" s="1"/>
  <c r="AU101" i="5"/>
  <c r="G41" i="9" s="1"/>
  <c r="AT101" i="5"/>
  <c r="G40" i="9" s="1"/>
  <c r="AS101" i="5"/>
  <c r="G39" i="9" s="1"/>
  <c r="AR101" i="5"/>
  <c r="G38" i="9" s="1"/>
  <c r="AP101" i="5"/>
  <c r="G37" i="9" s="1"/>
  <c r="AH101" i="5"/>
  <c r="G34" i="9" s="1"/>
  <c r="AG101" i="5"/>
  <c r="G33" i="9" s="1"/>
  <c r="AF101" i="5"/>
  <c r="G32" i="9" s="1"/>
  <c r="AE101" i="5"/>
  <c r="G31" i="9" s="1"/>
  <c r="AA101" i="5"/>
  <c r="G30" i="9" s="1"/>
  <c r="Z101" i="5"/>
  <c r="G29" i="9" s="1"/>
  <c r="Y101" i="5"/>
  <c r="G28" i="9" s="1"/>
  <c r="X101" i="5"/>
  <c r="G27" i="9" s="1"/>
  <c r="W101" i="5"/>
  <c r="G26" i="9" s="1"/>
  <c r="V101" i="5"/>
  <c r="U101" i="5"/>
  <c r="G24" i="9" s="1"/>
  <c r="T101" i="5"/>
  <c r="G23" i="9" s="1"/>
  <c r="S101" i="5"/>
  <c r="G22" i="9" s="1"/>
  <c r="R101" i="5"/>
  <c r="G21" i="9" s="1"/>
  <c r="Q101" i="5"/>
  <c r="G20" i="9" s="1"/>
  <c r="P101" i="5"/>
  <c r="G19" i="9" s="1"/>
  <c r="O101" i="5"/>
  <c r="G18" i="9" s="1"/>
  <c r="N101" i="5"/>
  <c r="G17" i="9" s="1"/>
  <c r="M101" i="5"/>
  <c r="G16" i="9" s="1"/>
  <c r="L101" i="5"/>
  <c r="G15" i="9" s="1"/>
  <c r="K101" i="5"/>
  <c r="G14" i="9" s="1"/>
  <c r="J101" i="5"/>
  <c r="G13" i="9" s="1"/>
  <c r="DK313" i="5"/>
  <c r="DJ313" i="5"/>
  <c r="DI313" i="5"/>
  <c r="DH313" i="5"/>
  <c r="DG313" i="5"/>
  <c r="DF313" i="5"/>
  <c r="DE313" i="5"/>
  <c r="DD313" i="5"/>
  <c r="DC313" i="5"/>
  <c r="DB313" i="5"/>
  <c r="DA313" i="5"/>
  <c r="CZ313" i="5"/>
  <c r="CY313" i="5"/>
  <c r="CX313" i="5"/>
  <c r="CW313" i="5"/>
  <c r="CV313" i="5"/>
  <c r="CU313" i="5"/>
  <c r="CT313" i="5"/>
  <c r="CS313" i="5"/>
  <c r="CR313" i="5"/>
  <c r="CQ313" i="5"/>
  <c r="CP313" i="5"/>
  <c r="CO313" i="5"/>
  <c r="CN313" i="5"/>
  <c r="CM313" i="5"/>
  <c r="CL313" i="5"/>
  <c r="CK313" i="5"/>
  <c r="CJ313" i="5"/>
  <c r="CI313" i="5"/>
  <c r="CH313" i="5"/>
  <c r="CG313" i="5"/>
  <c r="CF313" i="5"/>
  <c r="CE313" i="5"/>
  <c r="CD313" i="5"/>
  <c r="CC313" i="5"/>
  <c r="CA313" i="5"/>
  <c r="BZ313" i="5"/>
  <c r="BY313" i="5"/>
  <c r="BX313" i="5"/>
  <c r="BW313" i="5"/>
  <c r="BV313" i="5"/>
  <c r="BU313" i="5"/>
  <c r="BT313" i="5"/>
  <c r="BQ313" i="5"/>
  <c r="BP313" i="5"/>
  <c r="BO313" i="5"/>
  <c r="BN313" i="5"/>
  <c r="BM313" i="5"/>
  <c r="BL313" i="5"/>
  <c r="BK313" i="5"/>
  <c r="BJ313" i="5"/>
  <c r="BI313" i="5"/>
  <c r="BH313" i="5"/>
  <c r="BG313" i="5"/>
  <c r="BF313" i="5"/>
  <c r="BE313" i="5"/>
  <c r="BD313" i="5"/>
  <c r="BC313" i="5"/>
  <c r="BB313" i="5"/>
  <c r="BA313" i="5"/>
  <c r="AZ313" i="5"/>
  <c r="AW313" i="5"/>
  <c r="AV313" i="5"/>
  <c r="AU313" i="5"/>
  <c r="AT313" i="5"/>
  <c r="AS313" i="5"/>
  <c r="AR313" i="5"/>
  <c r="AP313" i="5"/>
  <c r="AH313" i="5"/>
  <c r="AG313" i="5"/>
  <c r="AF313" i="5"/>
  <c r="AE313" i="5"/>
  <c r="AA313" i="5"/>
  <c r="Z313" i="5"/>
  <c r="Y313" i="5"/>
  <c r="X313" i="5"/>
  <c r="W313" i="5"/>
  <c r="V313" i="5"/>
  <c r="U313" i="5"/>
  <c r="T313" i="5"/>
  <c r="S313" i="5"/>
  <c r="R313" i="5"/>
  <c r="Q313" i="5"/>
  <c r="P313" i="5"/>
  <c r="O313" i="5"/>
  <c r="N313" i="5"/>
  <c r="M313" i="5"/>
  <c r="L313" i="5"/>
  <c r="K313" i="5"/>
  <c r="J313" i="5"/>
  <c r="DK268" i="5"/>
  <c r="DJ268" i="5"/>
  <c r="DI268" i="5"/>
  <c r="DH268" i="5"/>
  <c r="DG268" i="5"/>
  <c r="DF268" i="5"/>
  <c r="DE268" i="5"/>
  <c r="DD268" i="5"/>
  <c r="DC268" i="5"/>
  <c r="DB268" i="5"/>
  <c r="DA268" i="5"/>
  <c r="CZ268" i="5"/>
  <c r="CY268" i="5"/>
  <c r="CX268" i="5"/>
  <c r="CW268" i="5"/>
  <c r="CV268" i="5"/>
  <c r="CU268" i="5"/>
  <c r="CT268" i="5"/>
  <c r="CS268" i="5"/>
  <c r="CR268" i="5"/>
  <c r="CQ268" i="5"/>
  <c r="CP268" i="5"/>
  <c r="CO268" i="5"/>
  <c r="CN268" i="5"/>
  <c r="CM268" i="5"/>
  <c r="CL268" i="5"/>
  <c r="CK268" i="5"/>
  <c r="CJ268" i="5"/>
  <c r="CI268" i="5"/>
  <c r="CH268" i="5"/>
  <c r="CG268" i="5"/>
  <c r="CF268" i="5"/>
  <c r="CE268" i="5"/>
  <c r="CD268" i="5"/>
  <c r="CC268" i="5"/>
  <c r="CA268" i="5"/>
  <c r="BZ268" i="5"/>
  <c r="BY268" i="5"/>
  <c r="BX268" i="5"/>
  <c r="BW268" i="5"/>
  <c r="BV268" i="5"/>
  <c r="BU268" i="5"/>
  <c r="BT268" i="5"/>
  <c r="BQ268" i="5"/>
  <c r="BP268" i="5"/>
  <c r="BO268" i="5"/>
  <c r="BN268" i="5"/>
  <c r="BM268" i="5"/>
  <c r="BL268" i="5"/>
  <c r="BK268" i="5"/>
  <c r="BJ268" i="5"/>
  <c r="BI268" i="5"/>
  <c r="BH268" i="5"/>
  <c r="BG268" i="5"/>
  <c r="BF268" i="5"/>
  <c r="BE268" i="5"/>
  <c r="BD268" i="5"/>
  <c r="BC268" i="5"/>
  <c r="BB268" i="5"/>
  <c r="BA268" i="5"/>
  <c r="AZ268" i="5"/>
  <c r="AW268" i="5"/>
  <c r="AV268" i="5"/>
  <c r="AU268" i="5"/>
  <c r="AT268" i="5"/>
  <c r="AS268" i="5"/>
  <c r="AR268" i="5"/>
  <c r="AP268" i="5"/>
  <c r="AH268" i="5"/>
  <c r="AG268" i="5"/>
  <c r="AF268" i="5"/>
  <c r="AE268" i="5"/>
  <c r="AA268" i="5"/>
  <c r="Z268" i="5"/>
  <c r="Y268" i="5"/>
  <c r="X268" i="5"/>
  <c r="W268" i="5"/>
  <c r="V268" i="5"/>
  <c r="U268" i="5"/>
  <c r="T268" i="5"/>
  <c r="S268" i="5"/>
  <c r="R268" i="5"/>
  <c r="Q268" i="5"/>
  <c r="P268" i="5"/>
  <c r="O268" i="5"/>
  <c r="N268" i="5"/>
  <c r="M268" i="5"/>
  <c r="L268" i="5"/>
  <c r="K268" i="5"/>
  <c r="J268" i="5"/>
  <c r="DK223" i="5"/>
  <c r="DJ223" i="5"/>
  <c r="DI223" i="5"/>
  <c r="DH223" i="5"/>
  <c r="DG223" i="5"/>
  <c r="DF223" i="5"/>
  <c r="DE223" i="5"/>
  <c r="DD223" i="5"/>
  <c r="DC223" i="5"/>
  <c r="DB223" i="5"/>
  <c r="DA223" i="5"/>
  <c r="CZ223" i="5"/>
  <c r="CY223" i="5"/>
  <c r="CX223" i="5"/>
  <c r="CW223" i="5"/>
  <c r="CV223" i="5"/>
  <c r="CU223" i="5"/>
  <c r="CT223" i="5"/>
  <c r="CS223" i="5"/>
  <c r="CR223" i="5"/>
  <c r="CQ223" i="5"/>
  <c r="CP223" i="5"/>
  <c r="CO223" i="5"/>
  <c r="CN223" i="5"/>
  <c r="CM223" i="5"/>
  <c r="CL223" i="5"/>
  <c r="CK223" i="5"/>
  <c r="CJ223" i="5"/>
  <c r="CI223" i="5"/>
  <c r="CH223" i="5"/>
  <c r="CG223" i="5"/>
  <c r="CF223" i="5"/>
  <c r="CE223" i="5"/>
  <c r="CD223" i="5"/>
  <c r="CC223" i="5"/>
  <c r="CA223" i="5"/>
  <c r="BZ223" i="5"/>
  <c r="BY223" i="5"/>
  <c r="BX223" i="5"/>
  <c r="BW223" i="5"/>
  <c r="BV223" i="5"/>
  <c r="BU223" i="5"/>
  <c r="BT223" i="5"/>
  <c r="BQ223" i="5"/>
  <c r="BP223" i="5"/>
  <c r="BO223" i="5"/>
  <c r="BN223" i="5"/>
  <c r="BM223" i="5"/>
  <c r="BL223" i="5"/>
  <c r="BK223" i="5"/>
  <c r="BJ223" i="5"/>
  <c r="BI223" i="5"/>
  <c r="BH223" i="5"/>
  <c r="BG223" i="5"/>
  <c r="BF223" i="5"/>
  <c r="BE223" i="5"/>
  <c r="BD223" i="5"/>
  <c r="BC223" i="5"/>
  <c r="BB223" i="5"/>
  <c r="BA223" i="5"/>
  <c r="AZ223" i="5"/>
  <c r="AW223" i="5"/>
  <c r="AV223" i="5"/>
  <c r="AU223" i="5"/>
  <c r="AT223" i="5"/>
  <c r="AS223" i="5"/>
  <c r="AR223" i="5"/>
  <c r="AP223" i="5"/>
  <c r="AH223" i="5"/>
  <c r="AG223" i="5"/>
  <c r="AF223" i="5"/>
  <c r="AE223" i="5"/>
  <c r="AA223" i="5"/>
  <c r="Z223" i="5"/>
  <c r="Y223" i="5"/>
  <c r="X223" i="5"/>
  <c r="W223" i="5"/>
  <c r="V223" i="5"/>
  <c r="U223" i="5"/>
  <c r="T223" i="5"/>
  <c r="S223" i="5"/>
  <c r="R223" i="5"/>
  <c r="Q223" i="5"/>
  <c r="P223" i="5"/>
  <c r="O223" i="5"/>
  <c r="N223" i="5"/>
  <c r="M223" i="5"/>
  <c r="L223" i="5"/>
  <c r="K223" i="5"/>
  <c r="J223" i="5"/>
  <c r="DK178" i="5"/>
  <c r="DJ178" i="5"/>
  <c r="DI178" i="5"/>
  <c r="DH178" i="5"/>
  <c r="DG178" i="5"/>
  <c r="DF178" i="5"/>
  <c r="DE178" i="5"/>
  <c r="DD178" i="5"/>
  <c r="DC178" i="5"/>
  <c r="DB178" i="5"/>
  <c r="DA178" i="5"/>
  <c r="CZ178" i="5"/>
  <c r="CY178" i="5"/>
  <c r="CX178" i="5"/>
  <c r="CW178" i="5"/>
  <c r="CV178" i="5"/>
  <c r="CU178" i="5"/>
  <c r="CT178" i="5"/>
  <c r="CS178" i="5"/>
  <c r="CR178" i="5"/>
  <c r="CQ178" i="5"/>
  <c r="CP178" i="5"/>
  <c r="CO178" i="5"/>
  <c r="CN178" i="5"/>
  <c r="CM178" i="5"/>
  <c r="CL178" i="5"/>
  <c r="CK178" i="5"/>
  <c r="CJ178" i="5"/>
  <c r="CI178" i="5"/>
  <c r="CH178" i="5"/>
  <c r="CG178" i="5"/>
  <c r="CF178" i="5"/>
  <c r="CE178" i="5"/>
  <c r="CD178" i="5"/>
  <c r="CC178" i="5"/>
  <c r="CA178" i="5"/>
  <c r="BZ178" i="5"/>
  <c r="BY178" i="5"/>
  <c r="BX178" i="5"/>
  <c r="BW178" i="5"/>
  <c r="BV178" i="5"/>
  <c r="BU178" i="5"/>
  <c r="BT178" i="5"/>
  <c r="BQ178" i="5"/>
  <c r="BP178" i="5"/>
  <c r="BO178" i="5"/>
  <c r="BN178" i="5"/>
  <c r="BM178" i="5"/>
  <c r="BL178" i="5"/>
  <c r="BK178" i="5"/>
  <c r="BJ178" i="5"/>
  <c r="BI178" i="5"/>
  <c r="BH178" i="5"/>
  <c r="BG178" i="5"/>
  <c r="BF178" i="5"/>
  <c r="BE178" i="5"/>
  <c r="BD178" i="5"/>
  <c r="BC178" i="5"/>
  <c r="BB178" i="5"/>
  <c r="BA178" i="5"/>
  <c r="AZ178" i="5"/>
  <c r="AW178" i="5"/>
  <c r="AV178" i="5"/>
  <c r="AU178" i="5"/>
  <c r="AT178" i="5"/>
  <c r="AS178" i="5"/>
  <c r="AR178" i="5"/>
  <c r="AP178" i="5"/>
  <c r="AH178" i="5"/>
  <c r="AG178" i="5"/>
  <c r="AF178" i="5"/>
  <c r="AE178" i="5"/>
  <c r="AA178" i="5"/>
  <c r="Z178" i="5"/>
  <c r="Y178" i="5"/>
  <c r="X178" i="5"/>
  <c r="W178" i="5"/>
  <c r="V178" i="5"/>
  <c r="U178" i="5"/>
  <c r="T178" i="5"/>
  <c r="S178" i="5"/>
  <c r="R178" i="5"/>
  <c r="Q178" i="5"/>
  <c r="P178" i="5"/>
  <c r="O178" i="5"/>
  <c r="N178" i="5"/>
  <c r="M178" i="5"/>
  <c r="L178" i="5"/>
  <c r="K178" i="5"/>
  <c r="J178" i="5"/>
  <c r="DK133" i="5"/>
  <c r="DJ133" i="5"/>
  <c r="DI133" i="5"/>
  <c r="DH133" i="5"/>
  <c r="DG133" i="5"/>
  <c r="DF133" i="5"/>
  <c r="DE133" i="5"/>
  <c r="DD133" i="5"/>
  <c r="DC133" i="5"/>
  <c r="DB133" i="5"/>
  <c r="DA133" i="5"/>
  <c r="CZ133" i="5"/>
  <c r="CY133" i="5"/>
  <c r="CX133" i="5"/>
  <c r="CW133" i="5"/>
  <c r="CV133" i="5"/>
  <c r="CU133" i="5"/>
  <c r="CT133" i="5"/>
  <c r="CS133" i="5"/>
  <c r="CR133" i="5"/>
  <c r="CQ133" i="5"/>
  <c r="CP133" i="5"/>
  <c r="CO133" i="5"/>
  <c r="CN133" i="5"/>
  <c r="CM133" i="5"/>
  <c r="CL133" i="5"/>
  <c r="CK133" i="5"/>
  <c r="CJ133" i="5"/>
  <c r="CI133" i="5"/>
  <c r="CH133" i="5"/>
  <c r="CG133" i="5"/>
  <c r="CF133" i="5"/>
  <c r="CE133" i="5"/>
  <c r="CD133" i="5"/>
  <c r="CC133" i="5"/>
  <c r="CA133" i="5"/>
  <c r="BZ133" i="5"/>
  <c r="BY133" i="5"/>
  <c r="BX133" i="5"/>
  <c r="BW133" i="5"/>
  <c r="BV133" i="5"/>
  <c r="BU133" i="5"/>
  <c r="BT133" i="5"/>
  <c r="BQ133" i="5"/>
  <c r="BP133" i="5"/>
  <c r="BO133" i="5"/>
  <c r="BN133" i="5"/>
  <c r="BM133" i="5"/>
  <c r="BL133" i="5"/>
  <c r="BK133" i="5"/>
  <c r="BJ133" i="5"/>
  <c r="BI133" i="5"/>
  <c r="BH133" i="5"/>
  <c r="BG133" i="5"/>
  <c r="BF133" i="5"/>
  <c r="BE133" i="5"/>
  <c r="BD133" i="5"/>
  <c r="BC133" i="5"/>
  <c r="BB133" i="5"/>
  <c r="BA133" i="5"/>
  <c r="AZ133" i="5"/>
  <c r="AW133" i="5"/>
  <c r="AV133" i="5"/>
  <c r="AU133" i="5"/>
  <c r="AT133" i="5"/>
  <c r="AS133" i="5"/>
  <c r="AR133" i="5"/>
  <c r="AP133" i="5"/>
  <c r="AH133" i="5"/>
  <c r="AG133" i="5"/>
  <c r="AF133" i="5"/>
  <c r="AE133" i="5"/>
  <c r="AA133" i="5"/>
  <c r="Z133" i="5"/>
  <c r="Y133" i="5"/>
  <c r="X133" i="5"/>
  <c r="W133" i="5"/>
  <c r="V133" i="5"/>
  <c r="U133" i="5"/>
  <c r="T133" i="5"/>
  <c r="S133" i="5"/>
  <c r="R133" i="5"/>
  <c r="Q133" i="5"/>
  <c r="P133" i="5"/>
  <c r="O133" i="5"/>
  <c r="N133" i="5"/>
  <c r="M133" i="5"/>
  <c r="L133" i="5"/>
  <c r="K133" i="5"/>
  <c r="J133" i="5"/>
  <c r="DK88" i="5"/>
  <c r="DJ88" i="5"/>
  <c r="DI88" i="5"/>
  <c r="DH88" i="5"/>
  <c r="DG88" i="5"/>
  <c r="DF88" i="5"/>
  <c r="DE88" i="5"/>
  <c r="DD88" i="5"/>
  <c r="DC88" i="5"/>
  <c r="DB88" i="5"/>
  <c r="F95" i="9" s="1"/>
  <c r="DA88" i="5"/>
  <c r="F94" i="9" s="1"/>
  <c r="CZ88" i="5"/>
  <c r="F93" i="9" s="1"/>
  <c r="CY88" i="5"/>
  <c r="F92" i="9" s="1"/>
  <c r="CX88" i="5"/>
  <c r="F91" i="9" s="1"/>
  <c r="CW88" i="5"/>
  <c r="F90" i="9" s="1"/>
  <c r="CV88" i="5"/>
  <c r="F89" i="9" s="1"/>
  <c r="CU88" i="5"/>
  <c r="F88" i="9" s="1"/>
  <c r="CT88" i="5"/>
  <c r="F87" i="9" s="1"/>
  <c r="CS88" i="5"/>
  <c r="F86" i="9" s="1"/>
  <c r="CR88" i="5"/>
  <c r="F85" i="9" s="1"/>
  <c r="CQ88" i="5"/>
  <c r="F84" i="9" s="1"/>
  <c r="CP88" i="5"/>
  <c r="F83" i="9" s="1"/>
  <c r="CO88" i="5"/>
  <c r="F82" i="9" s="1"/>
  <c r="CN88" i="5"/>
  <c r="F81" i="9" s="1"/>
  <c r="CM88" i="5"/>
  <c r="F80" i="9" s="1"/>
  <c r="CL88" i="5"/>
  <c r="F79" i="9" s="1"/>
  <c r="CK88" i="5"/>
  <c r="F78" i="9" s="1"/>
  <c r="CJ88" i="5"/>
  <c r="F77" i="9" s="1"/>
  <c r="CI88" i="5"/>
  <c r="F76" i="9" s="1"/>
  <c r="CH88" i="5"/>
  <c r="F75" i="9" s="1"/>
  <c r="CG88" i="5"/>
  <c r="F74" i="9" s="1"/>
  <c r="CF88" i="5"/>
  <c r="F73" i="9" s="1"/>
  <c r="CE88" i="5"/>
  <c r="F72" i="9" s="1"/>
  <c r="CD88" i="5"/>
  <c r="F71" i="9" s="1"/>
  <c r="CC88" i="5"/>
  <c r="F70" i="9" s="1"/>
  <c r="CA88" i="5"/>
  <c r="F69" i="9" s="1"/>
  <c r="BZ88" i="5"/>
  <c r="F68" i="9" s="1"/>
  <c r="BY88" i="5"/>
  <c r="F67" i="9" s="1"/>
  <c r="BX88" i="5"/>
  <c r="F66" i="9" s="1"/>
  <c r="BW88" i="5"/>
  <c r="F65" i="9" s="1"/>
  <c r="BV88" i="5"/>
  <c r="F64" i="9" s="1"/>
  <c r="BU88" i="5"/>
  <c r="F63" i="9" s="1"/>
  <c r="BT88" i="5"/>
  <c r="BQ88" i="5"/>
  <c r="F61" i="9" s="1"/>
  <c r="BP88" i="5"/>
  <c r="F60" i="9" s="1"/>
  <c r="BO88" i="5"/>
  <c r="F59" i="9" s="1"/>
  <c r="BN88" i="5"/>
  <c r="F58" i="9" s="1"/>
  <c r="BM88" i="5"/>
  <c r="F57" i="9" s="1"/>
  <c r="BL88" i="5"/>
  <c r="F56" i="9" s="1"/>
  <c r="BK88" i="5"/>
  <c r="F55" i="9" s="1"/>
  <c r="BJ88" i="5"/>
  <c r="F54" i="9" s="1"/>
  <c r="BI88" i="5"/>
  <c r="F53" i="9" s="1"/>
  <c r="BH88" i="5"/>
  <c r="F52" i="9" s="1"/>
  <c r="BG88" i="5"/>
  <c r="F51" i="9" s="1"/>
  <c r="BF88" i="5"/>
  <c r="F50" i="9" s="1"/>
  <c r="BE88" i="5"/>
  <c r="F49" i="9" s="1"/>
  <c r="BD88" i="5"/>
  <c r="F48" i="9" s="1"/>
  <c r="BC88" i="5"/>
  <c r="F47" i="9" s="1"/>
  <c r="BB88" i="5"/>
  <c r="F46" i="9" s="1"/>
  <c r="BA88" i="5"/>
  <c r="F45" i="9" s="1"/>
  <c r="AZ88" i="5"/>
  <c r="F44" i="9" s="1"/>
  <c r="AW88" i="5"/>
  <c r="F43" i="9" s="1"/>
  <c r="AV88" i="5"/>
  <c r="F42" i="9" s="1"/>
  <c r="AU88" i="5"/>
  <c r="F41" i="9" s="1"/>
  <c r="AT88" i="5"/>
  <c r="F40" i="9" s="1"/>
  <c r="AS88" i="5"/>
  <c r="F39" i="9" s="1"/>
  <c r="AR88" i="5"/>
  <c r="F38" i="9" s="1"/>
  <c r="AP88" i="5"/>
  <c r="F37" i="9" s="1"/>
  <c r="AH88" i="5"/>
  <c r="F34" i="9" s="1"/>
  <c r="AG88" i="5"/>
  <c r="F33" i="9" s="1"/>
  <c r="AF88" i="5"/>
  <c r="F32" i="9" s="1"/>
  <c r="AE88" i="5"/>
  <c r="F31" i="9" s="1"/>
  <c r="AA88" i="5"/>
  <c r="F30" i="9" s="1"/>
  <c r="Z88" i="5"/>
  <c r="F29" i="9" s="1"/>
  <c r="Y88" i="5"/>
  <c r="F28" i="9" s="1"/>
  <c r="X88" i="5"/>
  <c r="F27" i="9" s="1"/>
  <c r="W88" i="5"/>
  <c r="F26" i="9" s="1"/>
  <c r="V88" i="5"/>
  <c r="U88" i="5"/>
  <c r="F24" i="9" s="1"/>
  <c r="T88" i="5"/>
  <c r="F23" i="9" s="1"/>
  <c r="S88" i="5"/>
  <c r="F22" i="9" s="1"/>
  <c r="R88" i="5"/>
  <c r="F21" i="9" s="1"/>
  <c r="Q88" i="5"/>
  <c r="F20" i="9" s="1"/>
  <c r="P88" i="5"/>
  <c r="F19" i="9" s="1"/>
  <c r="O88" i="5"/>
  <c r="F18" i="9" s="1"/>
  <c r="N88" i="5"/>
  <c r="F17" i="9" s="1"/>
  <c r="M88" i="5"/>
  <c r="F16" i="9" s="1"/>
  <c r="L88" i="5"/>
  <c r="F15" i="9" s="1"/>
  <c r="K88" i="5"/>
  <c r="F14" i="9" s="1"/>
  <c r="J88" i="5"/>
  <c r="F13" i="9" s="1"/>
  <c r="DK298" i="5"/>
  <c r="DJ298" i="5"/>
  <c r="DI298" i="5"/>
  <c r="DH298" i="5"/>
  <c r="DG298" i="5"/>
  <c r="DF298" i="5"/>
  <c r="DE298" i="5"/>
  <c r="DD298" i="5"/>
  <c r="DC298" i="5"/>
  <c r="DB298" i="5"/>
  <c r="DA298" i="5"/>
  <c r="CZ298" i="5"/>
  <c r="CY298" i="5"/>
  <c r="CX298" i="5"/>
  <c r="CW298" i="5"/>
  <c r="CV298" i="5"/>
  <c r="CU298" i="5"/>
  <c r="CT298" i="5"/>
  <c r="CS298" i="5"/>
  <c r="CR298" i="5"/>
  <c r="CQ298" i="5"/>
  <c r="CP298" i="5"/>
  <c r="CO298" i="5"/>
  <c r="CN298" i="5"/>
  <c r="CM298" i="5"/>
  <c r="CL298" i="5"/>
  <c r="CK298" i="5"/>
  <c r="CJ298" i="5"/>
  <c r="CI298" i="5"/>
  <c r="CH298" i="5"/>
  <c r="CG298" i="5"/>
  <c r="CF298" i="5"/>
  <c r="CE298" i="5"/>
  <c r="CD298" i="5"/>
  <c r="CC298" i="5"/>
  <c r="CA298" i="5"/>
  <c r="BZ298" i="5"/>
  <c r="BY298" i="5"/>
  <c r="BX298" i="5"/>
  <c r="BW298" i="5"/>
  <c r="BV298" i="5"/>
  <c r="BU298" i="5"/>
  <c r="BT298" i="5"/>
  <c r="BQ298" i="5"/>
  <c r="BP298" i="5"/>
  <c r="BO298" i="5"/>
  <c r="BN298" i="5"/>
  <c r="BM298" i="5"/>
  <c r="BL298" i="5"/>
  <c r="BK298" i="5"/>
  <c r="BJ298" i="5"/>
  <c r="BI298" i="5"/>
  <c r="BH298" i="5"/>
  <c r="BG298" i="5"/>
  <c r="BF298" i="5"/>
  <c r="BE298" i="5"/>
  <c r="BD298" i="5"/>
  <c r="BC298" i="5"/>
  <c r="BB298" i="5"/>
  <c r="BA298" i="5"/>
  <c r="AZ298" i="5"/>
  <c r="AW298" i="5"/>
  <c r="AV298" i="5"/>
  <c r="AU298" i="5"/>
  <c r="AT298" i="5"/>
  <c r="AS298" i="5"/>
  <c r="AR298" i="5"/>
  <c r="AP298" i="5"/>
  <c r="AH298" i="5"/>
  <c r="AG298" i="5"/>
  <c r="AF298" i="5"/>
  <c r="AE298" i="5"/>
  <c r="AA298" i="5"/>
  <c r="Z298" i="5"/>
  <c r="Y298" i="5"/>
  <c r="X298" i="5"/>
  <c r="W298" i="5"/>
  <c r="V298" i="5"/>
  <c r="U298" i="5"/>
  <c r="T298" i="5"/>
  <c r="S298" i="5"/>
  <c r="R298" i="5"/>
  <c r="Q298" i="5"/>
  <c r="P298" i="5"/>
  <c r="O298" i="5"/>
  <c r="N298" i="5"/>
  <c r="M298" i="5"/>
  <c r="L298" i="5"/>
  <c r="K298" i="5"/>
  <c r="J298" i="5"/>
  <c r="DK253" i="5"/>
  <c r="DJ253" i="5"/>
  <c r="DI253" i="5"/>
  <c r="DH253" i="5"/>
  <c r="DG253" i="5"/>
  <c r="DF253" i="5"/>
  <c r="DE253" i="5"/>
  <c r="DD253" i="5"/>
  <c r="DC253" i="5"/>
  <c r="DB253" i="5"/>
  <c r="DA253" i="5"/>
  <c r="CZ253" i="5"/>
  <c r="CY253" i="5"/>
  <c r="CX253" i="5"/>
  <c r="CW253" i="5"/>
  <c r="CV253" i="5"/>
  <c r="CU253" i="5"/>
  <c r="CT253" i="5"/>
  <c r="CS253" i="5"/>
  <c r="CR253" i="5"/>
  <c r="CQ253" i="5"/>
  <c r="CP253" i="5"/>
  <c r="CO253" i="5"/>
  <c r="CN253" i="5"/>
  <c r="CM253" i="5"/>
  <c r="CL253" i="5"/>
  <c r="CK253" i="5"/>
  <c r="CJ253" i="5"/>
  <c r="CI253" i="5"/>
  <c r="CH253" i="5"/>
  <c r="CG253" i="5"/>
  <c r="CF253" i="5"/>
  <c r="CE253" i="5"/>
  <c r="CD253" i="5"/>
  <c r="CC253" i="5"/>
  <c r="CA253" i="5"/>
  <c r="BZ253" i="5"/>
  <c r="BY253" i="5"/>
  <c r="BX253" i="5"/>
  <c r="BW253" i="5"/>
  <c r="BV253" i="5"/>
  <c r="BU253" i="5"/>
  <c r="BT253" i="5"/>
  <c r="BQ253" i="5"/>
  <c r="BP253" i="5"/>
  <c r="BO253" i="5"/>
  <c r="BN253" i="5"/>
  <c r="BM253" i="5"/>
  <c r="BL253" i="5"/>
  <c r="BK253" i="5"/>
  <c r="BJ253" i="5"/>
  <c r="BI253" i="5"/>
  <c r="BH253" i="5"/>
  <c r="BG253" i="5"/>
  <c r="BF253" i="5"/>
  <c r="BE253" i="5"/>
  <c r="BD253" i="5"/>
  <c r="BC253" i="5"/>
  <c r="BB253" i="5"/>
  <c r="BA253" i="5"/>
  <c r="AZ253" i="5"/>
  <c r="AW253" i="5"/>
  <c r="AV253" i="5"/>
  <c r="AU253" i="5"/>
  <c r="AT253" i="5"/>
  <c r="AS253" i="5"/>
  <c r="AR253" i="5"/>
  <c r="AP253" i="5"/>
  <c r="AH253" i="5"/>
  <c r="AG253" i="5"/>
  <c r="AF253" i="5"/>
  <c r="AE253" i="5"/>
  <c r="AA253" i="5"/>
  <c r="Z253" i="5"/>
  <c r="Y253" i="5"/>
  <c r="X253" i="5"/>
  <c r="W253" i="5"/>
  <c r="V253" i="5"/>
  <c r="U253" i="5"/>
  <c r="T253" i="5"/>
  <c r="S253" i="5"/>
  <c r="R253" i="5"/>
  <c r="Q253" i="5"/>
  <c r="P253" i="5"/>
  <c r="O253" i="5"/>
  <c r="N253" i="5"/>
  <c r="M253" i="5"/>
  <c r="L253" i="5"/>
  <c r="K253" i="5"/>
  <c r="J253" i="5"/>
  <c r="DK208" i="5"/>
  <c r="DJ208" i="5"/>
  <c r="DI208" i="5"/>
  <c r="DH208" i="5"/>
  <c r="DG208" i="5"/>
  <c r="DF208" i="5"/>
  <c r="DE208" i="5"/>
  <c r="DD208" i="5"/>
  <c r="DC208" i="5"/>
  <c r="DB208" i="5"/>
  <c r="DA208" i="5"/>
  <c r="CZ208" i="5"/>
  <c r="CY208" i="5"/>
  <c r="CX208" i="5"/>
  <c r="CW208" i="5"/>
  <c r="CV208" i="5"/>
  <c r="CU208" i="5"/>
  <c r="CT208" i="5"/>
  <c r="CS208" i="5"/>
  <c r="CR208" i="5"/>
  <c r="CQ208" i="5"/>
  <c r="CP208" i="5"/>
  <c r="CO208" i="5"/>
  <c r="CN208" i="5"/>
  <c r="CM208" i="5"/>
  <c r="CL208" i="5"/>
  <c r="CK208" i="5"/>
  <c r="CJ208" i="5"/>
  <c r="CI208" i="5"/>
  <c r="CH208" i="5"/>
  <c r="CG208" i="5"/>
  <c r="CF208" i="5"/>
  <c r="CE208" i="5"/>
  <c r="CD208" i="5"/>
  <c r="CC208" i="5"/>
  <c r="CA208" i="5"/>
  <c r="BZ208" i="5"/>
  <c r="BY208" i="5"/>
  <c r="BX208" i="5"/>
  <c r="BW208" i="5"/>
  <c r="BV208" i="5"/>
  <c r="BU208" i="5"/>
  <c r="BT208" i="5"/>
  <c r="BQ208" i="5"/>
  <c r="BP208" i="5"/>
  <c r="BO208" i="5"/>
  <c r="BN208" i="5"/>
  <c r="BM208" i="5"/>
  <c r="BL208" i="5"/>
  <c r="BK208" i="5"/>
  <c r="BJ208" i="5"/>
  <c r="BI208" i="5"/>
  <c r="BH208" i="5"/>
  <c r="BG208" i="5"/>
  <c r="BF208" i="5"/>
  <c r="BE208" i="5"/>
  <c r="BD208" i="5"/>
  <c r="BC208" i="5"/>
  <c r="BB208" i="5"/>
  <c r="BA208" i="5"/>
  <c r="AZ208" i="5"/>
  <c r="AW208" i="5"/>
  <c r="AV208" i="5"/>
  <c r="AU208" i="5"/>
  <c r="AT208" i="5"/>
  <c r="AS208" i="5"/>
  <c r="AR208" i="5"/>
  <c r="AP208" i="5"/>
  <c r="AH208" i="5"/>
  <c r="AG208" i="5"/>
  <c r="AF208" i="5"/>
  <c r="AE208" i="5"/>
  <c r="AA208" i="5"/>
  <c r="Z208" i="5"/>
  <c r="Y208" i="5"/>
  <c r="X208" i="5"/>
  <c r="W208" i="5"/>
  <c r="V208" i="5"/>
  <c r="U208" i="5"/>
  <c r="T208" i="5"/>
  <c r="S208" i="5"/>
  <c r="R208" i="5"/>
  <c r="Q208" i="5"/>
  <c r="P208" i="5"/>
  <c r="O208" i="5"/>
  <c r="N208" i="5"/>
  <c r="M208" i="5"/>
  <c r="L208" i="5"/>
  <c r="K208" i="5"/>
  <c r="J208" i="5"/>
  <c r="DK163" i="5"/>
  <c r="DJ163" i="5"/>
  <c r="DI163" i="5"/>
  <c r="DH163" i="5"/>
  <c r="DG163" i="5"/>
  <c r="DF163" i="5"/>
  <c r="DE163" i="5"/>
  <c r="DD163" i="5"/>
  <c r="DC163" i="5"/>
  <c r="DB163" i="5"/>
  <c r="DA163" i="5"/>
  <c r="CZ163" i="5"/>
  <c r="CY163" i="5"/>
  <c r="CX163" i="5"/>
  <c r="CW163" i="5"/>
  <c r="CV163" i="5"/>
  <c r="CU163" i="5"/>
  <c r="CT163" i="5"/>
  <c r="CS163" i="5"/>
  <c r="CR163" i="5"/>
  <c r="CQ163" i="5"/>
  <c r="CP163" i="5"/>
  <c r="CO163" i="5"/>
  <c r="CN163" i="5"/>
  <c r="CM163" i="5"/>
  <c r="CL163" i="5"/>
  <c r="CK163" i="5"/>
  <c r="CJ163" i="5"/>
  <c r="CI163" i="5"/>
  <c r="CH163" i="5"/>
  <c r="CG163" i="5"/>
  <c r="CF163" i="5"/>
  <c r="CE163" i="5"/>
  <c r="CD163" i="5"/>
  <c r="CC163" i="5"/>
  <c r="CA163" i="5"/>
  <c r="BZ163" i="5"/>
  <c r="BY163" i="5"/>
  <c r="BX163" i="5"/>
  <c r="BW163" i="5"/>
  <c r="BV163" i="5"/>
  <c r="BU163" i="5"/>
  <c r="BT163" i="5"/>
  <c r="BQ163" i="5"/>
  <c r="BP163" i="5"/>
  <c r="BO163" i="5"/>
  <c r="BN163" i="5"/>
  <c r="BM163" i="5"/>
  <c r="BL163" i="5"/>
  <c r="BK163" i="5"/>
  <c r="BJ163" i="5"/>
  <c r="BI163" i="5"/>
  <c r="BH163" i="5"/>
  <c r="BG163" i="5"/>
  <c r="BF163" i="5"/>
  <c r="BE163" i="5"/>
  <c r="BD163" i="5"/>
  <c r="BC163" i="5"/>
  <c r="BB163" i="5"/>
  <c r="BA163" i="5"/>
  <c r="AZ163" i="5"/>
  <c r="AW163" i="5"/>
  <c r="AV163" i="5"/>
  <c r="AU163" i="5"/>
  <c r="AT163" i="5"/>
  <c r="AS163" i="5"/>
  <c r="AR163" i="5"/>
  <c r="AP163" i="5"/>
  <c r="AH163" i="5"/>
  <c r="AG163" i="5"/>
  <c r="AF163" i="5"/>
  <c r="AE163" i="5"/>
  <c r="AA163" i="5"/>
  <c r="Z163" i="5"/>
  <c r="Y163" i="5"/>
  <c r="X163" i="5"/>
  <c r="W163" i="5"/>
  <c r="V163" i="5"/>
  <c r="U163" i="5"/>
  <c r="T163" i="5"/>
  <c r="S163" i="5"/>
  <c r="R163" i="5"/>
  <c r="Q163" i="5"/>
  <c r="P163" i="5"/>
  <c r="O163" i="5"/>
  <c r="N163" i="5"/>
  <c r="M163" i="5"/>
  <c r="L163" i="5"/>
  <c r="K163" i="5"/>
  <c r="J163" i="5"/>
  <c r="DK73" i="5"/>
  <c r="DJ73" i="5"/>
  <c r="DI73" i="5"/>
  <c r="DH73" i="5"/>
  <c r="DG73" i="5"/>
  <c r="DF73" i="5"/>
  <c r="DE73" i="5"/>
  <c r="DD73" i="5"/>
  <c r="DC73" i="5"/>
  <c r="DB73" i="5"/>
  <c r="E95" i="9" s="1"/>
  <c r="I95" i="9" s="1"/>
  <c r="DA73" i="5"/>
  <c r="E94" i="9" s="1"/>
  <c r="I94" i="9" s="1"/>
  <c r="CZ73" i="5"/>
  <c r="E93" i="9" s="1"/>
  <c r="I93" i="9" s="1"/>
  <c r="CY73" i="5"/>
  <c r="E92" i="9" s="1"/>
  <c r="I92" i="9" s="1"/>
  <c r="CX73" i="5"/>
  <c r="E91" i="9" s="1"/>
  <c r="I91" i="9" s="1"/>
  <c r="CW73" i="5"/>
  <c r="E90" i="9" s="1"/>
  <c r="I90" i="9" s="1"/>
  <c r="CV73" i="5"/>
  <c r="E89" i="9" s="1"/>
  <c r="I89" i="9" s="1"/>
  <c r="CU73" i="5"/>
  <c r="E88" i="9" s="1"/>
  <c r="I88" i="9" s="1"/>
  <c r="CT73" i="5"/>
  <c r="E87" i="9" s="1"/>
  <c r="I87" i="9" s="1"/>
  <c r="CS73" i="5"/>
  <c r="E86" i="9" s="1"/>
  <c r="I86" i="9" s="1"/>
  <c r="CR73" i="5"/>
  <c r="E85" i="9" s="1"/>
  <c r="I85" i="9" s="1"/>
  <c r="CQ73" i="5"/>
  <c r="E84" i="9" s="1"/>
  <c r="I84" i="9" s="1"/>
  <c r="CP73" i="5"/>
  <c r="E83" i="9" s="1"/>
  <c r="I83" i="9" s="1"/>
  <c r="CO73" i="5"/>
  <c r="E82" i="9" s="1"/>
  <c r="I82" i="9" s="1"/>
  <c r="CN73" i="5"/>
  <c r="E81" i="9" s="1"/>
  <c r="I81" i="9" s="1"/>
  <c r="CM73" i="5"/>
  <c r="E80" i="9" s="1"/>
  <c r="I80" i="9" s="1"/>
  <c r="CL73" i="5"/>
  <c r="E79" i="9" s="1"/>
  <c r="I79" i="9" s="1"/>
  <c r="CK73" i="5"/>
  <c r="E78" i="9" s="1"/>
  <c r="I78" i="9" s="1"/>
  <c r="CJ73" i="5"/>
  <c r="E77" i="9" s="1"/>
  <c r="I77" i="9" s="1"/>
  <c r="CI73" i="5"/>
  <c r="E76" i="9" s="1"/>
  <c r="I76" i="9" s="1"/>
  <c r="CH73" i="5"/>
  <c r="E75" i="9" s="1"/>
  <c r="I75" i="9" s="1"/>
  <c r="CG73" i="5"/>
  <c r="E74" i="9" s="1"/>
  <c r="I74" i="9" s="1"/>
  <c r="CF73" i="5"/>
  <c r="E73" i="9" s="1"/>
  <c r="I73" i="9" s="1"/>
  <c r="CE73" i="5"/>
  <c r="E72" i="9" s="1"/>
  <c r="I72" i="9" s="1"/>
  <c r="CD73" i="5"/>
  <c r="E71" i="9" s="1"/>
  <c r="I71" i="9" s="1"/>
  <c r="CC73" i="5"/>
  <c r="E70" i="9" s="1"/>
  <c r="I70" i="9" s="1"/>
  <c r="CA73" i="5"/>
  <c r="E69" i="9" s="1"/>
  <c r="I69" i="9" s="1"/>
  <c r="BZ73" i="5"/>
  <c r="E68" i="9" s="1"/>
  <c r="I68" i="9" s="1"/>
  <c r="BY73" i="5"/>
  <c r="E67" i="9" s="1"/>
  <c r="I67" i="9" s="1"/>
  <c r="BX73" i="5"/>
  <c r="E66" i="9" s="1"/>
  <c r="I66" i="9" s="1"/>
  <c r="BW73" i="5"/>
  <c r="E65" i="9" s="1"/>
  <c r="I65" i="9" s="1"/>
  <c r="BV73" i="5"/>
  <c r="E64" i="9" s="1"/>
  <c r="I64" i="9" s="1"/>
  <c r="BU73" i="5"/>
  <c r="E63" i="9" s="1"/>
  <c r="I63" i="9" s="1"/>
  <c r="BT73" i="5"/>
  <c r="BQ73" i="5"/>
  <c r="E61" i="9" s="1"/>
  <c r="I61" i="9" s="1"/>
  <c r="BP73" i="5"/>
  <c r="E60" i="9" s="1"/>
  <c r="I60" i="9" s="1"/>
  <c r="BO73" i="5"/>
  <c r="E59" i="9" s="1"/>
  <c r="I59" i="9" s="1"/>
  <c r="BN73" i="5"/>
  <c r="E58" i="9" s="1"/>
  <c r="BM73" i="5"/>
  <c r="E57" i="9" s="1"/>
  <c r="BL73" i="5"/>
  <c r="E56" i="9" s="1"/>
  <c r="BK73" i="5"/>
  <c r="E55" i="9" s="1"/>
  <c r="BJ73" i="5"/>
  <c r="E54" i="9" s="1"/>
  <c r="BI73" i="5"/>
  <c r="E53" i="9" s="1"/>
  <c r="I53" i="9" s="1"/>
  <c r="BH73" i="5"/>
  <c r="E52" i="9" s="1"/>
  <c r="I52" i="9" s="1"/>
  <c r="BG73" i="5"/>
  <c r="E51" i="9" s="1"/>
  <c r="I51" i="9" s="1"/>
  <c r="BF73" i="5"/>
  <c r="E50" i="9" s="1"/>
  <c r="I50" i="9" s="1"/>
  <c r="BE73" i="5"/>
  <c r="E49" i="9" s="1"/>
  <c r="I49" i="9" s="1"/>
  <c r="BD73" i="5"/>
  <c r="E48" i="9" s="1"/>
  <c r="I48" i="9" s="1"/>
  <c r="BC73" i="5"/>
  <c r="E47" i="9" s="1"/>
  <c r="I47" i="9" s="1"/>
  <c r="BB73" i="5"/>
  <c r="E46" i="9" s="1"/>
  <c r="I46" i="9" s="1"/>
  <c r="BA73" i="5"/>
  <c r="E45" i="9" s="1"/>
  <c r="I45" i="9" s="1"/>
  <c r="AZ73" i="5"/>
  <c r="E44" i="9" s="1"/>
  <c r="AW73" i="5"/>
  <c r="E43" i="9" s="1"/>
  <c r="I43" i="9" s="1"/>
  <c r="AV73" i="5"/>
  <c r="E42" i="9" s="1"/>
  <c r="I42" i="9" s="1"/>
  <c r="AU73" i="5"/>
  <c r="E41" i="9" s="1"/>
  <c r="I41" i="9" s="1"/>
  <c r="AT73" i="5"/>
  <c r="E40" i="9" s="1"/>
  <c r="I40" i="9" s="1"/>
  <c r="AS73" i="5"/>
  <c r="E39" i="9" s="1"/>
  <c r="I39" i="9" s="1"/>
  <c r="AR73" i="5"/>
  <c r="E38" i="9" s="1"/>
  <c r="I38" i="9" s="1"/>
  <c r="AP73" i="5"/>
  <c r="E37" i="9" s="1"/>
  <c r="I37" i="9" s="1"/>
  <c r="AH73" i="5"/>
  <c r="E34" i="9" s="1"/>
  <c r="I34" i="9" s="1"/>
  <c r="AG73" i="5"/>
  <c r="E33" i="9" s="1"/>
  <c r="I33" i="9" s="1"/>
  <c r="AF73" i="5"/>
  <c r="E32" i="9" s="1"/>
  <c r="I32" i="9" s="1"/>
  <c r="AE73" i="5"/>
  <c r="E31" i="9" s="1"/>
  <c r="I31" i="9" s="1"/>
  <c r="AA73" i="5"/>
  <c r="E30" i="9" s="1"/>
  <c r="I30" i="9" s="1"/>
  <c r="Z73" i="5"/>
  <c r="E29" i="9" s="1"/>
  <c r="I29" i="9" s="1"/>
  <c r="Y73" i="5"/>
  <c r="E28" i="9" s="1"/>
  <c r="I28" i="9" s="1"/>
  <c r="X73" i="5"/>
  <c r="E27" i="9" s="1"/>
  <c r="I27" i="9" s="1"/>
  <c r="W73" i="5"/>
  <c r="E26" i="9" s="1"/>
  <c r="I26" i="9" s="1"/>
  <c r="V73" i="5"/>
  <c r="U73" i="5"/>
  <c r="E24" i="9" s="1"/>
  <c r="I24" i="9" s="1"/>
  <c r="T73" i="5"/>
  <c r="E23" i="9" s="1"/>
  <c r="I23" i="9" s="1"/>
  <c r="S73" i="5"/>
  <c r="E22" i="9" s="1"/>
  <c r="I22" i="9" s="1"/>
  <c r="R73" i="5"/>
  <c r="E21" i="9" s="1"/>
  <c r="I21" i="9" s="1"/>
  <c r="Q73" i="5"/>
  <c r="E20" i="9" s="1"/>
  <c r="I20" i="9" s="1"/>
  <c r="P73" i="5"/>
  <c r="E19" i="9" s="1"/>
  <c r="I19" i="9" s="1"/>
  <c r="O73" i="5"/>
  <c r="E18" i="9" s="1"/>
  <c r="I18" i="9" s="1"/>
  <c r="N73" i="5"/>
  <c r="E17" i="9" s="1"/>
  <c r="I17" i="9" s="1"/>
  <c r="M73" i="5"/>
  <c r="E16" i="9" s="1"/>
  <c r="I16" i="9" s="1"/>
  <c r="L73" i="5"/>
  <c r="E15" i="9" s="1"/>
  <c r="I15" i="9" s="1"/>
  <c r="K73" i="5"/>
  <c r="E14" i="9" s="1"/>
  <c r="I14" i="9" s="1"/>
  <c r="J73" i="5"/>
  <c r="E13" i="9" s="1"/>
  <c r="I13" i="9" s="1"/>
  <c r="BA7" i="5"/>
  <c r="AU7" i="5"/>
  <c r="DO60" i="5"/>
  <c r="DN60" i="5"/>
  <c r="DM60" i="5"/>
  <c r="DL60" i="5"/>
  <c r="DO59" i="5"/>
  <c r="DN59" i="5"/>
  <c r="DM59" i="5"/>
  <c r="DL59" i="5"/>
  <c r="DO58" i="5"/>
  <c r="DN58" i="5"/>
  <c r="DM58" i="5"/>
  <c r="DL58" i="5"/>
  <c r="DO57" i="5"/>
  <c r="DN57" i="5"/>
  <c r="DM57" i="5"/>
  <c r="DL57" i="5"/>
  <c r="DO55" i="5"/>
  <c r="DN55" i="5"/>
  <c r="DM55" i="5"/>
  <c r="DL55" i="5"/>
  <c r="DO54" i="5"/>
  <c r="DN54" i="5"/>
  <c r="DM54" i="5"/>
  <c r="DL54" i="5"/>
  <c r="DO53" i="5"/>
  <c r="DN53" i="5"/>
  <c r="DM53" i="5"/>
  <c r="DL53" i="5"/>
  <c r="DO52" i="5"/>
  <c r="DN52" i="5"/>
  <c r="DM52" i="5"/>
  <c r="DL52" i="5"/>
  <c r="DO51" i="5"/>
  <c r="DN51" i="5"/>
  <c r="DM51" i="5"/>
  <c r="DL51" i="5"/>
  <c r="DO50" i="5"/>
  <c r="DN50" i="5"/>
  <c r="DM50" i="5"/>
  <c r="DL50" i="5"/>
  <c r="DO49" i="5"/>
  <c r="DN49" i="5"/>
  <c r="DM49" i="5"/>
  <c r="DL49" i="5"/>
  <c r="DO48" i="5"/>
  <c r="DN48" i="5"/>
  <c r="DM48" i="5"/>
  <c r="DL48" i="5"/>
  <c r="DO47" i="5"/>
  <c r="DN47" i="5"/>
  <c r="DM47" i="5"/>
  <c r="DL47" i="5"/>
  <c r="DO46" i="5"/>
  <c r="DN46" i="5"/>
  <c r="DM46" i="5"/>
  <c r="DL46" i="5"/>
  <c r="DO45" i="5"/>
  <c r="DN45" i="5"/>
  <c r="DM45" i="5"/>
  <c r="DL45" i="5"/>
  <c r="DO44" i="5"/>
  <c r="DN44" i="5"/>
  <c r="DM44" i="5"/>
  <c r="DL44" i="5"/>
  <c r="DO42" i="5"/>
  <c r="DN42" i="5"/>
  <c r="DM42" i="5"/>
  <c r="DL42" i="5"/>
  <c r="DO41" i="5"/>
  <c r="DN41" i="5"/>
  <c r="DM41" i="5"/>
  <c r="DL41" i="5"/>
  <c r="DO40" i="5"/>
  <c r="DN40" i="5"/>
  <c r="DM40" i="5"/>
  <c r="DL40" i="5"/>
  <c r="DO39" i="5"/>
  <c r="DN39" i="5"/>
  <c r="DM39" i="5"/>
  <c r="DL39" i="5"/>
  <c r="DO38" i="5"/>
  <c r="DN38" i="5"/>
  <c r="DM38" i="5"/>
  <c r="DL38" i="5"/>
  <c r="DO37" i="5"/>
  <c r="DN37" i="5"/>
  <c r="DM37" i="5"/>
  <c r="DL37" i="5"/>
  <c r="DO36" i="5"/>
  <c r="DN36" i="5"/>
  <c r="DM36" i="5"/>
  <c r="DL36" i="5"/>
  <c r="DO35" i="5"/>
  <c r="DN35" i="5"/>
  <c r="DM35" i="5"/>
  <c r="DL35" i="5"/>
  <c r="DO34" i="5"/>
  <c r="DN34" i="5"/>
  <c r="DM34" i="5"/>
  <c r="DL34" i="5"/>
  <c r="DO33" i="5"/>
  <c r="DN33" i="5"/>
  <c r="DM33" i="5"/>
  <c r="DL33" i="5"/>
  <c r="DO32" i="5"/>
  <c r="DN32" i="5"/>
  <c r="DM32" i="5"/>
  <c r="DL32" i="5"/>
  <c r="DO31" i="5"/>
  <c r="DN31" i="5"/>
  <c r="DM31" i="5"/>
  <c r="DL31" i="5"/>
  <c r="DO30" i="5"/>
  <c r="DN30" i="5"/>
  <c r="DM30" i="5"/>
  <c r="DL30" i="5"/>
  <c r="DO29" i="5"/>
  <c r="DN29" i="5"/>
  <c r="DM29" i="5"/>
  <c r="DL29" i="5"/>
  <c r="DO27" i="5"/>
  <c r="DN27" i="5"/>
  <c r="DM27" i="5"/>
  <c r="DL27" i="5"/>
  <c r="DO26" i="5"/>
  <c r="DN26" i="5"/>
  <c r="DM26" i="5"/>
  <c r="DL26" i="5"/>
  <c r="DO25" i="5"/>
  <c r="DN25" i="5"/>
  <c r="DM25" i="5"/>
  <c r="DL25" i="5"/>
  <c r="DO24" i="5"/>
  <c r="DN24" i="5"/>
  <c r="DM24" i="5"/>
  <c r="DL24" i="5"/>
  <c r="DO23" i="5"/>
  <c r="DN23" i="5"/>
  <c r="DM23" i="5"/>
  <c r="DL23" i="5"/>
  <c r="DO22" i="5"/>
  <c r="DN22" i="5"/>
  <c r="DM22" i="5"/>
  <c r="DL22" i="5"/>
  <c r="DO21" i="5"/>
  <c r="DN21" i="5"/>
  <c r="DM21" i="5"/>
  <c r="DL21" i="5"/>
  <c r="DO20" i="5"/>
  <c r="DN20" i="5"/>
  <c r="DM20" i="5"/>
  <c r="DL20" i="5"/>
  <c r="DO19" i="5"/>
  <c r="DN19" i="5"/>
  <c r="DM19" i="5"/>
  <c r="DL19" i="5"/>
  <c r="DO18" i="5"/>
  <c r="DL18" i="5"/>
  <c r="E104" i="9" l="1"/>
  <c r="E103" i="9"/>
  <c r="E102" i="9"/>
  <c r="E101" i="9"/>
  <c r="E100" i="9"/>
  <c r="E99" i="9"/>
  <c r="E98" i="9"/>
  <c r="E97" i="9"/>
  <c r="E96" i="9"/>
  <c r="F25" i="9"/>
  <c r="F35" i="9"/>
  <c r="G35" i="9"/>
  <c r="G25" i="9"/>
  <c r="F103" i="9"/>
  <c r="F101" i="9"/>
  <c r="F99" i="9"/>
  <c r="F97" i="9"/>
  <c r="F104" i="9"/>
  <c r="F102" i="9"/>
  <c r="F100" i="9"/>
  <c r="F98" i="9"/>
  <c r="F96" i="9"/>
  <c r="G104" i="9"/>
  <c r="G103" i="9"/>
  <c r="G102" i="9"/>
  <c r="G101" i="9"/>
  <c r="G100" i="9"/>
  <c r="G99" i="9"/>
  <c r="G98" i="9"/>
  <c r="G97" i="9"/>
  <c r="G96" i="9"/>
  <c r="E25" i="9"/>
  <c r="I25" i="9" s="1"/>
  <c r="E35" i="9"/>
  <c r="I35" i="9" s="1"/>
  <c r="J14" i="5"/>
  <c r="S15" i="5"/>
  <c r="DL287" i="5"/>
  <c r="DL332" i="5"/>
  <c r="AV16" i="5"/>
  <c r="CW16" i="5"/>
  <c r="BN16" i="5"/>
  <c r="CG16" i="5"/>
  <c r="DN332" i="5"/>
  <c r="J16" i="5"/>
  <c r="BX14" i="5"/>
  <c r="CO14" i="5"/>
  <c r="DE14" i="5"/>
  <c r="BF14" i="5"/>
  <c r="J11" i="5"/>
  <c r="J13" i="5"/>
  <c r="J15" i="5"/>
  <c r="BT13" i="5"/>
  <c r="CK13" i="5"/>
  <c r="DA13" i="5"/>
  <c r="O14" i="5"/>
  <c r="AH14" i="5"/>
  <c r="AR15" i="5"/>
  <c r="BJ15" i="5"/>
  <c r="CC15" i="5"/>
  <c r="CS15" i="5"/>
  <c r="DI15" i="5"/>
  <c r="W16" i="5"/>
  <c r="DO152" i="5"/>
  <c r="DM332" i="5"/>
  <c r="DM287" i="5"/>
  <c r="DN152" i="5"/>
  <c r="DN107" i="5"/>
  <c r="DL152" i="5"/>
  <c r="DL197" i="5"/>
  <c r="DL107" i="5"/>
  <c r="J12" i="5"/>
  <c r="DM107" i="5"/>
  <c r="DM152" i="5"/>
  <c r="J152" i="5"/>
  <c r="Z152" i="5"/>
  <c r="AU152" i="5"/>
  <c r="BI152" i="5"/>
  <c r="BW152" i="5"/>
  <c r="CA152" i="5"/>
  <c r="CR152" i="5"/>
  <c r="CZ152" i="5"/>
  <c r="DD152" i="5"/>
  <c r="DH152" i="5"/>
  <c r="N152" i="5"/>
  <c r="AG152" i="5"/>
  <c r="BA152" i="5"/>
  <c r="CN152" i="5"/>
  <c r="R152" i="5"/>
  <c r="AP152" i="5"/>
  <c r="BE152" i="5"/>
  <c r="BQ152" i="5"/>
  <c r="CJ152" i="5"/>
  <c r="BJ287" i="5"/>
  <c r="BM152" i="5"/>
  <c r="BF242" i="5"/>
  <c r="K332" i="5"/>
  <c r="K16" i="5"/>
  <c r="O332" i="5"/>
  <c r="O16" i="5"/>
  <c r="S332" i="5"/>
  <c r="S16" i="5"/>
  <c r="AA332" i="5"/>
  <c r="AA16" i="5"/>
  <c r="AH332" i="5"/>
  <c r="AH16" i="5"/>
  <c r="AR332" i="5"/>
  <c r="AR16" i="5"/>
  <c r="BB332" i="5"/>
  <c r="BB16" i="5"/>
  <c r="BF332" i="5"/>
  <c r="BF16" i="5"/>
  <c r="BJ332" i="5"/>
  <c r="BJ16" i="5"/>
  <c r="BT332" i="5"/>
  <c r="BT16" i="5"/>
  <c r="BX332" i="5"/>
  <c r="BX16" i="5"/>
  <c r="CC332" i="5"/>
  <c r="CC16" i="5"/>
  <c r="CK332" i="5"/>
  <c r="CK16" i="5"/>
  <c r="CO332" i="5"/>
  <c r="CO16" i="5"/>
  <c r="CS332" i="5"/>
  <c r="CS16" i="5"/>
  <c r="DA332" i="5"/>
  <c r="DA16" i="5"/>
  <c r="DE332" i="5"/>
  <c r="DE16" i="5"/>
  <c r="DI332" i="5"/>
  <c r="DI16" i="5"/>
  <c r="CG332" i="5"/>
  <c r="L332" i="5"/>
  <c r="L16" i="5"/>
  <c r="P332" i="5"/>
  <c r="P16" i="5"/>
  <c r="T332" i="5"/>
  <c r="T16" i="5"/>
  <c r="X332" i="5"/>
  <c r="X16" i="5"/>
  <c r="AE332" i="5"/>
  <c r="AE16" i="5"/>
  <c r="AM16" i="5"/>
  <c r="AS332" i="5"/>
  <c r="AS16" i="5"/>
  <c r="AW332" i="5"/>
  <c r="AW16" i="5"/>
  <c r="BC332" i="5"/>
  <c r="BC16" i="5"/>
  <c r="BG332" i="5"/>
  <c r="BG16" i="5"/>
  <c r="BK332" i="5"/>
  <c r="BK16" i="5"/>
  <c r="BO332" i="5"/>
  <c r="BO16" i="5"/>
  <c r="BU332" i="5"/>
  <c r="BU16" i="5"/>
  <c r="BY332" i="5"/>
  <c r="BY16" i="5"/>
  <c r="CD332" i="5"/>
  <c r="CD16" i="5"/>
  <c r="CH332" i="5"/>
  <c r="CH16" i="5"/>
  <c r="CL332" i="5"/>
  <c r="CL16" i="5"/>
  <c r="CP332" i="5"/>
  <c r="CP16" i="5"/>
  <c r="CT332" i="5"/>
  <c r="CT16" i="5"/>
  <c r="CX332" i="5"/>
  <c r="CX16" i="5"/>
  <c r="DB332" i="5"/>
  <c r="DB16" i="5"/>
  <c r="DF332" i="5"/>
  <c r="DF16" i="5"/>
  <c r="DJ332" i="5"/>
  <c r="DJ16" i="5"/>
  <c r="W332" i="5"/>
  <c r="CW332" i="5"/>
  <c r="M332" i="5"/>
  <c r="M16" i="5"/>
  <c r="Q332" i="5"/>
  <c r="Q16" i="5"/>
  <c r="U332" i="5"/>
  <c r="U16" i="5"/>
  <c r="Y332" i="5"/>
  <c r="Y16" i="5"/>
  <c r="AF332" i="5"/>
  <c r="AF16" i="5"/>
  <c r="AO16" i="5"/>
  <c r="AT332" i="5"/>
  <c r="AT16" i="5"/>
  <c r="AZ332" i="5"/>
  <c r="AZ16" i="5"/>
  <c r="BD332" i="5"/>
  <c r="BD16" i="5"/>
  <c r="BH332" i="5"/>
  <c r="BH16" i="5"/>
  <c r="BL332" i="5"/>
  <c r="BL16" i="5"/>
  <c r="BP332" i="5"/>
  <c r="BP16" i="5"/>
  <c r="BV332" i="5"/>
  <c r="BV16" i="5"/>
  <c r="BZ332" i="5"/>
  <c r="BZ16" i="5"/>
  <c r="CE332" i="5"/>
  <c r="CE16" i="5"/>
  <c r="CI332" i="5"/>
  <c r="CI16" i="5"/>
  <c r="CM332" i="5"/>
  <c r="CM16" i="5"/>
  <c r="CQ332" i="5"/>
  <c r="CQ16" i="5"/>
  <c r="CU332" i="5"/>
  <c r="CU16" i="5"/>
  <c r="CY332" i="5"/>
  <c r="CY16" i="5"/>
  <c r="DC332" i="5"/>
  <c r="DC16" i="5"/>
  <c r="DG332" i="5"/>
  <c r="DG16" i="5"/>
  <c r="DK332" i="5"/>
  <c r="DK16" i="5"/>
  <c r="AV332" i="5"/>
  <c r="J332" i="5"/>
  <c r="N332" i="5"/>
  <c r="N16" i="5"/>
  <c r="R332" i="5"/>
  <c r="R16" i="5"/>
  <c r="V332" i="5"/>
  <c r="V16" i="5"/>
  <c r="Z332" i="5"/>
  <c r="Z16" i="5"/>
  <c r="AG332" i="5"/>
  <c r="AG16" i="5"/>
  <c r="AP332" i="5"/>
  <c r="AP16" i="5"/>
  <c r="AU332" i="5"/>
  <c r="AU16" i="5"/>
  <c r="BA332" i="5"/>
  <c r="BA16" i="5"/>
  <c r="BE332" i="5"/>
  <c r="BE16" i="5"/>
  <c r="BI332" i="5"/>
  <c r="BI16" i="5"/>
  <c r="BM332" i="5"/>
  <c r="BM16" i="5"/>
  <c r="BQ332" i="5"/>
  <c r="BQ16" i="5"/>
  <c r="BW332" i="5"/>
  <c r="BW16" i="5"/>
  <c r="CA332" i="5"/>
  <c r="CA16" i="5"/>
  <c r="CF332" i="5"/>
  <c r="CF16" i="5"/>
  <c r="CJ332" i="5"/>
  <c r="CJ16" i="5"/>
  <c r="CN332" i="5"/>
  <c r="CN16" i="5"/>
  <c r="CR332" i="5"/>
  <c r="CR16" i="5"/>
  <c r="CV332" i="5"/>
  <c r="CV16" i="5"/>
  <c r="CZ332" i="5"/>
  <c r="CZ16" i="5"/>
  <c r="DD332" i="5"/>
  <c r="DD16" i="5"/>
  <c r="DH332" i="5"/>
  <c r="DH16" i="5"/>
  <c r="BN332" i="5"/>
  <c r="Q287" i="5"/>
  <c r="Q15" i="5"/>
  <c r="AF287" i="5"/>
  <c r="AF15" i="5"/>
  <c r="AT287" i="5"/>
  <c r="AT15" i="5"/>
  <c r="BL287" i="5"/>
  <c r="BL15" i="5"/>
  <c r="BZ287" i="5"/>
  <c r="BZ15" i="5"/>
  <c r="CM287" i="5"/>
  <c r="CM15" i="5"/>
  <c r="CY287" i="5"/>
  <c r="CY15" i="5"/>
  <c r="DG287" i="5"/>
  <c r="DG15" i="5"/>
  <c r="J287" i="5"/>
  <c r="N287" i="5"/>
  <c r="N15" i="5"/>
  <c r="R287" i="5"/>
  <c r="R15" i="5"/>
  <c r="V287" i="5"/>
  <c r="V15" i="5"/>
  <c r="Z287" i="5"/>
  <c r="Z15" i="5"/>
  <c r="AG287" i="5"/>
  <c r="AG15" i="5"/>
  <c r="AP287" i="5"/>
  <c r="AP15" i="5"/>
  <c r="AU287" i="5"/>
  <c r="AU15" i="5"/>
  <c r="BA287" i="5"/>
  <c r="BA15" i="5"/>
  <c r="BE287" i="5"/>
  <c r="BE15" i="5"/>
  <c r="BI287" i="5"/>
  <c r="BI15" i="5"/>
  <c r="BM287" i="5"/>
  <c r="BM15" i="5"/>
  <c r="BQ287" i="5"/>
  <c r="BQ15" i="5"/>
  <c r="BW287" i="5"/>
  <c r="BW15" i="5"/>
  <c r="CA287" i="5"/>
  <c r="CA15" i="5"/>
  <c r="CF287" i="5"/>
  <c r="CF15" i="5"/>
  <c r="CJ287" i="5"/>
  <c r="CJ15" i="5"/>
  <c r="CN287" i="5"/>
  <c r="CN15" i="5"/>
  <c r="CR287" i="5"/>
  <c r="CR15" i="5"/>
  <c r="CV287" i="5"/>
  <c r="CV15" i="5"/>
  <c r="CZ287" i="5"/>
  <c r="CZ15" i="5"/>
  <c r="DD287" i="5"/>
  <c r="DD15" i="5"/>
  <c r="DH287" i="5"/>
  <c r="DH15" i="5"/>
  <c r="CC287" i="5"/>
  <c r="M287" i="5"/>
  <c r="M15" i="5"/>
  <c r="Y287" i="5"/>
  <c r="Y15" i="5"/>
  <c r="BD287" i="5"/>
  <c r="BD15" i="5"/>
  <c r="BP287" i="5"/>
  <c r="BP15" i="5"/>
  <c r="CE287" i="5"/>
  <c r="CE15" i="5"/>
  <c r="CQ287" i="5"/>
  <c r="CQ15" i="5"/>
  <c r="DC287" i="5"/>
  <c r="DC15" i="5"/>
  <c r="K287" i="5"/>
  <c r="K15" i="5"/>
  <c r="O287" i="5"/>
  <c r="O15" i="5"/>
  <c r="W287" i="5"/>
  <c r="W15" i="5"/>
  <c r="AA287" i="5"/>
  <c r="AA15" i="5"/>
  <c r="AH287" i="5"/>
  <c r="AH15" i="5"/>
  <c r="AV287" i="5"/>
  <c r="AV15" i="5"/>
  <c r="BB287" i="5"/>
  <c r="BB15" i="5"/>
  <c r="BF287" i="5"/>
  <c r="BF15" i="5"/>
  <c r="BN287" i="5"/>
  <c r="BN15" i="5"/>
  <c r="BT287" i="5"/>
  <c r="BT15" i="5"/>
  <c r="BX287" i="5"/>
  <c r="BX15" i="5"/>
  <c r="CG287" i="5"/>
  <c r="CG15" i="5"/>
  <c r="CK287" i="5"/>
  <c r="CK15" i="5"/>
  <c r="CO287" i="5"/>
  <c r="CO15" i="5"/>
  <c r="CW287" i="5"/>
  <c r="CW15" i="5"/>
  <c r="DA287" i="5"/>
  <c r="DA15" i="5"/>
  <c r="DE287" i="5"/>
  <c r="DE15" i="5"/>
  <c r="S287" i="5"/>
  <c r="CS287" i="5"/>
  <c r="U287" i="5"/>
  <c r="U15" i="5"/>
  <c r="AO15" i="5"/>
  <c r="AZ287" i="5"/>
  <c r="AZ15" i="5"/>
  <c r="BH287" i="5"/>
  <c r="BH15" i="5"/>
  <c r="BV287" i="5"/>
  <c r="BV15" i="5"/>
  <c r="CI287" i="5"/>
  <c r="CI15" i="5"/>
  <c r="CU287" i="5"/>
  <c r="CU15" i="5"/>
  <c r="DK287" i="5"/>
  <c r="DK15" i="5"/>
  <c r="L287" i="5"/>
  <c r="L15" i="5"/>
  <c r="P287" i="5"/>
  <c r="P15" i="5"/>
  <c r="T287" i="5"/>
  <c r="T15" i="5"/>
  <c r="X287" i="5"/>
  <c r="X15" i="5"/>
  <c r="AE287" i="5"/>
  <c r="AE15" i="5"/>
  <c r="AM15" i="5"/>
  <c r="AS287" i="5"/>
  <c r="AS15" i="5"/>
  <c r="AW287" i="5"/>
  <c r="AW15" i="5"/>
  <c r="BC287" i="5"/>
  <c r="BC15" i="5"/>
  <c r="BG287" i="5"/>
  <c r="BG15" i="5"/>
  <c r="BK287" i="5"/>
  <c r="BK15" i="5"/>
  <c r="BO287" i="5"/>
  <c r="BO15" i="5"/>
  <c r="BU287" i="5"/>
  <c r="BU15" i="5"/>
  <c r="BY287" i="5"/>
  <c r="BY15" i="5"/>
  <c r="CD287" i="5"/>
  <c r="CD15" i="5"/>
  <c r="CH287" i="5"/>
  <c r="CH15" i="5"/>
  <c r="CL287" i="5"/>
  <c r="CL15" i="5"/>
  <c r="CP287" i="5"/>
  <c r="CP15" i="5"/>
  <c r="CT287" i="5"/>
  <c r="CT15" i="5"/>
  <c r="CX287" i="5"/>
  <c r="CX15" i="5"/>
  <c r="DB287" i="5"/>
  <c r="DB15" i="5"/>
  <c r="DF287" i="5"/>
  <c r="DF15" i="5"/>
  <c r="DJ287" i="5"/>
  <c r="DJ15" i="5"/>
  <c r="AR287" i="5"/>
  <c r="DI287" i="5"/>
  <c r="P242" i="5"/>
  <c r="P14" i="5"/>
  <c r="AE242" i="5"/>
  <c r="AE14" i="5"/>
  <c r="AW242" i="5"/>
  <c r="AW14" i="5"/>
  <c r="BK242" i="5"/>
  <c r="BK14" i="5"/>
  <c r="BY242" i="5"/>
  <c r="BY14" i="5"/>
  <c r="CL242" i="5"/>
  <c r="CL14" i="5"/>
  <c r="CT242" i="5"/>
  <c r="CT14" i="5"/>
  <c r="DF242" i="5"/>
  <c r="DF14" i="5"/>
  <c r="M242" i="5"/>
  <c r="M14" i="5"/>
  <c r="Q242" i="5"/>
  <c r="Q14" i="5"/>
  <c r="U242" i="5"/>
  <c r="U14" i="5"/>
  <c r="Y242" i="5"/>
  <c r="Y14" i="5"/>
  <c r="AF242" i="5"/>
  <c r="AF14" i="5"/>
  <c r="AO14" i="5"/>
  <c r="AT242" i="5"/>
  <c r="AT14" i="5"/>
  <c r="AZ242" i="5"/>
  <c r="AZ14" i="5"/>
  <c r="BD242" i="5"/>
  <c r="BD14" i="5"/>
  <c r="BH242" i="5"/>
  <c r="BH14" i="5"/>
  <c r="BL242" i="5"/>
  <c r="BL14" i="5"/>
  <c r="BP242" i="5"/>
  <c r="BP14" i="5"/>
  <c r="BV242" i="5"/>
  <c r="BV14" i="5"/>
  <c r="BZ242" i="5"/>
  <c r="BZ14" i="5"/>
  <c r="CE242" i="5"/>
  <c r="CE14" i="5"/>
  <c r="CI242" i="5"/>
  <c r="CI14" i="5"/>
  <c r="CM242" i="5"/>
  <c r="CM14" i="5"/>
  <c r="CQ242" i="5"/>
  <c r="CQ14" i="5"/>
  <c r="CU242" i="5"/>
  <c r="CU14" i="5"/>
  <c r="CY242" i="5"/>
  <c r="CY14" i="5"/>
  <c r="DC242" i="5"/>
  <c r="DC14" i="5"/>
  <c r="DG242" i="5"/>
  <c r="DG14" i="5"/>
  <c r="DK242" i="5"/>
  <c r="DK14" i="5"/>
  <c r="BX242" i="5"/>
  <c r="T242" i="5"/>
  <c r="T14" i="5"/>
  <c r="AM14" i="5"/>
  <c r="BC242" i="5"/>
  <c r="BC14" i="5"/>
  <c r="BU242" i="5"/>
  <c r="BU14" i="5"/>
  <c r="CD242" i="5"/>
  <c r="CD14" i="5"/>
  <c r="CP242" i="5"/>
  <c r="CP14" i="5"/>
  <c r="DB242" i="5"/>
  <c r="DB14" i="5"/>
  <c r="J242" i="5"/>
  <c r="N242" i="5"/>
  <c r="N14" i="5"/>
  <c r="R242" i="5"/>
  <c r="R14" i="5"/>
  <c r="V242" i="5"/>
  <c r="V14" i="5"/>
  <c r="Z242" i="5"/>
  <c r="Z14" i="5"/>
  <c r="AG242" i="5"/>
  <c r="AG14" i="5"/>
  <c r="AP242" i="5"/>
  <c r="AP14" i="5"/>
  <c r="AU242" i="5"/>
  <c r="AU14" i="5"/>
  <c r="BA242" i="5"/>
  <c r="BA14" i="5"/>
  <c r="BE242" i="5"/>
  <c r="BE14" i="5"/>
  <c r="BI242" i="5"/>
  <c r="BI14" i="5"/>
  <c r="BM242" i="5"/>
  <c r="BM14" i="5"/>
  <c r="BQ242" i="5"/>
  <c r="BQ14" i="5"/>
  <c r="BW242" i="5"/>
  <c r="BW14" i="5"/>
  <c r="CA242" i="5"/>
  <c r="CA14" i="5"/>
  <c r="CF242" i="5"/>
  <c r="CF14" i="5"/>
  <c r="CJ242" i="5"/>
  <c r="CJ14" i="5"/>
  <c r="CN242" i="5"/>
  <c r="CN14" i="5"/>
  <c r="CR242" i="5"/>
  <c r="CR14" i="5"/>
  <c r="CV242" i="5"/>
  <c r="CV14" i="5"/>
  <c r="CZ242" i="5"/>
  <c r="CZ14" i="5"/>
  <c r="DD242" i="5"/>
  <c r="DD14" i="5"/>
  <c r="DH242" i="5"/>
  <c r="DH14" i="5"/>
  <c r="O242" i="5"/>
  <c r="CO242" i="5"/>
  <c r="L242" i="5"/>
  <c r="L14" i="5"/>
  <c r="X242" i="5"/>
  <c r="X14" i="5"/>
  <c r="AS242" i="5"/>
  <c r="AS14" i="5"/>
  <c r="BG242" i="5"/>
  <c r="BG14" i="5"/>
  <c r="BO242" i="5"/>
  <c r="BO14" i="5"/>
  <c r="CH242" i="5"/>
  <c r="CH14" i="5"/>
  <c r="CX242" i="5"/>
  <c r="CX14" i="5"/>
  <c r="DJ242" i="5"/>
  <c r="DJ14" i="5"/>
  <c r="K242" i="5"/>
  <c r="K14" i="5"/>
  <c r="S242" i="5"/>
  <c r="S14" i="5"/>
  <c r="W242" i="5"/>
  <c r="W14" i="5"/>
  <c r="AA242" i="5"/>
  <c r="AA14" i="5"/>
  <c r="AR242" i="5"/>
  <c r="AR14" i="5"/>
  <c r="AV242" i="5"/>
  <c r="AV14" i="5"/>
  <c r="BB242" i="5"/>
  <c r="BB14" i="5"/>
  <c r="BJ242" i="5"/>
  <c r="BJ14" i="5"/>
  <c r="BN242" i="5"/>
  <c r="BN14" i="5"/>
  <c r="BT242" i="5"/>
  <c r="BT14" i="5"/>
  <c r="CC242" i="5"/>
  <c r="CC14" i="5"/>
  <c r="CG242" i="5"/>
  <c r="CG14" i="5"/>
  <c r="CK242" i="5"/>
  <c r="CK14" i="5"/>
  <c r="CS242" i="5"/>
  <c r="CS14" i="5"/>
  <c r="CW242" i="5"/>
  <c r="CW14" i="5"/>
  <c r="DA242" i="5"/>
  <c r="DA14" i="5"/>
  <c r="DI242" i="5"/>
  <c r="DI14" i="5"/>
  <c r="AH242" i="5"/>
  <c r="DE242" i="5"/>
  <c r="BT197" i="5"/>
  <c r="M197" i="5"/>
  <c r="M13" i="5"/>
  <c r="U197" i="5"/>
  <c r="U13" i="5"/>
  <c r="AF197" i="5"/>
  <c r="AF13" i="5"/>
  <c r="AT197" i="5"/>
  <c r="AT13" i="5"/>
  <c r="BD197" i="5"/>
  <c r="BD13" i="5"/>
  <c r="BL197" i="5"/>
  <c r="BL13" i="5"/>
  <c r="BV197" i="5"/>
  <c r="BV13" i="5"/>
  <c r="CE197" i="5"/>
  <c r="CE13" i="5"/>
  <c r="CM197" i="5"/>
  <c r="CM13" i="5"/>
  <c r="CU197" i="5"/>
  <c r="CU13" i="5"/>
  <c r="DC197" i="5"/>
  <c r="DC13" i="5"/>
  <c r="DK197" i="5"/>
  <c r="DK13" i="5"/>
  <c r="N197" i="5"/>
  <c r="N13" i="5"/>
  <c r="Z197" i="5"/>
  <c r="Z13" i="5"/>
  <c r="AU197" i="5"/>
  <c r="AU13" i="5"/>
  <c r="BE197" i="5"/>
  <c r="BE13" i="5"/>
  <c r="BQ197" i="5"/>
  <c r="BQ13" i="5"/>
  <c r="CA197" i="5"/>
  <c r="CA13" i="5"/>
  <c r="CJ197" i="5"/>
  <c r="CJ13" i="5"/>
  <c r="CZ197" i="5"/>
  <c r="CZ13" i="5"/>
  <c r="K197" i="5"/>
  <c r="K13" i="5"/>
  <c r="O197" i="5"/>
  <c r="O13" i="5"/>
  <c r="S197" i="5"/>
  <c r="S13" i="5"/>
  <c r="W197" i="5"/>
  <c r="W13" i="5"/>
  <c r="AA197" i="5"/>
  <c r="AA13" i="5"/>
  <c r="AH197" i="5"/>
  <c r="AH13" i="5"/>
  <c r="AR197" i="5"/>
  <c r="AR13" i="5"/>
  <c r="AV197" i="5"/>
  <c r="AV13" i="5"/>
  <c r="BB197" i="5"/>
  <c r="BB13" i="5"/>
  <c r="BF197" i="5"/>
  <c r="BF13" i="5"/>
  <c r="BJ197" i="5"/>
  <c r="BJ13" i="5"/>
  <c r="BN197" i="5"/>
  <c r="BN13" i="5"/>
  <c r="BX197" i="5"/>
  <c r="BX13" i="5"/>
  <c r="CC197" i="5"/>
  <c r="CC13" i="5"/>
  <c r="CG197" i="5"/>
  <c r="CG13" i="5"/>
  <c r="CO197" i="5"/>
  <c r="CO13" i="5"/>
  <c r="CS197" i="5"/>
  <c r="CS13" i="5"/>
  <c r="CW197" i="5"/>
  <c r="CW13" i="5"/>
  <c r="DE197" i="5"/>
  <c r="DE13" i="5"/>
  <c r="DI197" i="5"/>
  <c r="DI13" i="5"/>
  <c r="CK197" i="5"/>
  <c r="Q197" i="5"/>
  <c r="Q13" i="5"/>
  <c r="Y197" i="5"/>
  <c r="Y13" i="5"/>
  <c r="AO13" i="5"/>
  <c r="AZ197" i="5"/>
  <c r="AZ13" i="5"/>
  <c r="BH197" i="5"/>
  <c r="BH13" i="5"/>
  <c r="BP197" i="5"/>
  <c r="BP13" i="5"/>
  <c r="BZ197" i="5"/>
  <c r="BZ13" i="5"/>
  <c r="CI197" i="5"/>
  <c r="CI13" i="5"/>
  <c r="CQ197" i="5"/>
  <c r="CQ13" i="5"/>
  <c r="CY197" i="5"/>
  <c r="CY13" i="5"/>
  <c r="DG197" i="5"/>
  <c r="DG13" i="5"/>
  <c r="J197" i="5"/>
  <c r="R197" i="5"/>
  <c r="R13" i="5"/>
  <c r="V197" i="5"/>
  <c r="V13" i="5"/>
  <c r="AG197" i="5"/>
  <c r="AG13" i="5"/>
  <c r="AP197" i="5"/>
  <c r="AP13" i="5"/>
  <c r="BA197" i="5"/>
  <c r="BA13" i="5"/>
  <c r="BI197" i="5"/>
  <c r="BI13" i="5"/>
  <c r="BM197" i="5"/>
  <c r="BM13" i="5"/>
  <c r="BW197" i="5"/>
  <c r="BW13" i="5"/>
  <c r="CF197" i="5"/>
  <c r="CF13" i="5"/>
  <c r="CN197" i="5"/>
  <c r="CN13" i="5"/>
  <c r="CR197" i="5"/>
  <c r="CR13" i="5"/>
  <c r="CV197" i="5"/>
  <c r="CV13" i="5"/>
  <c r="DD197" i="5"/>
  <c r="DD13" i="5"/>
  <c r="DH197" i="5"/>
  <c r="DH13" i="5"/>
  <c r="L197" i="5"/>
  <c r="L13" i="5"/>
  <c r="P197" i="5"/>
  <c r="P13" i="5"/>
  <c r="T197" i="5"/>
  <c r="T13" i="5"/>
  <c r="X197" i="5"/>
  <c r="X13" i="5"/>
  <c r="AE197" i="5"/>
  <c r="AE13" i="5"/>
  <c r="AM13" i="5"/>
  <c r="AS197" i="5"/>
  <c r="AS13" i="5"/>
  <c r="AW197" i="5"/>
  <c r="AW13" i="5"/>
  <c r="BC197" i="5"/>
  <c r="BC13" i="5"/>
  <c r="BG197" i="5"/>
  <c r="BG13" i="5"/>
  <c r="BK197" i="5"/>
  <c r="BK13" i="5"/>
  <c r="BO197" i="5"/>
  <c r="BO13" i="5"/>
  <c r="BU197" i="5"/>
  <c r="BU13" i="5"/>
  <c r="BY197" i="5"/>
  <c r="BY13" i="5"/>
  <c r="CD197" i="5"/>
  <c r="CD13" i="5"/>
  <c r="CH197" i="5"/>
  <c r="CH13" i="5"/>
  <c r="CL197" i="5"/>
  <c r="CL13" i="5"/>
  <c r="CP197" i="5"/>
  <c r="CP13" i="5"/>
  <c r="CT197" i="5"/>
  <c r="CT13" i="5"/>
  <c r="CX197" i="5"/>
  <c r="CX13" i="5"/>
  <c r="DB197" i="5"/>
  <c r="DB13" i="5"/>
  <c r="DF197" i="5"/>
  <c r="DF13" i="5"/>
  <c r="DJ197" i="5"/>
  <c r="DJ13" i="5"/>
  <c r="DA197" i="5"/>
  <c r="DJ152" i="5"/>
  <c r="DJ12" i="5"/>
  <c r="DF152" i="5"/>
  <c r="DF12" i="5"/>
  <c r="DB152" i="5"/>
  <c r="DB12" i="5"/>
  <c r="CX152" i="5"/>
  <c r="CX12" i="5"/>
  <c r="CT152" i="5"/>
  <c r="CT12" i="5"/>
  <c r="CP152" i="5"/>
  <c r="CP12" i="5"/>
  <c r="CL152" i="5"/>
  <c r="CL12" i="5"/>
  <c r="CH152" i="5"/>
  <c r="CH12" i="5"/>
  <c r="CD152" i="5"/>
  <c r="CD12" i="5"/>
  <c r="BY152" i="5"/>
  <c r="BY12" i="5"/>
  <c r="BU152" i="5"/>
  <c r="BU12" i="5"/>
  <c r="BO152" i="5"/>
  <c r="BO12" i="5"/>
  <c r="BK152" i="5"/>
  <c r="BK12" i="5"/>
  <c r="BG152" i="5"/>
  <c r="BG12" i="5"/>
  <c r="BC152" i="5"/>
  <c r="BC12" i="5"/>
  <c r="AW152" i="5"/>
  <c r="AW12" i="5"/>
  <c r="AS152" i="5"/>
  <c r="AS12" i="5"/>
  <c r="AM12" i="5"/>
  <c r="AE152" i="5"/>
  <c r="AE12" i="5"/>
  <c r="X152" i="5"/>
  <c r="X12" i="5"/>
  <c r="T152" i="5"/>
  <c r="T12" i="5"/>
  <c r="P152" i="5"/>
  <c r="P12" i="5"/>
  <c r="L152" i="5"/>
  <c r="L12" i="5"/>
  <c r="DI152" i="5"/>
  <c r="DI12" i="5"/>
  <c r="DE152" i="5"/>
  <c r="DE12" i="5"/>
  <c r="DA152" i="5"/>
  <c r="DA12" i="5"/>
  <c r="CW152" i="5"/>
  <c r="CW12" i="5"/>
  <c r="CS152" i="5"/>
  <c r="CS12" i="5"/>
  <c r="CO152" i="5"/>
  <c r="CO12" i="5"/>
  <c r="CK152" i="5"/>
  <c r="CK12" i="5"/>
  <c r="CG152" i="5"/>
  <c r="CG12" i="5"/>
  <c r="CC152" i="5"/>
  <c r="CC12" i="5"/>
  <c r="BX152" i="5"/>
  <c r="BX12" i="5"/>
  <c r="BT152" i="5"/>
  <c r="BT12" i="5"/>
  <c r="BN152" i="5"/>
  <c r="BN12" i="5"/>
  <c r="BJ152" i="5"/>
  <c r="BJ12" i="5"/>
  <c r="BF152" i="5"/>
  <c r="BF12" i="5"/>
  <c r="BB152" i="5"/>
  <c r="BB12" i="5"/>
  <c r="AV152" i="5"/>
  <c r="AV12" i="5"/>
  <c r="AR152" i="5"/>
  <c r="AR12" i="5"/>
  <c r="AH152" i="5"/>
  <c r="AH12" i="5"/>
  <c r="AA152" i="5"/>
  <c r="AA12" i="5"/>
  <c r="W152" i="5"/>
  <c r="W12" i="5"/>
  <c r="S152" i="5"/>
  <c r="S12" i="5"/>
  <c r="O152" i="5"/>
  <c r="O12" i="5"/>
  <c r="K152" i="5"/>
  <c r="K12" i="5"/>
  <c r="DH12" i="5"/>
  <c r="DD12" i="5"/>
  <c r="CZ12" i="5"/>
  <c r="CV12" i="5"/>
  <c r="CR12" i="5"/>
  <c r="CN12" i="5"/>
  <c r="CJ12" i="5"/>
  <c r="CF12" i="5"/>
  <c r="CA12" i="5"/>
  <c r="BW12" i="5"/>
  <c r="BQ12" i="5"/>
  <c r="BM12" i="5"/>
  <c r="BI12" i="5"/>
  <c r="BE12" i="5"/>
  <c r="BA12" i="5"/>
  <c r="AU12" i="5"/>
  <c r="AP12" i="5"/>
  <c r="AG12" i="5"/>
  <c r="Z12" i="5"/>
  <c r="V12" i="5"/>
  <c r="R12" i="5"/>
  <c r="N12" i="5"/>
  <c r="CF152" i="5"/>
  <c r="DK152" i="5"/>
  <c r="DK12" i="5"/>
  <c r="DG152" i="5"/>
  <c r="DG12" i="5"/>
  <c r="DC152" i="5"/>
  <c r="DC12" i="5"/>
  <c r="CY152" i="5"/>
  <c r="CY12" i="5"/>
  <c r="CU152" i="5"/>
  <c r="CU12" i="5"/>
  <c r="CQ152" i="5"/>
  <c r="CQ12" i="5"/>
  <c r="CM152" i="5"/>
  <c r="CM12" i="5"/>
  <c r="CI152" i="5"/>
  <c r="CI12" i="5"/>
  <c r="CE152" i="5"/>
  <c r="CE12" i="5"/>
  <c r="BZ152" i="5"/>
  <c r="BZ12" i="5"/>
  <c r="BV152" i="5"/>
  <c r="BV12" i="5"/>
  <c r="BP152" i="5"/>
  <c r="BP12" i="5"/>
  <c r="BL152" i="5"/>
  <c r="BL12" i="5"/>
  <c r="BH152" i="5"/>
  <c r="BH12" i="5"/>
  <c r="BD152" i="5"/>
  <c r="BD12" i="5"/>
  <c r="AZ152" i="5"/>
  <c r="AZ12" i="5"/>
  <c r="AT152" i="5"/>
  <c r="AT12" i="5"/>
  <c r="AO12" i="5"/>
  <c r="AF152" i="5"/>
  <c r="AF12" i="5"/>
  <c r="Y152" i="5"/>
  <c r="Y12" i="5"/>
  <c r="U152" i="5"/>
  <c r="U12" i="5"/>
  <c r="Q152" i="5"/>
  <c r="Q12" i="5"/>
  <c r="M152" i="5"/>
  <c r="M12" i="5"/>
  <c r="V152" i="5"/>
  <c r="CV152" i="5"/>
  <c r="M107" i="5"/>
  <c r="D16" i="9" s="1"/>
  <c r="M11" i="5"/>
  <c r="Q107" i="5"/>
  <c r="D20" i="9" s="1"/>
  <c r="Q11" i="5"/>
  <c r="U107" i="5"/>
  <c r="D24" i="9" s="1"/>
  <c r="U11" i="5"/>
  <c r="Y107" i="5"/>
  <c r="D28" i="9" s="1"/>
  <c r="Y11" i="5"/>
  <c r="AF107" i="5"/>
  <c r="D32" i="9" s="1"/>
  <c r="AF11" i="5"/>
  <c r="AO11" i="5"/>
  <c r="AT107" i="5"/>
  <c r="D40" i="9" s="1"/>
  <c r="AT11" i="5"/>
  <c r="AZ107" i="5"/>
  <c r="D44" i="9" s="1"/>
  <c r="I44" i="9" s="1"/>
  <c r="AZ11" i="5"/>
  <c r="BD107" i="5"/>
  <c r="D48" i="9" s="1"/>
  <c r="BD11" i="5"/>
  <c r="BH107" i="5"/>
  <c r="D52" i="9" s="1"/>
  <c r="BH11" i="5"/>
  <c r="BL107" i="5"/>
  <c r="D56" i="9" s="1"/>
  <c r="BL11" i="5"/>
  <c r="BP107" i="5"/>
  <c r="D60" i="9" s="1"/>
  <c r="BP11" i="5"/>
  <c r="BV107" i="5"/>
  <c r="D64" i="9" s="1"/>
  <c r="BV11" i="5"/>
  <c r="BZ107" i="5"/>
  <c r="D68" i="9" s="1"/>
  <c r="BZ11" i="5"/>
  <c r="CE107" i="5"/>
  <c r="D72" i="9" s="1"/>
  <c r="CE11" i="5"/>
  <c r="CI107" i="5"/>
  <c r="D76" i="9" s="1"/>
  <c r="CI11" i="5"/>
  <c r="CM107" i="5"/>
  <c r="D80" i="9" s="1"/>
  <c r="CM11" i="5"/>
  <c r="CQ107" i="5"/>
  <c r="D84" i="9" s="1"/>
  <c r="CQ11" i="5"/>
  <c r="CU107" i="5"/>
  <c r="D88" i="9" s="1"/>
  <c r="CU11" i="5"/>
  <c r="CY107" i="5"/>
  <c r="D92" i="9" s="1"/>
  <c r="CY11" i="5"/>
  <c r="DC107" i="5"/>
  <c r="DC11" i="5"/>
  <c r="DG107" i="5"/>
  <c r="DG11" i="5"/>
  <c r="DK107" i="5"/>
  <c r="DK11" i="5"/>
  <c r="J107" i="5"/>
  <c r="D13" i="9" s="1"/>
  <c r="N107" i="5"/>
  <c r="D17" i="9" s="1"/>
  <c r="N11" i="5"/>
  <c r="R107" i="5"/>
  <c r="D21" i="9" s="1"/>
  <c r="R11" i="5"/>
  <c r="V107" i="5"/>
  <c r="V11" i="5"/>
  <c r="Z107" i="5"/>
  <c r="D29" i="9" s="1"/>
  <c r="Z11" i="5"/>
  <c r="AG107" i="5"/>
  <c r="D33" i="9" s="1"/>
  <c r="AG11" i="5"/>
  <c r="AP107" i="5"/>
  <c r="D37" i="9" s="1"/>
  <c r="AP11" i="5"/>
  <c r="AU107" i="5"/>
  <c r="D41" i="9" s="1"/>
  <c r="AU11" i="5"/>
  <c r="BA107" i="5"/>
  <c r="D45" i="9" s="1"/>
  <c r="BA11" i="5"/>
  <c r="BE107" i="5"/>
  <c r="D49" i="9" s="1"/>
  <c r="BE11" i="5"/>
  <c r="BI107" i="5"/>
  <c r="D53" i="9" s="1"/>
  <c r="BI11" i="5"/>
  <c r="BM107" i="5"/>
  <c r="D57" i="9" s="1"/>
  <c r="BM11" i="5"/>
  <c r="BQ107" i="5"/>
  <c r="D61" i="9" s="1"/>
  <c r="BQ11" i="5"/>
  <c r="BW107" i="5"/>
  <c r="D65" i="9" s="1"/>
  <c r="BW11" i="5"/>
  <c r="CA107" i="5"/>
  <c r="D69" i="9" s="1"/>
  <c r="CA11" i="5"/>
  <c r="CF107" i="5"/>
  <c r="D73" i="9" s="1"/>
  <c r="CF11" i="5"/>
  <c r="CJ107" i="5"/>
  <c r="D77" i="9" s="1"/>
  <c r="CJ11" i="5"/>
  <c r="CN107" i="5"/>
  <c r="D81" i="9" s="1"/>
  <c r="CN11" i="5"/>
  <c r="CR107" i="5"/>
  <c r="D85" i="9" s="1"/>
  <c r="CR11" i="5"/>
  <c r="CV107" i="5"/>
  <c r="D89" i="9" s="1"/>
  <c r="CV11" i="5"/>
  <c r="CZ107" i="5"/>
  <c r="D93" i="9" s="1"/>
  <c r="CZ11" i="5"/>
  <c r="DD107" i="5"/>
  <c r="DD11" i="5"/>
  <c r="DH107" i="5"/>
  <c r="DH11" i="5"/>
  <c r="K107" i="5"/>
  <c r="D14" i="9" s="1"/>
  <c r="K11" i="5"/>
  <c r="O107" i="5"/>
  <c r="D18" i="9" s="1"/>
  <c r="O11" i="5"/>
  <c r="S107" i="5"/>
  <c r="D22" i="9" s="1"/>
  <c r="S11" i="5"/>
  <c r="W107" i="5"/>
  <c r="D26" i="9" s="1"/>
  <c r="W11" i="5"/>
  <c r="AA107" i="5"/>
  <c r="D30" i="9" s="1"/>
  <c r="AA11" i="5"/>
  <c r="AH107" i="5"/>
  <c r="D34" i="9" s="1"/>
  <c r="AH11" i="5"/>
  <c r="AR107" i="5"/>
  <c r="D38" i="9" s="1"/>
  <c r="AR11" i="5"/>
  <c r="AV107" i="5"/>
  <c r="D42" i="9" s="1"/>
  <c r="AV11" i="5"/>
  <c r="BB107" i="5"/>
  <c r="D46" i="9" s="1"/>
  <c r="BB11" i="5"/>
  <c r="BF107" i="5"/>
  <c r="D50" i="9" s="1"/>
  <c r="BF11" i="5"/>
  <c r="BJ107" i="5"/>
  <c r="D54" i="9" s="1"/>
  <c r="BJ11" i="5"/>
  <c r="BN107" i="5"/>
  <c r="D58" i="9" s="1"/>
  <c r="BN11" i="5"/>
  <c r="BT107" i="5"/>
  <c r="BT11" i="5"/>
  <c r="BX107" i="5"/>
  <c r="D66" i="9" s="1"/>
  <c r="BX11" i="5"/>
  <c r="CC107" i="5"/>
  <c r="D70" i="9" s="1"/>
  <c r="CC11" i="5"/>
  <c r="CG107" i="5"/>
  <c r="D74" i="9" s="1"/>
  <c r="CG11" i="5"/>
  <c r="CK107" i="5"/>
  <c r="D78" i="9" s="1"/>
  <c r="CK11" i="5"/>
  <c r="CO107" i="5"/>
  <c r="D82" i="9" s="1"/>
  <c r="CO11" i="5"/>
  <c r="CS107" i="5"/>
  <c r="D86" i="9" s="1"/>
  <c r="CS11" i="5"/>
  <c r="CW107" i="5"/>
  <c r="D90" i="9" s="1"/>
  <c r="CW11" i="5"/>
  <c r="DA107" i="5"/>
  <c r="D94" i="9" s="1"/>
  <c r="DA11" i="5"/>
  <c r="DE107" i="5"/>
  <c r="DE11" i="5"/>
  <c r="DI107" i="5"/>
  <c r="DI11" i="5"/>
  <c r="L107" i="5"/>
  <c r="D15" i="9" s="1"/>
  <c r="L11" i="5"/>
  <c r="P107" i="5"/>
  <c r="D19" i="9" s="1"/>
  <c r="P11" i="5"/>
  <c r="T107" i="5"/>
  <c r="D23" i="9" s="1"/>
  <c r="T11" i="5"/>
  <c r="X107" i="5"/>
  <c r="D27" i="9" s="1"/>
  <c r="X11" i="5"/>
  <c r="AE107" i="5"/>
  <c r="D31" i="9" s="1"/>
  <c r="AE11" i="5"/>
  <c r="AM11" i="5"/>
  <c r="AS107" i="5"/>
  <c r="D39" i="9" s="1"/>
  <c r="AS11" i="5"/>
  <c r="AW107" i="5"/>
  <c r="D43" i="9" s="1"/>
  <c r="AW11" i="5"/>
  <c r="BC107" i="5"/>
  <c r="D47" i="9" s="1"/>
  <c r="BC11" i="5"/>
  <c r="BG107" i="5"/>
  <c r="D51" i="9" s="1"/>
  <c r="BG11" i="5"/>
  <c r="BK107" i="5"/>
  <c r="D55" i="9" s="1"/>
  <c r="BK11" i="5"/>
  <c r="BO107" i="5"/>
  <c r="D59" i="9" s="1"/>
  <c r="BO11" i="5"/>
  <c r="BU107" i="5"/>
  <c r="D63" i="9" s="1"/>
  <c r="BU11" i="5"/>
  <c r="BY107" i="5"/>
  <c r="D67" i="9" s="1"/>
  <c r="BY11" i="5"/>
  <c r="CD107" i="5"/>
  <c r="D71" i="9" s="1"/>
  <c r="CD11" i="5"/>
  <c r="CH107" i="5"/>
  <c r="D75" i="9" s="1"/>
  <c r="CH11" i="5"/>
  <c r="CL107" i="5"/>
  <c r="D79" i="9" s="1"/>
  <c r="CL11" i="5"/>
  <c r="CP107" i="5"/>
  <c r="D83" i="9" s="1"/>
  <c r="CP11" i="5"/>
  <c r="CT107" i="5"/>
  <c r="D87" i="9" s="1"/>
  <c r="CT11" i="5"/>
  <c r="CX107" i="5"/>
  <c r="D91" i="9" s="1"/>
  <c r="CX11" i="5"/>
  <c r="DB107" i="5"/>
  <c r="D95" i="9" s="1"/>
  <c r="DB11" i="5"/>
  <c r="DF107" i="5"/>
  <c r="DF11" i="5"/>
  <c r="DJ107" i="5"/>
  <c r="DJ11" i="5"/>
  <c r="AH8" i="5"/>
  <c r="AH9" i="5" s="1"/>
  <c r="AH61" i="5"/>
  <c r="AH56" i="5"/>
  <c r="AH43" i="5"/>
  <c r="AH28" i="5"/>
  <c r="C36" i="6"/>
  <c r="C35" i="6"/>
  <c r="C34" i="6"/>
  <c r="DN61" i="5"/>
  <c r="DN18" i="5"/>
  <c r="DN28" i="5" s="1"/>
  <c r="DM18" i="5"/>
  <c r="C105" i="6"/>
  <c r="DK61" i="5"/>
  <c r="DJ61" i="5"/>
  <c r="DI61" i="5"/>
  <c r="DH61" i="5"/>
  <c r="DG61" i="5"/>
  <c r="DF61" i="5"/>
  <c r="DE61" i="5"/>
  <c r="DD61" i="5"/>
  <c r="DC61" i="5"/>
  <c r="DB61" i="5"/>
  <c r="DA61" i="5"/>
  <c r="CZ61" i="5"/>
  <c r="CY61" i="5"/>
  <c r="CX61" i="5"/>
  <c r="CW61" i="5"/>
  <c r="CV61" i="5"/>
  <c r="CU61" i="5"/>
  <c r="CT61" i="5"/>
  <c r="CS61" i="5"/>
  <c r="CR61" i="5"/>
  <c r="CQ61" i="5"/>
  <c r="CP61" i="5"/>
  <c r="CO61" i="5"/>
  <c r="CN61" i="5"/>
  <c r="CM61" i="5"/>
  <c r="CL61" i="5"/>
  <c r="CK61" i="5"/>
  <c r="CJ61" i="5"/>
  <c r="CI61" i="5"/>
  <c r="CH61" i="5"/>
  <c r="CG61" i="5"/>
  <c r="CF61" i="5"/>
  <c r="CE61" i="5"/>
  <c r="CD61" i="5"/>
  <c r="CC61" i="5"/>
  <c r="CA61" i="5"/>
  <c r="BZ61" i="5"/>
  <c r="BY61" i="5"/>
  <c r="BX61" i="5"/>
  <c r="BW61" i="5"/>
  <c r="BV61" i="5"/>
  <c r="BU61" i="5"/>
  <c r="BT61" i="5"/>
  <c r="BQ61" i="5"/>
  <c r="BP61" i="5"/>
  <c r="BO61" i="5"/>
  <c r="BN61" i="5"/>
  <c r="BM61" i="5"/>
  <c r="BL61" i="5"/>
  <c r="BK61" i="5"/>
  <c r="BJ61" i="5"/>
  <c r="BI61" i="5"/>
  <c r="BH61" i="5"/>
  <c r="BG61" i="5"/>
  <c r="BF61" i="5"/>
  <c r="BE61" i="5"/>
  <c r="BD61" i="5"/>
  <c r="BC61" i="5"/>
  <c r="BB61" i="5"/>
  <c r="BA61" i="5"/>
  <c r="AZ61" i="5"/>
  <c r="AW61" i="5"/>
  <c r="AV61" i="5"/>
  <c r="AU61" i="5"/>
  <c r="AT61" i="5"/>
  <c r="AS61" i="5"/>
  <c r="AR61" i="5"/>
  <c r="AP61" i="5"/>
  <c r="AG61" i="5"/>
  <c r="AF61" i="5"/>
  <c r="AE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DK56" i="5"/>
  <c r="DJ56" i="5"/>
  <c r="DI56" i="5"/>
  <c r="DH56" i="5"/>
  <c r="DG56" i="5"/>
  <c r="DF56" i="5"/>
  <c r="DE56" i="5"/>
  <c r="DD56" i="5"/>
  <c r="DC56" i="5"/>
  <c r="DB56" i="5"/>
  <c r="DA56" i="5"/>
  <c r="CZ56" i="5"/>
  <c r="CY56" i="5"/>
  <c r="CX56" i="5"/>
  <c r="CW56" i="5"/>
  <c r="CV56" i="5"/>
  <c r="CU56" i="5"/>
  <c r="CT56" i="5"/>
  <c r="CS56" i="5"/>
  <c r="CR56" i="5"/>
  <c r="CQ56" i="5"/>
  <c r="CP56" i="5"/>
  <c r="CO56" i="5"/>
  <c r="CN56" i="5"/>
  <c r="CM56" i="5"/>
  <c r="CL56" i="5"/>
  <c r="CK56" i="5"/>
  <c r="CJ56" i="5"/>
  <c r="CI56" i="5"/>
  <c r="CH56" i="5"/>
  <c r="CG56" i="5"/>
  <c r="CF56" i="5"/>
  <c r="CE56" i="5"/>
  <c r="CD56" i="5"/>
  <c r="CC56" i="5"/>
  <c r="CA56" i="5"/>
  <c r="BZ56" i="5"/>
  <c r="BY56" i="5"/>
  <c r="BX56" i="5"/>
  <c r="BW56" i="5"/>
  <c r="BV56" i="5"/>
  <c r="BU56" i="5"/>
  <c r="BT56" i="5"/>
  <c r="BQ56" i="5"/>
  <c r="BP56" i="5"/>
  <c r="BO56" i="5"/>
  <c r="BN56" i="5"/>
  <c r="BM56" i="5"/>
  <c r="BL56" i="5"/>
  <c r="BK56" i="5"/>
  <c r="BJ56" i="5"/>
  <c r="BI56" i="5"/>
  <c r="BH56" i="5"/>
  <c r="BG56" i="5"/>
  <c r="BF56" i="5"/>
  <c r="BE56" i="5"/>
  <c r="BD56" i="5"/>
  <c r="BC56" i="5"/>
  <c r="BB56" i="5"/>
  <c r="BA56" i="5"/>
  <c r="AZ56" i="5"/>
  <c r="AW56" i="5"/>
  <c r="AV56" i="5"/>
  <c r="AU56" i="5"/>
  <c r="AT56" i="5"/>
  <c r="AS56" i="5"/>
  <c r="AR56" i="5"/>
  <c r="AP56" i="5"/>
  <c r="AG56" i="5"/>
  <c r="AF56" i="5"/>
  <c r="AE56" i="5"/>
  <c r="AA56" i="5"/>
  <c r="Z56" i="5"/>
  <c r="Y56" i="5"/>
  <c r="X56" i="5"/>
  <c r="W56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DK43" i="5"/>
  <c r="DJ43" i="5"/>
  <c r="DI43" i="5"/>
  <c r="DH43" i="5"/>
  <c r="DG43" i="5"/>
  <c r="DF43" i="5"/>
  <c r="DE43" i="5"/>
  <c r="DD43" i="5"/>
  <c r="DC43" i="5"/>
  <c r="DB43" i="5"/>
  <c r="DA43" i="5"/>
  <c r="CZ43" i="5"/>
  <c r="CY43" i="5"/>
  <c r="CX43" i="5"/>
  <c r="CW43" i="5"/>
  <c r="CV43" i="5"/>
  <c r="CU43" i="5"/>
  <c r="CT43" i="5"/>
  <c r="CS43" i="5"/>
  <c r="CR43" i="5"/>
  <c r="CQ43" i="5"/>
  <c r="CP43" i="5"/>
  <c r="CO43" i="5"/>
  <c r="CN43" i="5"/>
  <c r="CM43" i="5"/>
  <c r="CL43" i="5"/>
  <c r="CK43" i="5"/>
  <c r="CJ43" i="5"/>
  <c r="CI43" i="5"/>
  <c r="CH43" i="5"/>
  <c r="CG43" i="5"/>
  <c r="CF43" i="5"/>
  <c r="CE43" i="5"/>
  <c r="CD43" i="5"/>
  <c r="CC43" i="5"/>
  <c r="CA43" i="5"/>
  <c r="BZ43" i="5"/>
  <c r="BY43" i="5"/>
  <c r="BX43" i="5"/>
  <c r="BW43" i="5"/>
  <c r="BV43" i="5"/>
  <c r="BU43" i="5"/>
  <c r="BT43" i="5"/>
  <c r="BQ43" i="5"/>
  <c r="BP43" i="5"/>
  <c r="BO43" i="5"/>
  <c r="BN43" i="5"/>
  <c r="BM43" i="5"/>
  <c r="BL43" i="5"/>
  <c r="BK43" i="5"/>
  <c r="BJ43" i="5"/>
  <c r="BI43" i="5"/>
  <c r="BH43" i="5"/>
  <c r="BG43" i="5"/>
  <c r="BF43" i="5"/>
  <c r="BE43" i="5"/>
  <c r="BD43" i="5"/>
  <c r="BC43" i="5"/>
  <c r="BB43" i="5"/>
  <c r="BA43" i="5"/>
  <c r="AZ43" i="5"/>
  <c r="AW43" i="5"/>
  <c r="AV43" i="5"/>
  <c r="AU43" i="5"/>
  <c r="AT43" i="5"/>
  <c r="AS43" i="5"/>
  <c r="AR43" i="5"/>
  <c r="AP43" i="5"/>
  <c r="AG43" i="5"/>
  <c r="AF43" i="5"/>
  <c r="AE43" i="5"/>
  <c r="AA43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DK28" i="5"/>
  <c r="DJ28" i="5"/>
  <c r="DI28" i="5"/>
  <c r="DH28" i="5"/>
  <c r="DG28" i="5"/>
  <c r="DF28" i="5"/>
  <c r="DE28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I28" i="5"/>
  <c r="CH28" i="5"/>
  <c r="CG28" i="5"/>
  <c r="CF28" i="5"/>
  <c r="CE28" i="5"/>
  <c r="CD28" i="5"/>
  <c r="CC28" i="5"/>
  <c r="CA28" i="5"/>
  <c r="BZ28" i="5"/>
  <c r="BY28" i="5"/>
  <c r="BX28" i="5"/>
  <c r="BW28" i="5"/>
  <c r="BV28" i="5"/>
  <c r="BU28" i="5"/>
  <c r="BT28" i="5"/>
  <c r="BQ28" i="5"/>
  <c r="BP28" i="5"/>
  <c r="BO28" i="5"/>
  <c r="BN28" i="5"/>
  <c r="BM28" i="5"/>
  <c r="BL28" i="5"/>
  <c r="BK28" i="5"/>
  <c r="BJ28" i="5"/>
  <c r="BI28" i="5"/>
  <c r="BH28" i="5"/>
  <c r="BG28" i="5"/>
  <c r="BF28" i="5"/>
  <c r="BE28" i="5"/>
  <c r="BD28" i="5"/>
  <c r="BC28" i="5"/>
  <c r="BB28" i="5"/>
  <c r="BA28" i="5"/>
  <c r="AZ28" i="5"/>
  <c r="AW28" i="5"/>
  <c r="AV28" i="5"/>
  <c r="AU28" i="5"/>
  <c r="AT28" i="5"/>
  <c r="AS28" i="5"/>
  <c r="AR28" i="5"/>
  <c r="AP28" i="5"/>
  <c r="AG28" i="5"/>
  <c r="AF28" i="5"/>
  <c r="AE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T8" i="5"/>
  <c r="T9" i="5" s="1"/>
  <c r="C23" i="6"/>
  <c r="I98" i="9" l="1"/>
  <c r="I102" i="9"/>
  <c r="I99" i="9"/>
  <c r="I103" i="9"/>
  <c r="D101" i="9"/>
  <c r="D97" i="9"/>
  <c r="D104" i="9"/>
  <c r="D100" i="9"/>
  <c r="D96" i="9"/>
  <c r="D103" i="9"/>
  <c r="D99" i="9"/>
  <c r="D102" i="9"/>
  <c r="D98" i="9"/>
  <c r="I96" i="9"/>
  <c r="D108" i="9" s="1"/>
  <c r="I100" i="9"/>
  <c r="I104" i="9"/>
  <c r="I97" i="9"/>
  <c r="I101" i="9"/>
  <c r="J10" i="5"/>
  <c r="BY10" i="5"/>
  <c r="DF10" i="5"/>
  <c r="N10" i="5"/>
  <c r="CP10" i="5"/>
  <c r="V10" i="5"/>
  <c r="AW10" i="5"/>
  <c r="CH10" i="5"/>
  <c r="AG10" i="5"/>
  <c r="BG10" i="5"/>
  <c r="BO10" i="5"/>
  <c r="AS10" i="5"/>
  <c r="BU10" i="5"/>
  <c r="DB10" i="5"/>
  <c r="R10" i="5"/>
  <c r="Z10" i="5"/>
  <c r="BC10" i="5"/>
  <c r="BK10" i="5"/>
  <c r="CD10" i="5"/>
  <c r="CL10" i="5"/>
  <c r="CT10" i="5"/>
  <c r="DJ10" i="5"/>
  <c r="CX10" i="5"/>
  <c r="M10" i="5"/>
  <c r="Q10" i="5"/>
  <c r="U10" i="5"/>
  <c r="Y10" i="5"/>
  <c r="AF10" i="5"/>
  <c r="AR10" i="5"/>
  <c r="AV10" i="5"/>
  <c r="BB10" i="5"/>
  <c r="BF10" i="5"/>
  <c r="BJ10" i="5"/>
  <c r="BN10" i="5"/>
  <c r="BT10" i="5"/>
  <c r="BX10" i="5"/>
  <c r="CC10" i="5"/>
  <c r="CG10" i="5"/>
  <c r="CK10" i="5"/>
  <c r="CO10" i="5"/>
  <c r="CS10" i="5"/>
  <c r="CW10" i="5"/>
  <c r="DA10" i="5"/>
  <c r="DE10" i="5"/>
  <c r="DI10" i="5"/>
  <c r="P10" i="5"/>
  <c r="X10" i="5"/>
  <c r="AU10" i="5"/>
  <c r="BE10" i="5"/>
  <c r="DH10" i="5"/>
  <c r="L10" i="5"/>
  <c r="T10" i="5"/>
  <c r="AE10" i="5"/>
  <c r="AP10" i="5"/>
  <c r="BA10" i="5"/>
  <c r="BI10" i="5"/>
  <c r="BM10" i="5"/>
  <c r="BQ10" i="5"/>
  <c r="BW10" i="5"/>
  <c r="CA10" i="5"/>
  <c r="CF10" i="5"/>
  <c r="CJ10" i="5"/>
  <c r="CN10" i="5"/>
  <c r="CR10" i="5"/>
  <c r="CV10" i="5"/>
  <c r="CZ10" i="5"/>
  <c r="DD10" i="5"/>
  <c r="K10" i="5"/>
  <c r="O10" i="5"/>
  <c r="S10" i="5"/>
  <c r="W10" i="5"/>
  <c r="AA10" i="5"/>
  <c r="AO10" i="5"/>
  <c r="AT10" i="5"/>
  <c r="AZ10" i="5"/>
  <c r="BD10" i="5"/>
  <c r="BH10" i="5"/>
  <c r="BL10" i="5"/>
  <c r="BP10" i="5"/>
  <c r="BV10" i="5"/>
  <c r="BZ10" i="5"/>
  <c r="AH10" i="5"/>
  <c r="AM10" i="5"/>
  <c r="CE10" i="5"/>
  <c r="CI10" i="5"/>
  <c r="CM10" i="5"/>
  <c r="CQ10" i="5"/>
  <c r="CU10" i="5"/>
  <c r="CY10" i="5"/>
  <c r="DC10" i="5"/>
  <c r="DG10" i="5"/>
  <c r="DK10" i="5"/>
  <c r="J62" i="5"/>
  <c r="N62" i="5"/>
  <c r="R62" i="5"/>
  <c r="V62" i="5"/>
  <c r="Z62" i="5"/>
  <c r="AG62" i="5"/>
  <c r="AS62" i="5"/>
  <c r="AW62" i="5"/>
  <c r="BC62" i="5"/>
  <c r="BG62" i="5"/>
  <c r="BK62" i="5"/>
  <c r="BO62" i="5"/>
  <c r="BU62" i="5"/>
  <c r="CD62" i="5"/>
  <c r="CH62" i="5"/>
  <c r="CL62" i="5"/>
  <c r="CP62" i="5"/>
  <c r="CT62" i="5"/>
  <c r="CX62" i="5"/>
  <c r="DB62" i="5"/>
  <c r="DF62" i="5"/>
  <c r="DJ62" i="5"/>
  <c r="M62" i="5"/>
  <c r="Q62" i="5"/>
  <c r="U62" i="5"/>
  <c r="Y62" i="5"/>
  <c r="AF62" i="5"/>
  <c r="AR62" i="5"/>
  <c r="AV62" i="5"/>
  <c r="BB62" i="5"/>
  <c r="BJ62" i="5"/>
  <c r="BN62" i="5"/>
  <c r="BT62" i="5"/>
  <c r="BX62" i="5"/>
  <c r="CC62" i="5"/>
  <c r="CG62" i="5"/>
  <c r="CK62" i="5"/>
  <c r="CO62" i="5"/>
  <c r="CS62" i="5"/>
  <c r="CW62" i="5"/>
  <c r="DA62" i="5"/>
  <c r="DE62" i="5"/>
  <c r="AH62" i="5"/>
  <c r="AH333" i="5" s="1"/>
  <c r="O62" i="5"/>
  <c r="S62" i="5"/>
  <c r="AA62" i="5"/>
  <c r="AT62" i="5"/>
  <c r="AZ62" i="5"/>
  <c r="BD62" i="5"/>
  <c r="BH62" i="5"/>
  <c r="BL62" i="5"/>
  <c r="BP62" i="5"/>
  <c r="BV62" i="5"/>
  <c r="BZ62" i="5"/>
  <c r="CE62" i="5"/>
  <c r="CI62" i="5"/>
  <c r="CM62" i="5"/>
  <c r="CQ62" i="5"/>
  <c r="CU62" i="5"/>
  <c r="CY62" i="5"/>
  <c r="DC62" i="5"/>
  <c r="DG62" i="5"/>
  <c r="DK62" i="5"/>
  <c r="K62" i="5"/>
  <c r="W62" i="5"/>
  <c r="DN43" i="5"/>
  <c r="DN56" i="5"/>
  <c r="DM28" i="5"/>
  <c r="BF62" i="5"/>
  <c r="DM61" i="5"/>
  <c r="DM56" i="5"/>
  <c r="BY62" i="5"/>
  <c r="DM43" i="5"/>
  <c r="L62" i="5"/>
  <c r="P62" i="5"/>
  <c r="T62" i="5"/>
  <c r="X62" i="5"/>
  <c r="AE62" i="5"/>
  <c r="AP62" i="5"/>
  <c r="AU62" i="5"/>
  <c r="BA62" i="5"/>
  <c r="BE62" i="5"/>
  <c r="BI62" i="5"/>
  <c r="BM62" i="5"/>
  <c r="BQ62" i="5"/>
  <c r="BW62" i="5"/>
  <c r="CA62" i="5"/>
  <c r="CF62" i="5"/>
  <c r="CJ62" i="5"/>
  <c r="CN62" i="5"/>
  <c r="CR62" i="5"/>
  <c r="CV62" i="5"/>
  <c r="CZ62" i="5"/>
  <c r="DD62" i="5"/>
  <c r="DH62" i="5"/>
  <c r="DI62" i="5"/>
  <c r="DN62" i="5" l="1"/>
  <c r="DN333" i="5" s="1"/>
  <c r="DM62" i="5"/>
  <c r="DM333" i="5" s="1"/>
  <c r="AW333" i="5"/>
  <c r="AS333" i="5"/>
  <c r="DK8" i="5"/>
  <c r="DK9" i="5" s="1"/>
  <c r="DJ8" i="5"/>
  <c r="DJ9" i="5" s="1"/>
  <c r="DI8" i="5"/>
  <c r="DI9" i="5" s="1"/>
  <c r="DH8" i="5"/>
  <c r="DH9" i="5" s="1"/>
  <c r="DG8" i="5"/>
  <c r="DG9" i="5" s="1"/>
  <c r="DF8" i="5"/>
  <c r="DF9" i="5" s="1"/>
  <c r="DE8" i="5"/>
  <c r="DE9" i="5" s="1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B14" i="6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3" i="6"/>
  <c r="C32" i="6"/>
  <c r="C31" i="6"/>
  <c r="C30" i="6"/>
  <c r="C29" i="6"/>
  <c r="C28" i="6"/>
  <c r="C27" i="6"/>
  <c r="C26" i="6"/>
  <c r="C25" i="6"/>
  <c r="C24" i="6"/>
  <c r="C22" i="6"/>
  <c r="C21" i="6"/>
  <c r="C20" i="6"/>
  <c r="C19" i="6"/>
  <c r="C18" i="6"/>
  <c r="C17" i="6"/>
  <c r="C16" i="6"/>
  <c r="C15" i="6"/>
  <c r="C14" i="6"/>
  <c r="J8" i="5"/>
  <c r="J9" i="5" s="1"/>
  <c r="K8" i="5"/>
  <c r="K9" i="5" s="1"/>
  <c r="C13" i="6"/>
  <c r="J283" i="2"/>
  <c r="J282" i="2"/>
  <c r="J281" i="2"/>
  <c r="J280" i="2"/>
  <c r="J279" i="2"/>
  <c r="N214" i="2"/>
  <c r="N213" i="2"/>
  <c r="N212" i="2"/>
  <c r="N211" i="2"/>
  <c r="N210" i="2"/>
  <c r="N209" i="2"/>
  <c r="N208" i="2"/>
  <c r="N207" i="2"/>
  <c r="N206" i="2"/>
  <c r="DD8" i="5"/>
  <c r="DD9" i="5" s="1"/>
  <c r="DC8" i="5"/>
  <c r="DC9" i="5" s="1"/>
  <c r="DB8" i="5"/>
  <c r="DB9" i="5" s="1"/>
  <c r="CN8" i="5"/>
  <c r="CN9" i="5" s="1"/>
  <c r="CM8" i="5"/>
  <c r="CM9" i="5" s="1"/>
  <c r="CL8" i="5"/>
  <c r="CL9" i="5" s="1"/>
  <c r="CK8" i="5"/>
  <c r="CK9" i="5" s="1"/>
  <c r="BV8" i="5"/>
  <c r="BV9" i="5" s="1"/>
  <c r="BU8" i="5"/>
  <c r="BU9" i="5" s="1"/>
  <c r="BK8" i="5"/>
  <c r="BK9" i="5" s="1"/>
  <c r="BJ8" i="5"/>
  <c r="BJ9" i="5" s="1"/>
  <c r="BI8" i="5"/>
  <c r="BI9" i="5" s="1"/>
  <c r="BH8" i="5"/>
  <c r="BH9" i="5" s="1"/>
  <c r="BD8" i="5"/>
  <c r="BD9" i="5" s="1"/>
  <c r="BC8" i="5"/>
  <c r="BC9" i="5" s="1"/>
  <c r="BB8" i="5"/>
  <c r="BB9" i="5" s="1"/>
  <c r="AG8" i="5"/>
  <c r="AG9" i="5" s="1"/>
  <c r="AF8" i="5"/>
  <c r="AF9" i="5" s="1"/>
  <c r="S8" i="5"/>
  <c r="S9" i="5" s="1"/>
  <c r="R8" i="5"/>
  <c r="R9" i="5" s="1"/>
  <c r="CO7" i="5"/>
  <c r="BW7" i="5"/>
  <c r="BK7" i="5"/>
  <c r="AP7" i="5"/>
  <c r="BE7" i="5"/>
  <c r="U7" i="5"/>
  <c r="J7" i="5"/>
  <c r="DA8" i="5"/>
  <c r="DA9" i="5" s="1"/>
  <c r="CZ8" i="5"/>
  <c r="CZ9" i="5" s="1"/>
  <c r="CY8" i="5"/>
  <c r="CY9" i="5" s="1"/>
  <c r="CX8" i="5"/>
  <c r="CX9" i="5" s="1"/>
  <c r="CW8" i="5"/>
  <c r="CW9" i="5" s="1"/>
  <c r="CV8" i="5"/>
  <c r="CV9" i="5" s="1"/>
  <c r="CU8" i="5"/>
  <c r="CU9" i="5" s="1"/>
  <c r="CT8" i="5"/>
  <c r="CT9" i="5" s="1"/>
  <c r="CR8" i="5"/>
  <c r="CR9" i="5" s="1"/>
  <c r="CS8" i="5"/>
  <c r="CS9" i="5" s="1"/>
  <c r="CQ8" i="5"/>
  <c r="CQ9" i="5" s="1"/>
  <c r="CP8" i="5"/>
  <c r="CP9" i="5" s="1"/>
  <c r="CO8" i="5"/>
  <c r="CO9" i="5" s="1"/>
  <c r="CJ8" i="5"/>
  <c r="CJ9" i="5" s="1"/>
  <c r="CI8" i="5"/>
  <c r="CI9" i="5" s="1"/>
  <c r="CH8" i="5"/>
  <c r="CH9" i="5" s="1"/>
  <c r="CG8" i="5"/>
  <c r="CG9" i="5" s="1"/>
  <c r="CF8" i="5"/>
  <c r="CF9" i="5" s="1"/>
  <c r="CE8" i="5"/>
  <c r="CE9" i="5" s="1"/>
  <c r="CD8" i="5"/>
  <c r="CD9" i="5" s="1"/>
  <c r="CC8" i="5"/>
  <c r="CC9" i="5" s="1"/>
  <c r="CA8" i="5"/>
  <c r="CA9" i="5" s="1"/>
  <c r="BZ8" i="5"/>
  <c r="BZ9" i="5" s="1"/>
  <c r="BY8" i="5"/>
  <c r="BY9" i="5" s="1"/>
  <c r="BX8" i="5"/>
  <c r="BX9" i="5" s="1"/>
  <c r="BW8" i="5"/>
  <c r="BW9" i="5" s="1"/>
  <c r="BQ8" i="5"/>
  <c r="BQ9" i="5" s="1"/>
  <c r="BP8" i="5"/>
  <c r="BP9" i="5" s="1"/>
  <c r="BO8" i="5"/>
  <c r="BO9" i="5" s="1"/>
  <c r="BN8" i="5"/>
  <c r="BN9" i="5" s="1"/>
  <c r="BM8" i="5"/>
  <c r="BM9" i="5" s="1"/>
  <c r="BL8" i="5"/>
  <c r="BL9" i="5" s="1"/>
  <c r="BG8" i="5"/>
  <c r="BG9" i="5" s="1"/>
  <c r="BF8" i="5"/>
  <c r="BF9" i="5" s="1"/>
  <c r="BE8" i="5"/>
  <c r="BE9" i="5" s="1"/>
  <c r="BA8" i="5"/>
  <c r="BA9" i="5" s="1"/>
  <c r="AZ8" i="5"/>
  <c r="AZ9" i="5" s="1"/>
  <c r="AW8" i="5"/>
  <c r="AW9" i="5" s="1"/>
  <c r="AV8" i="5"/>
  <c r="AV9" i="5" s="1"/>
  <c r="AU8" i="5"/>
  <c r="AU9" i="5" s="1"/>
  <c r="AT8" i="5"/>
  <c r="AT9" i="5" s="1"/>
  <c r="AS8" i="5"/>
  <c r="AS9" i="5" s="1"/>
  <c r="AR8" i="5"/>
  <c r="AR9" i="5" s="1"/>
  <c r="AP8" i="5"/>
  <c r="AP9" i="5" s="1"/>
  <c r="AE8" i="5"/>
  <c r="AE9" i="5" s="1"/>
  <c r="AA8" i="5"/>
  <c r="AA9" i="5" s="1"/>
  <c r="Z8" i="5"/>
  <c r="Z9" i="5" s="1"/>
  <c r="Y8" i="5"/>
  <c r="Y9" i="5" s="1"/>
  <c r="X8" i="5"/>
  <c r="X9" i="5" s="1"/>
  <c r="W8" i="5"/>
  <c r="W9" i="5" s="1"/>
  <c r="V8" i="5"/>
  <c r="V9" i="5" s="1"/>
  <c r="U8" i="5"/>
  <c r="U9" i="5" s="1"/>
  <c r="Q8" i="5"/>
  <c r="Q9" i="5" s="1"/>
  <c r="P8" i="5"/>
  <c r="P9" i="5" s="1"/>
  <c r="O8" i="5"/>
  <c r="O9" i="5" s="1"/>
  <c r="N8" i="5"/>
  <c r="N9" i="5" s="1"/>
  <c r="M8" i="5"/>
  <c r="M9" i="5" s="1"/>
  <c r="L8" i="5"/>
  <c r="L9" i="5" s="1"/>
  <c r="H9" i="6"/>
  <c r="BJ4" i="5"/>
  <c r="I339" i="5" l="1"/>
  <c r="DL4" i="5"/>
  <c r="D13" i="6"/>
  <c r="B35" i="6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O4" i="5"/>
  <c r="DI333" i="5"/>
  <c r="M333" i="5"/>
  <c r="Q333" i="5"/>
  <c r="U333" i="5"/>
  <c r="Y333" i="5"/>
  <c r="AF333" i="5"/>
  <c r="AR333" i="5"/>
  <c r="AV333" i="5"/>
  <c r="BB333" i="5"/>
  <c r="BF333" i="5"/>
  <c r="BJ333" i="5"/>
  <c r="BN333" i="5"/>
  <c r="BT333" i="5"/>
  <c r="BX333" i="5"/>
  <c r="CC333" i="5"/>
  <c r="CG333" i="5"/>
  <c r="CK333" i="5"/>
  <c r="CO333" i="5"/>
  <c r="CS333" i="5"/>
  <c r="CW333" i="5"/>
  <c r="DA333" i="5"/>
  <c r="DE333" i="5"/>
  <c r="P333" i="5"/>
  <c r="T333" i="5"/>
  <c r="X333" i="5"/>
  <c r="AE333" i="5"/>
  <c r="AP333" i="5"/>
  <c r="BA333" i="5"/>
  <c r="BE333" i="5"/>
  <c r="BI333" i="5"/>
  <c r="BM333" i="5"/>
  <c r="BW333" i="5"/>
  <c r="CF333" i="5"/>
  <c r="CN333" i="5"/>
  <c r="CV333" i="5"/>
  <c r="DD333" i="5"/>
  <c r="S333" i="5"/>
  <c r="W333" i="5"/>
  <c r="BQ333" i="5"/>
  <c r="CA333" i="5"/>
  <c r="CJ333" i="5"/>
  <c r="CR333" i="5"/>
  <c r="CZ333" i="5"/>
  <c r="DH333" i="5"/>
  <c r="AU333" i="5"/>
  <c r="O333" i="5"/>
  <c r="AT333" i="5"/>
  <c r="AZ333" i="5"/>
  <c r="F36" i="6"/>
  <c r="E36" i="6"/>
  <c r="G36" i="6"/>
  <c r="G34" i="6"/>
  <c r="E34" i="6"/>
  <c r="E35" i="6"/>
  <c r="G35" i="6"/>
  <c r="F34" i="6"/>
  <c r="F3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6" i="6"/>
  <c r="E82" i="6"/>
  <c r="E78" i="6"/>
  <c r="E74" i="6"/>
  <c r="E70" i="6"/>
  <c r="E66" i="6"/>
  <c r="E62" i="6"/>
  <c r="E58" i="6"/>
  <c r="E54" i="6"/>
  <c r="E50" i="6"/>
  <c r="E46" i="6"/>
  <c r="E42" i="6"/>
  <c r="E38" i="6"/>
  <c r="E32" i="6"/>
  <c r="E28" i="6"/>
  <c r="E24" i="6"/>
  <c r="E20" i="6"/>
  <c r="G17" i="6"/>
  <c r="G16" i="6"/>
  <c r="G15" i="6"/>
  <c r="G14" i="6"/>
  <c r="F14" i="6"/>
  <c r="E83" i="6"/>
  <c r="E67" i="6"/>
  <c r="E59" i="6"/>
  <c r="E51" i="6"/>
  <c r="E39" i="6"/>
  <c r="E21" i="6"/>
  <c r="E89" i="6"/>
  <c r="E85" i="6"/>
  <c r="E81" i="6"/>
  <c r="E77" i="6"/>
  <c r="E73" i="6"/>
  <c r="E69" i="6"/>
  <c r="E65" i="6"/>
  <c r="E61" i="6"/>
  <c r="E57" i="6"/>
  <c r="E53" i="6"/>
  <c r="E49" i="6"/>
  <c r="E45" i="6"/>
  <c r="E41" i="6"/>
  <c r="E37" i="6"/>
  <c r="E31" i="6"/>
  <c r="E27" i="6"/>
  <c r="E23" i="6"/>
  <c r="E19" i="6"/>
  <c r="F17" i="6"/>
  <c r="F16" i="6"/>
  <c r="F15" i="6"/>
  <c r="G13" i="6"/>
  <c r="E87" i="6"/>
  <c r="E71" i="6"/>
  <c r="E55" i="6"/>
  <c r="E47" i="6"/>
  <c r="E25" i="6"/>
  <c r="F13" i="6"/>
  <c r="E88" i="6"/>
  <c r="E84" i="6"/>
  <c r="E80" i="6"/>
  <c r="E76" i="6"/>
  <c r="E72" i="6"/>
  <c r="E68" i="6"/>
  <c r="E64" i="6"/>
  <c r="E60" i="6"/>
  <c r="E56" i="6"/>
  <c r="E52" i="6"/>
  <c r="E48" i="6"/>
  <c r="E44" i="6"/>
  <c r="E40" i="6"/>
  <c r="E30" i="6"/>
  <c r="E26" i="6"/>
  <c r="E22" i="6"/>
  <c r="E18" i="6"/>
  <c r="E17" i="6"/>
  <c r="E16" i="6"/>
  <c r="E15" i="6"/>
  <c r="E14" i="6"/>
  <c r="E13" i="6"/>
  <c r="E79" i="6"/>
  <c r="E75" i="6"/>
  <c r="E63" i="6"/>
  <c r="E43" i="6"/>
  <c r="E29" i="6"/>
  <c r="G33" i="6"/>
  <c r="F33" i="6"/>
  <c r="E33" i="6"/>
  <c r="AA333" i="5"/>
  <c r="BD333" i="5"/>
  <c r="BH333" i="5"/>
  <c r="BL333" i="5"/>
  <c r="BP333" i="5"/>
  <c r="BV333" i="5"/>
  <c r="BZ333" i="5"/>
  <c r="CE333" i="5"/>
  <c r="CI333" i="5"/>
  <c r="CM333" i="5"/>
  <c r="CQ333" i="5"/>
  <c r="CU333" i="5"/>
  <c r="CY333" i="5"/>
  <c r="DC333" i="5"/>
  <c r="N333" i="5"/>
  <c r="R333" i="5"/>
  <c r="V333" i="5"/>
  <c r="Z333" i="5"/>
  <c r="AG333" i="5"/>
  <c r="BC333" i="5"/>
  <c r="BG333" i="5"/>
  <c r="BK333" i="5"/>
  <c r="BO333" i="5"/>
  <c r="BU333" i="5"/>
  <c r="BY333" i="5"/>
  <c r="CD333" i="5"/>
  <c r="CH333" i="5"/>
  <c r="CL333" i="5"/>
  <c r="CP333" i="5"/>
  <c r="CT333" i="5"/>
  <c r="CX333" i="5"/>
  <c r="DB333" i="5"/>
  <c r="DF333" i="5"/>
  <c r="DJ333" i="5"/>
  <c r="K333" i="5"/>
  <c r="J333" i="5"/>
  <c r="L333" i="5"/>
  <c r="DG333" i="5"/>
  <c r="DK333" i="5"/>
  <c r="D83" i="6"/>
  <c r="D51" i="6"/>
  <c r="D16" i="6"/>
  <c r="D21" i="6"/>
  <c r="D74" i="6"/>
  <c r="D41" i="6"/>
  <c r="D88" i="6"/>
  <c r="D93" i="6"/>
  <c r="D61" i="6"/>
  <c r="D22" i="6"/>
  <c r="D17" i="6"/>
  <c r="D91" i="6"/>
  <c r="D59" i="6"/>
  <c r="D24" i="6"/>
  <c r="D44" i="6"/>
  <c r="D82" i="6"/>
  <c r="D15" i="6"/>
  <c r="D101" i="6"/>
  <c r="D30" i="6"/>
  <c r="D48" i="6"/>
  <c r="D79" i="6"/>
  <c r="D47" i="6"/>
  <c r="D104" i="6"/>
  <c r="D102" i="6"/>
  <c r="D70" i="6"/>
  <c r="D37" i="6"/>
  <c r="D76" i="6"/>
  <c r="D89" i="6"/>
  <c r="D57" i="6"/>
  <c r="D18" i="6"/>
  <c r="D42" i="6"/>
  <c r="D96" i="6"/>
  <c r="D66" i="6"/>
  <c r="D64" i="6"/>
  <c r="D85" i="6"/>
  <c r="D92" i="6"/>
  <c r="D94" i="6"/>
  <c r="D27" i="6"/>
  <c r="D81" i="6"/>
  <c r="D49" i="6"/>
  <c r="D14" i="6"/>
  <c r="D36" i="6"/>
  <c r="D75" i="6"/>
  <c r="D43" i="6"/>
  <c r="D98" i="6"/>
  <c r="D31" i="6"/>
  <c r="D53" i="6"/>
  <c r="D35" i="6"/>
  <c r="D103" i="6"/>
  <c r="D71" i="6"/>
  <c r="D38" i="6"/>
  <c r="D84" i="6"/>
  <c r="D62" i="6"/>
  <c r="D52" i="6"/>
  <c r="D80" i="6"/>
  <c r="D50" i="6"/>
  <c r="D69" i="6"/>
  <c r="D34" i="6"/>
  <c r="D99" i="6"/>
  <c r="D67" i="6"/>
  <c r="D32" i="6"/>
  <c r="D72" i="6"/>
  <c r="D90" i="6"/>
  <c r="D58" i="6"/>
  <c r="D23" i="6"/>
  <c r="D39" i="6"/>
  <c r="D77" i="6"/>
  <c r="D45" i="6"/>
  <c r="D68" i="6"/>
  <c r="D95" i="6"/>
  <c r="D63" i="6"/>
  <c r="D28" i="6"/>
  <c r="D56" i="6"/>
  <c r="D86" i="6"/>
  <c r="D54" i="6"/>
  <c r="D19" i="6"/>
  <c r="D25" i="6"/>
  <c r="D73" i="6"/>
  <c r="D40" i="6"/>
  <c r="D60" i="6"/>
  <c r="D87" i="6"/>
  <c r="D55" i="6"/>
  <c r="D20" i="6"/>
  <c r="D29" i="6"/>
  <c r="D78" i="6"/>
  <c r="D46" i="6"/>
  <c r="D100" i="6"/>
  <c r="D97" i="6"/>
  <c r="D65" i="6"/>
  <c r="D26" i="6"/>
  <c r="D33" i="6"/>
  <c r="I44" i="6" l="1"/>
  <c r="DO61" i="5"/>
  <c r="DL61" i="5"/>
  <c r="DO56" i="5"/>
  <c r="DO43" i="5"/>
  <c r="DL43" i="5"/>
  <c r="DL28" i="5" l="1"/>
  <c r="DO28" i="5"/>
  <c r="DO62" i="5" s="1"/>
  <c r="DO333" i="5" s="1"/>
  <c r="DL56" i="5"/>
  <c r="D105" i="6" l="1"/>
  <c r="I105" i="6" s="1"/>
  <c r="DL62" i="5"/>
  <c r="DL333" i="5" s="1"/>
  <c r="AS2" i="4"/>
  <c r="AV2" i="4"/>
  <c r="AP2" i="4"/>
  <c r="AM2" i="4"/>
  <c r="AJ2" i="4"/>
  <c r="AG2" i="4"/>
  <c r="AD2" i="4"/>
  <c r="AA2" i="4"/>
  <c r="X2" i="4"/>
  <c r="U2" i="4"/>
  <c r="R2" i="4"/>
  <c r="O2" i="4"/>
  <c r="L2" i="4" l="1"/>
  <c r="I2" i="4"/>
  <c r="F2" i="4"/>
  <c r="N164" i="2" l="1"/>
  <c r="N162" i="2"/>
  <c r="N161" i="2"/>
  <c r="N160" i="2"/>
  <c r="N159" i="2"/>
  <c r="N158" i="2"/>
  <c r="N157" i="2"/>
  <c r="N155" i="2"/>
  <c r="N153" i="2"/>
  <c r="N152" i="2"/>
  <c r="N151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Q27" i="1"/>
  <c r="P27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D20" i="1"/>
  <c r="D15" i="1"/>
  <c r="AJ17" i="5" l="1"/>
  <c r="AI17" i="5"/>
  <c r="AN17" i="5"/>
  <c r="AQ17" i="5"/>
  <c r="AK17" i="5"/>
  <c r="AL17" i="5"/>
  <c r="AB17" i="5"/>
  <c r="AX17" i="5"/>
  <c r="AC17" i="5"/>
  <c r="CB17" i="5"/>
  <c r="AD17" i="5"/>
  <c r="AY17" i="5"/>
  <c r="AM17" i="5"/>
  <c r="R17" i="5"/>
  <c r="CN17" i="5"/>
  <c r="DH17" i="5"/>
  <c r="CZ17" i="5"/>
  <c r="DD17" i="5"/>
  <c r="DA17" i="5"/>
  <c r="DC17" i="5"/>
  <c r="BI17" i="5"/>
  <c r="AP17" i="5"/>
  <c r="S17" i="5"/>
  <c r="BD17" i="5"/>
  <c r="DE17" i="5"/>
  <c r="DF17" i="5"/>
  <c r="BC17" i="5"/>
  <c r="DG17" i="5"/>
  <c r="BJ17" i="5"/>
  <c r="DB17" i="5"/>
  <c r="AS17" i="5"/>
  <c r="DI17" i="5"/>
  <c r="DJ17" i="5"/>
  <c r="DK17" i="5"/>
  <c r="H34" i="6"/>
  <c r="I34" i="6" s="1"/>
  <c r="H36" i="6"/>
  <c r="I36" i="6" s="1"/>
  <c r="H103" i="6"/>
  <c r="I103" i="6" s="1"/>
  <c r="H99" i="6"/>
  <c r="I99" i="6" s="1"/>
  <c r="H95" i="6"/>
  <c r="I95" i="6" s="1"/>
  <c r="H91" i="6"/>
  <c r="I91" i="6" s="1"/>
  <c r="H87" i="6"/>
  <c r="I87" i="6" s="1"/>
  <c r="H83" i="6"/>
  <c r="I83" i="6" s="1"/>
  <c r="H79" i="6"/>
  <c r="I79" i="6" s="1"/>
  <c r="H75" i="6"/>
  <c r="I75" i="6" s="1"/>
  <c r="H71" i="6"/>
  <c r="I71" i="6" s="1"/>
  <c r="H67" i="6"/>
  <c r="I67" i="6" s="1"/>
  <c r="H63" i="6"/>
  <c r="I63" i="6" s="1"/>
  <c r="H59" i="6"/>
  <c r="I59" i="6" s="1"/>
  <c r="H55" i="6"/>
  <c r="H51" i="6"/>
  <c r="I51" i="6" s="1"/>
  <c r="H47" i="6"/>
  <c r="I47" i="6" s="1"/>
  <c r="H43" i="6"/>
  <c r="I43" i="6" s="1"/>
  <c r="H39" i="6"/>
  <c r="I39" i="6" s="1"/>
  <c r="H31" i="6"/>
  <c r="I31" i="6" s="1"/>
  <c r="H27" i="6"/>
  <c r="I27" i="6" s="1"/>
  <c r="H23" i="6"/>
  <c r="I23" i="6" s="1"/>
  <c r="H19" i="6"/>
  <c r="I19" i="6" s="1"/>
  <c r="H13" i="6"/>
  <c r="I13" i="6" s="1"/>
  <c r="H15" i="6"/>
  <c r="I15" i="6" s="1"/>
  <c r="H16" i="6"/>
  <c r="I16" i="6" s="1"/>
  <c r="H17" i="6"/>
  <c r="I17" i="6" s="1"/>
  <c r="H33" i="6"/>
  <c r="I33" i="6" s="1"/>
  <c r="H102" i="6"/>
  <c r="I102" i="6" s="1"/>
  <c r="H98" i="6"/>
  <c r="I98" i="6" s="1"/>
  <c r="H94" i="6"/>
  <c r="I94" i="6" s="1"/>
  <c r="H90" i="6"/>
  <c r="I90" i="6" s="1"/>
  <c r="H86" i="6"/>
  <c r="I86" i="6" s="1"/>
  <c r="H82" i="6"/>
  <c r="I82" i="6" s="1"/>
  <c r="H78" i="6"/>
  <c r="I78" i="6" s="1"/>
  <c r="H74" i="6"/>
  <c r="I74" i="6" s="1"/>
  <c r="H70" i="6"/>
  <c r="I70" i="6" s="1"/>
  <c r="H66" i="6"/>
  <c r="I66" i="6" s="1"/>
  <c r="H62" i="6"/>
  <c r="I62" i="6" s="1"/>
  <c r="H58" i="6"/>
  <c r="H54" i="6"/>
  <c r="H50" i="6"/>
  <c r="I50" i="6" s="1"/>
  <c r="H46" i="6"/>
  <c r="I46" i="6" s="1"/>
  <c r="H42" i="6"/>
  <c r="I42" i="6" s="1"/>
  <c r="H38" i="6"/>
  <c r="I38" i="6" s="1"/>
  <c r="H30" i="6"/>
  <c r="I30" i="6" s="1"/>
  <c r="H26" i="6"/>
  <c r="I26" i="6" s="1"/>
  <c r="H22" i="6"/>
  <c r="I22" i="6" s="1"/>
  <c r="H18" i="6"/>
  <c r="I18" i="6" s="1"/>
  <c r="H101" i="6"/>
  <c r="I101" i="6" s="1"/>
  <c r="H97" i="6"/>
  <c r="I97" i="6" s="1"/>
  <c r="H93" i="6"/>
  <c r="I93" i="6" s="1"/>
  <c r="H89" i="6"/>
  <c r="I89" i="6" s="1"/>
  <c r="H85" i="6"/>
  <c r="I85" i="6" s="1"/>
  <c r="H81" i="6"/>
  <c r="I81" i="6" s="1"/>
  <c r="H77" i="6"/>
  <c r="I77" i="6" s="1"/>
  <c r="H73" i="6"/>
  <c r="I73" i="6" s="1"/>
  <c r="H69" i="6"/>
  <c r="I69" i="6" s="1"/>
  <c r="H65" i="6"/>
  <c r="I65" i="6" s="1"/>
  <c r="H61" i="6"/>
  <c r="I61" i="6" s="1"/>
  <c r="H57" i="6"/>
  <c r="H53" i="6"/>
  <c r="I53" i="6" s="1"/>
  <c r="H49" i="6"/>
  <c r="I49" i="6" s="1"/>
  <c r="H45" i="6"/>
  <c r="I45" i="6" s="1"/>
  <c r="H41" i="6"/>
  <c r="I41" i="6" s="1"/>
  <c r="H37" i="6"/>
  <c r="I37" i="6" s="1"/>
  <c r="H29" i="6"/>
  <c r="I29" i="6" s="1"/>
  <c r="H25" i="6"/>
  <c r="I25" i="6" s="1"/>
  <c r="H21" i="6"/>
  <c r="I21" i="6" s="1"/>
  <c r="H14" i="6"/>
  <c r="I14" i="6" s="1"/>
  <c r="H35" i="6"/>
  <c r="I35" i="6" s="1"/>
  <c r="H104" i="6"/>
  <c r="I104" i="6" s="1"/>
  <c r="H100" i="6"/>
  <c r="I100" i="6" s="1"/>
  <c r="H96" i="6"/>
  <c r="I96" i="6" s="1"/>
  <c r="H92" i="6"/>
  <c r="I92" i="6" s="1"/>
  <c r="H88" i="6"/>
  <c r="I88" i="6" s="1"/>
  <c r="H84" i="6"/>
  <c r="I84" i="6" s="1"/>
  <c r="H80" i="6"/>
  <c r="I80" i="6" s="1"/>
  <c r="H76" i="6"/>
  <c r="I76" i="6" s="1"/>
  <c r="H72" i="6"/>
  <c r="I72" i="6" s="1"/>
  <c r="H68" i="6"/>
  <c r="I68" i="6" s="1"/>
  <c r="H64" i="6"/>
  <c r="I64" i="6" s="1"/>
  <c r="H60" i="6"/>
  <c r="I60" i="6" s="1"/>
  <c r="H56" i="6"/>
  <c r="H52" i="6"/>
  <c r="I52" i="6" s="1"/>
  <c r="H48" i="6"/>
  <c r="I48" i="6" s="1"/>
  <c r="H44" i="6"/>
  <c r="H40" i="6"/>
  <c r="I40" i="6" s="1"/>
  <c r="H32" i="6"/>
  <c r="I32" i="6" s="1"/>
  <c r="H28" i="6"/>
  <c r="I28" i="6" s="1"/>
  <c r="H24" i="6"/>
  <c r="I24" i="6" s="1"/>
  <c r="H20" i="6"/>
  <c r="I20" i="6" s="1"/>
  <c r="N275" i="2"/>
  <c r="N271" i="2"/>
  <c r="N267" i="2"/>
  <c r="N263" i="2"/>
  <c r="N259" i="2"/>
  <c r="N255" i="2"/>
  <c r="N251" i="2"/>
  <c r="N247" i="2"/>
  <c r="BS17" i="5" s="1"/>
  <c r="N243" i="2"/>
  <c r="N239" i="2"/>
  <c r="N235" i="2"/>
  <c r="N231" i="2"/>
  <c r="N227" i="2"/>
  <c r="N223" i="2"/>
  <c r="N219" i="2"/>
  <c r="N215" i="2"/>
  <c r="J17" i="5" s="1"/>
  <c r="N242" i="2"/>
  <c r="N238" i="2"/>
  <c r="N234" i="2"/>
  <c r="N218" i="2"/>
  <c r="N276" i="2"/>
  <c r="N272" i="2"/>
  <c r="N268" i="2"/>
  <c r="N264" i="2"/>
  <c r="N260" i="2"/>
  <c r="N256" i="2"/>
  <c r="N252" i="2"/>
  <c r="N248" i="2"/>
  <c r="N244" i="2"/>
  <c r="N240" i="2"/>
  <c r="N236" i="2"/>
  <c r="N232" i="2"/>
  <c r="N228" i="2"/>
  <c r="N224" i="2"/>
  <c r="N220" i="2"/>
  <c r="N216" i="2"/>
  <c r="N270" i="2"/>
  <c r="N262" i="2"/>
  <c r="N277" i="2"/>
  <c r="N273" i="2"/>
  <c r="N269" i="2"/>
  <c r="N265" i="2"/>
  <c r="N261" i="2"/>
  <c r="N257" i="2"/>
  <c r="N253" i="2"/>
  <c r="N249" i="2"/>
  <c r="N245" i="2"/>
  <c r="N241" i="2"/>
  <c r="N237" i="2"/>
  <c r="N233" i="2"/>
  <c r="N229" i="2"/>
  <c r="N225" i="2"/>
  <c r="N221" i="2"/>
  <c r="N217" i="2"/>
  <c r="N258" i="2"/>
  <c r="N254" i="2"/>
  <c r="N278" i="2"/>
  <c r="N274" i="2"/>
  <c r="N266" i="2"/>
  <c r="N250" i="2"/>
  <c r="N246" i="2"/>
  <c r="N230" i="2"/>
  <c r="N226" i="2"/>
  <c r="N222" i="2"/>
  <c r="N156" i="2"/>
  <c r="N154" i="2"/>
  <c r="N163" i="2"/>
  <c r="F20" i="1"/>
  <c r="H20" i="1" s="1"/>
  <c r="J20" i="1" s="1"/>
  <c r="L20" i="1" s="1"/>
  <c r="N20" i="1" s="1"/>
  <c r="P20" i="1" s="1"/>
  <c r="C18" i="5"/>
  <c r="D108" i="6" l="1"/>
  <c r="BR17" i="5"/>
  <c r="BT17" i="5"/>
  <c r="BQ17" i="5"/>
  <c r="BN17" i="5"/>
  <c r="BV17" i="5"/>
  <c r="BU17" i="5"/>
  <c r="AT17" i="5"/>
  <c r="X17" i="5"/>
  <c r="M17" i="5"/>
  <c r="P17" i="5"/>
  <c r="O17" i="5"/>
  <c r="CP17" i="5"/>
  <c r="CY17" i="5"/>
  <c r="CX17" i="5"/>
  <c r="AZ17" i="5"/>
  <c r="CS17" i="5"/>
  <c r="AF17" i="5"/>
  <c r="BM17" i="5"/>
  <c r="BX17" i="5"/>
  <c r="BG17" i="5"/>
  <c r="CO17" i="5"/>
  <c r="T17" i="5"/>
  <c r="AH17" i="5"/>
  <c r="BF17" i="5"/>
  <c r="CQ17" i="5"/>
  <c r="AA17" i="5"/>
  <c r="BW17" i="5"/>
  <c r="AE17" i="5"/>
  <c r="Y17" i="5"/>
  <c r="BE17" i="5"/>
  <c r="BO17" i="5"/>
  <c r="BH17" i="5"/>
  <c r="Q17" i="5"/>
  <c r="BK17" i="5"/>
  <c r="BL17" i="5"/>
  <c r="BP17" i="5"/>
  <c r="L17" i="5"/>
  <c r="W17" i="5"/>
  <c r="V17" i="5"/>
  <c r="AW17" i="5"/>
  <c r="AG17" i="5"/>
  <c r="AR17" i="5"/>
  <c r="U17" i="5"/>
  <c r="CR17" i="5"/>
  <c r="K17" i="5"/>
  <c r="AU17" i="5"/>
  <c r="Z17" i="5"/>
  <c r="N17" i="5"/>
  <c r="BZ17" i="5"/>
  <c r="CK17" i="5"/>
  <c r="CF17" i="5"/>
  <c r="BB17" i="5"/>
  <c r="CU17" i="5"/>
  <c r="CW17" i="5"/>
  <c r="CV17" i="5"/>
  <c r="CT17" i="5"/>
  <c r="CM17" i="5"/>
  <c r="CL17" i="5"/>
  <c r="CD17" i="5"/>
  <c r="CE17" i="5"/>
  <c r="CA17" i="5"/>
  <c r="CJ17" i="5"/>
  <c r="CI17" i="5"/>
  <c r="CH17" i="5"/>
  <c r="CG17" i="5"/>
  <c r="CC17" i="5"/>
  <c r="BY17" i="5"/>
  <c r="BA17" i="5"/>
  <c r="AV17" i="5"/>
  <c r="AO17" i="5"/>
  <c r="E4" i="6"/>
  <c r="C63" i="5"/>
  <c r="C108" i="5" s="1"/>
  <c r="C153" i="5" s="1"/>
  <c r="C198" i="5" s="1"/>
  <c r="C243" i="5" s="1"/>
  <c r="C288" i="5" s="1"/>
</calcChain>
</file>

<file path=xl/sharedStrings.xml><?xml version="1.0" encoding="utf-8"?>
<sst xmlns="http://schemas.openxmlformats.org/spreadsheetml/2006/main" count="2696" uniqueCount="464">
  <si>
    <t>Начало недели:</t>
  </si>
  <si>
    <t>Конец недели:</t>
  </si>
  <si>
    <t>Предполагаемое количество военнослужащих:</t>
  </si>
  <si>
    <t>Пн</t>
  </si>
  <si>
    <t>Вт</t>
  </si>
  <si>
    <t>Ср</t>
  </si>
  <si>
    <t>Чт</t>
  </si>
  <si>
    <t>Пт</t>
  </si>
  <si>
    <t>Сб</t>
  </si>
  <si>
    <t>Вс</t>
  </si>
  <si>
    <t>в/с всего</t>
  </si>
  <si>
    <t>в т.ч. призыв</t>
  </si>
  <si>
    <t>завтрак</t>
  </si>
  <si>
    <t>обед</t>
  </si>
  <si>
    <t>среднее за сутки</t>
  </si>
  <si>
    <t>Порций за неделю</t>
  </si>
  <si>
    <t>№</t>
  </si>
  <si>
    <t>Дата записи</t>
  </si>
  <si>
    <t>Приход/ расход</t>
  </si>
  <si>
    <t>Наименование документа</t>
  </si>
  <si>
    <t>Дата документа</t>
  </si>
  <si>
    <t>№ документа</t>
  </si>
  <si>
    <t>Поставщик</t>
  </si>
  <si>
    <t>Код по КВТ</t>
  </si>
  <si>
    <t>Ед.изм.</t>
  </si>
  <si>
    <t>Цена за ед</t>
  </si>
  <si>
    <t>Не использовать</t>
  </si>
  <si>
    <t>Приход</t>
  </si>
  <si>
    <t>Накладная</t>
  </si>
  <si>
    <t>Горох</t>
  </si>
  <si>
    <t>Овсяная</t>
  </si>
  <si>
    <t>Рис</t>
  </si>
  <si>
    <t>Расход</t>
  </si>
  <si>
    <t>Консервы рыбные</t>
  </si>
  <si>
    <t>Сардельки, сосиски</t>
  </si>
  <si>
    <t>Перловая</t>
  </si>
  <si>
    <t>Лук репчатый</t>
  </si>
  <si>
    <t>Пшено</t>
  </si>
  <si>
    <t>Молоко</t>
  </si>
  <si>
    <t>Очередность</t>
  </si>
  <si>
    <t>Продукты категория</t>
  </si>
  <si>
    <t>Продукты вид</t>
  </si>
  <si>
    <t>кг</t>
  </si>
  <si>
    <t>Гречневая</t>
  </si>
  <si>
    <t>Манная</t>
  </si>
  <si>
    <t>Ячневая</t>
  </si>
  <si>
    <t>Макаронные изделия</t>
  </si>
  <si>
    <t>Овощи</t>
  </si>
  <si>
    <t>Горошек, фасоль, кукуруза консервированные</t>
  </si>
  <si>
    <t>Капуста (капуста квашенная)</t>
  </si>
  <si>
    <t>Картофель</t>
  </si>
  <si>
    <t>Морковь</t>
  </si>
  <si>
    <t>Помидоры консерв.(свежие)</t>
  </si>
  <si>
    <t>Свекла</t>
  </si>
  <si>
    <t>Чеснок</t>
  </si>
  <si>
    <t xml:space="preserve">Мука пшеничная   1 с </t>
  </si>
  <si>
    <t>Хлеб</t>
  </si>
  <si>
    <t>Хлеб дарницкий</t>
  </si>
  <si>
    <t>Хлеб из муки пш. 1  сорта</t>
  </si>
  <si>
    <t>Молоко коровье</t>
  </si>
  <si>
    <t>Сахар</t>
  </si>
  <si>
    <t>Сметана</t>
  </si>
  <si>
    <t>Соль йодированная</t>
  </si>
  <si>
    <t>Сыр плавленный</t>
  </si>
  <si>
    <t>Чай</t>
  </si>
  <si>
    <t>Жиры</t>
  </si>
  <si>
    <t>Колбаса с/к</t>
  </si>
  <si>
    <t>Масло коровье</t>
  </si>
  <si>
    <t>Масло растительное</t>
  </si>
  <si>
    <t>Сало-шпик</t>
  </si>
  <si>
    <t>Говядина б/к ,печень</t>
  </si>
  <si>
    <t>Колбаса п/к</t>
  </si>
  <si>
    <t>Мясо птицы</t>
  </si>
  <si>
    <t xml:space="preserve">Рыба с/м </t>
  </si>
  <si>
    <t>Свинина б/к</t>
  </si>
  <si>
    <t>Сельдь</t>
  </si>
  <si>
    <t>Прочие</t>
  </si>
  <si>
    <t>Горчичный порошок</t>
  </si>
  <si>
    <t>Зелень</t>
  </si>
  <si>
    <t xml:space="preserve">Изюм </t>
  </si>
  <si>
    <t>Кефир</t>
  </si>
  <si>
    <t xml:space="preserve">Консервы овощ. закусочные, лечо </t>
  </si>
  <si>
    <t>Кофе растворимый</t>
  </si>
  <si>
    <t>Курага</t>
  </si>
  <si>
    <t>Лавровый лист</t>
  </si>
  <si>
    <t>Перец</t>
  </si>
  <si>
    <t>Сок п/я</t>
  </si>
  <si>
    <t>Томат-паста</t>
  </si>
  <si>
    <t>Уксус</t>
  </si>
  <si>
    <t>Чернослив</t>
  </si>
  <si>
    <t>Яйцо</t>
  </si>
  <si>
    <t>шт</t>
  </si>
  <si>
    <t>Апельсины</t>
  </si>
  <si>
    <t>Вафли</t>
  </si>
  <si>
    <t>Карамель</t>
  </si>
  <si>
    <t>Конфеты шоколадные</t>
  </si>
  <si>
    <t>Кофе БС</t>
  </si>
  <si>
    <t xml:space="preserve">Молоко сгущ. </t>
  </si>
  <si>
    <t>Печенье</t>
  </si>
  <si>
    <t>Печенье БС</t>
  </si>
  <si>
    <t>Пряники, печенье</t>
  </si>
  <si>
    <t>Сок яблочный</t>
  </si>
  <si>
    <t>Яблоки свежие</t>
  </si>
  <si>
    <t>Новая категория</t>
  </si>
  <si>
    <t>Новый продукт</t>
  </si>
  <si>
    <t>Остаток</t>
  </si>
  <si>
    <t>Книга учета</t>
  </si>
  <si>
    <t>Печать за неделю</t>
  </si>
  <si>
    <t>Печать за месяц</t>
  </si>
  <si>
    <t>Накладные:</t>
  </si>
  <si>
    <t>№ и дата документа</t>
  </si>
  <si>
    <t>Наименование материальных ценностей и их категории</t>
  </si>
  <si>
    <t>Единица измерения</t>
  </si>
  <si>
    <t>Цена за единицу</t>
  </si>
  <si>
    <t>Прибыло</t>
  </si>
  <si>
    <t>Убыло</t>
  </si>
  <si>
    <t>Состоит</t>
  </si>
  <si>
    <t>наим накладной (день нед) или приход</t>
  </si>
  <si>
    <t>здесь остаток</t>
  </si>
  <si>
    <t>накладная приход</t>
  </si>
  <si>
    <t>накладная расход</t>
  </si>
  <si>
    <t>УТВЕРЖДАЮ</t>
  </si>
  <si>
    <t>ПО НОРМАМ №3 (МОРСКОГО ПАЙКА)   ВОЙСКОВОЙ ЧАСТИ 75764</t>
  </si>
  <si>
    <t xml:space="preserve"> </t>
  </si>
  <si>
    <t>На время с</t>
  </si>
  <si>
    <t>по</t>
  </si>
  <si>
    <t>Дата и дни недели</t>
  </si>
  <si>
    <t>Приемы пищи</t>
  </si>
  <si>
    <t>НАИМЕНОВАНИЕ БЛЮД</t>
  </si>
  <si>
    <t>Общая масса готового блюда, г</t>
  </si>
  <si>
    <t>Масса мясных и рыбных порций, г</t>
  </si>
  <si>
    <t>ОКГ</t>
  </si>
  <si>
    <t>Понедельник</t>
  </si>
  <si>
    <t>Завтрак</t>
  </si>
  <si>
    <t>Обед</t>
  </si>
  <si>
    <t>Закуска</t>
  </si>
  <si>
    <t>I блюдо</t>
  </si>
  <si>
    <t>II блюдо</t>
  </si>
  <si>
    <t>III блюдо</t>
  </si>
  <si>
    <t>Ужин</t>
  </si>
  <si>
    <t>Вторник</t>
  </si>
  <si>
    <t>Суп картофельный с крупой гречневой</t>
  </si>
  <si>
    <t>Среда</t>
  </si>
  <si>
    <t>Борщ из свежей капусты</t>
  </si>
  <si>
    <t>Рассольник</t>
  </si>
  <si>
    <t>Четверг</t>
  </si>
  <si>
    <t>Суп с фрикадельками и макаронами</t>
  </si>
  <si>
    <t>Суп картофельный с пшеном</t>
  </si>
  <si>
    <t>Рыба жареная (навага)  с крупой гречневой</t>
  </si>
  <si>
    <t>Пятница</t>
  </si>
  <si>
    <t>Суп картофельный с крупой рисовой</t>
  </si>
  <si>
    <t>Суббота</t>
  </si>
  <si>
    <t>Солянка по домашнему</t>
  </si>
  <si>
    <t>Воскресенье</t>
  </si>
  <si>
    <t>Всего по раскладке</t>
  </si>
  <si>
    <t>Начальник службы снабжения войсковой части 75764</t>
  </si>
  <si>
    <t>форма № 2а</t>
  </si>
  <si>
    <t>в/с призыв в т.ч</t>
  </si>
  <si>
    <t>среднее</t>
  </si>
  <si>
    <t>№ п/п</t>
  </si>
  <si>
    <t>Наименование продуктов</t>
  </si>
  <si>
    <t>Подлежит отпуску</t>
  </si>
  <si>
    <t>Всего за день</t>
  </si>
  <si>
    <t>Отпущено</t>
  </si>
  <si>
    <t>Примечание</t>
  </si>
  <si>
    <t>ужин</t>
  </si>
  <si>
    <t>Моющее средство</t>
  </si>
  <si>
    <t>Чистящее средство</t>
  </si>
  <si>
    <t>на завтрак</t>
  </si>
  <si>
    <t>на обед</t>
  </si>
  <si>
    <t>на ужин</t>
  </si>
  <si>
    <t>Отметка врача о</t>
  </si>
  <si>
    <t>качестве продуктов</t>
  </si>
  <si>
    <t>Остаток после заполнения меню</t>
  </si>
  <si>
    <t>Сосиска отварная</t>
  </si>
  <si>
    <t>Каша манная молочная</t>
  </si>
  <si>
    <t>Фасоль консервированая</t>
  </si>
  <si>
    <t>Колбаса</t>
  </si>
  <si>
    <t>Яйцо отварное</t>
  </si>
  <si>
    <t>Кофе</t>
  </si>
  <si>
    <t>Горчица</t>
  </si>
  <si>
    <t>Салат из капусты квашенной</t>
  </si>
  <si>
    <t>Суп гороховый</t>
  </si>
  <si>
    <t>Гуляш из свининны</t>
  </si>
  <si>
    <t>Каша гречневая</t>
  </si>
  <si>
    <t>Соус белый</t>
  </si>
  <si>
    <t>Компот</t>
  </si>
  <si>
    <t>Шпик</t>
  </si>
  <si>
    <t>Уха</t>
  </si>
  <si>
    <t>Рыба жареная</t>
  </si>
  <si>
    <t xml:space="preserve">Макароны отварные </t>
  </si>
  <si>
    <t>Консервы овощные</t>
  </si>
  <si>
    <t>Вечерний чай</t>
  </si>
  <si>
    <t>КОМАНДИР ВОЙСКОВОЙ ЧАСТИ 75764</t>
  </si>
  <si>
    <t>А.Чирва</t>
  </si>
  <si>
    <t>Молочные</t>
  </si>
  <si>
    <t>Наименования продуктов  и масса их в граммах на одного человека</t>
  </si>
  <si>
    <t>Разное</t>
  </si>
  <si>
    <t>Крупа 1</t>
  </si>
  <si>
    <t>Разное 1</t>
  </si>
  <si>
    <t>Разное 2</t>
  </si>
  <si>
    <t>Жиры 1</t>
  </si>
  <si>
    <t>Жиры 2</t>
  </si>
  <si>
    <t>Мясо-рыба</t>
  </si>
  <si>
    <t>Прочие 1</t>
  </si>
  <si>
    <t>Доп.продукт 1</t>
  </si>
  <si>
    <t>Доп.продукт 2</t>
  </si>
  <si>
    <t>Новое</t>
  </si>
  <si>
    <t>запас</t>
  </si>
  <si>
    <t>а</t>
  </si>
  <si>
    <t>п</t>
  </si>
  <si>
    <t>р</t>
  </si>
  <si>
    <t>о</t>
  </si>
  <si>
    <t>Доп.продукт 3</t>
  </si>
  <si>
    <t>Макароны отварные</t>
  </si>
  <si>
    <t>Накладная №</t>
  </si>
  <si>
    <t>На выдачу подуктов с продовольственного склада в/ч 75764 в столовую по норме № 3</t>
  </si>
  <si>
    <t>вечерний чай</t>
  </si>
  <si>
    <t>Каша пшённая</t>
  </si>
  <si>
    <t>Курица жареная</t>
  </si>
  <si>
    <t>Рис отварной</t>
  </si>
  <si>
    <t>Соус красный</t>
  </si>
  <si>
    <t>Горошек консервированный</t>
  </si>
  <si>
    <t xml:space="preserve">Салат из помидоров консервированных </t>
  </si>
  <si>
    <t>Пюре гороховое</t>
  </si>
  <si>
    <t>Пряники</t>
  </si>
  <si>
    <t>Каша ячневая молочная</t>
  </si>
  <si>
    <t>Салат из огурцов сол</t>
  </si>
  <si>
    <t>Котлеты говяжьи</t>
  </si>
  <si>
    <t>Овощная закуска</t>
  </si>
  <si>
    <t>Каша овсяная молочная</t>
  </si>
  <si>
    <t>Каша манная</t>
  </si>
  <si>
    <t>Молоко сгущенное</t>
  </si>
  <si>
    <t>Морковь по-корейски</t>
  </si>
  <si>
    <t>Гуляш из свининны с крупой гречневой отварной</t>
  </si>
  <si>
    <t>Закуска овощная</t>
  </si>
  <si>
    <t>Каша ячневая</t>
  </si>
  <si>
    <t>Горошек  консервированный</t>
  </si>
  <si>
    <t>Салат "витаминный"</t>
  </si>
  <si>
    <t>Макароны по-флотски</t>
  </si>
  <si>
    <t>Сало шпик</t>
  </si>
  <si>
    <t>Рыба (навага б/г) жареная</t>
  </si>
  <si>
    <t>Каша перловая</t>
  </si>
  <si>
    <t>Каша овсяная</t>
  </si>
  <si>
    <t>Помидоры консервированные</t>
  </si>
  <si>
    <t>Жаркое по-домашнему</t>
  </si>
  <si>
    <t>Суп с фрикадельками</t>
  </si>
  <si>
    <t>Плов с говядиной</t>
  </si>
  <si>
    <t>Турчин Н.В.</t>
  </si>
  <si>
    <t>Сапунов Р.С.</t>
  </si>
  <si>
    <t xml:space="preserve">Выдал: </t>
  </si>
  <si>
    <t>Принял:</t>
  </si>
  <si>
    <t xml:space="preserve">Начальник службы снабжения: </t>
  </si>
  <si>
    <t>ст.л-т И.Новичков</t>
  </si>
  <si>
    <t>Итого</t>
  </si>
  <si>
    <t>Продуктов за день</t>
  </si>
  <si>
    <t>итого</t>
  </si>
  <si>
    <t>Огурцы свежие (соленые)</t>
  </si>
  <si>
    <t>Сладости и фрукты</t>
  </si>
  <si>
    <t>Доп.продукт 4</t>
  </si>
  <si>
    <t>Гексавит</t>
  </si>
  <si>
    <t>Мучное</t>
  </si>
  <si>
    <t>Мучное 1</t>
  </si>
  <si>
    <t>ст. л-т  И. Новичков</t>
  </si>
  <si>
    <t>мичман А.Васильев</t>
  </si>
  <si>
    <t>фельдшер войсковой части 75764</t>
  </si>
  <si>
    <t>Сводная ведомость</t>
  </si>
  <si>
    <t>Подготовить на день</t>
  </si>
  <si>
    <t>Печать</t>
  </si>
  <si>
    <t>Перенести остатки в книгу учета</t>
  </si>
  <si>
    <t>Очистить меню:</t>
  </si>
  <si>
    <t>за день</t>
  </si>
  <si>
    <t>за неделю</t>
  </si>
  <si>
    <t>Сегодня:</t>
  </si>
  <si>
    <t>Раскладка меню:</t>
  </si>
  <si>
    <t>Перенести</t>
  </si>
  <si>
    <t>Итого наименований:</t>
  </si>
  <si>
    <t>(учет в кг)</t>
  </si>
  <si>
    <t>Подписи</t>
  </si>
  <si>
    <t>Основание: раскладка продуктов, строевая записка</t>
  </si>
  <si>
    <t>Расход понедельник</t>
  </si>
  <si>
    <t>Расход вторник</t>
  </si>
  <si>
    <t>Расход среда</t>
  </si>
  <si>
    <t>Расход четверг</t>
  </si>
  <si>
    <t>Расход пятница</t>
  </si>
  <si>
    <t>Расход суббота</t>
  </si>
  <si>
    <t>Расход воскресенье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</si>
  <si>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</si>
  <si>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</si>
  <si>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</si>
  <si>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</si>
  <si>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</si>
  <si>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</si>
  <si>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</si>
  <si>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неделя</t>
  </si>
  <si>
    <t>Действия</t>
  </si>
  <si>
    <t>Остаток продуктов на начало недели, гр</t>
  </si>
  <si>
    <t>Хлеб из смеси  рж. и пш. муки 1 с (корабли)</t>
  </si>
  <si>
    <t>Хлеб белый из пш. муки 1 сорта (корабли)</t>
  </si>
  <si>
    <t>Хлеб белый из пш. муки 1 сорта (нарезка)</t>
  </si>
  <si>
    <t>Конд.изд.Пряники весовые</t>
  </si>
  <si>
    <t>Конд.изд.Печенье сахарное в ассорт.</t>
  </si>
  <si>
    <t>Конд.изд.Вафли весовые</t>
  </si>
  <si>
    <t xml:space="preserve">Мука 1с </t>
  </si>
  <si>
    <t>Мука в/с</t>
  </si>
  <si>
    <t>Мука в/с ГОСТ</t>
  </si>
  <si>
    <t>Крупа перловая</t>
  </si>
  <si>
    <t>Крупа Рис шлиф.1сорт круглый</t>
  </si>
  <si>
    <t>Крупа Хлопья овсяные</t>
  </si>
  <si>
    <t>Крупа Хлопья овсяные(геркулес)</t>
  </si>
  <si>
    <t>Крупа греча ядрица 1сорт</t>
  </si>
  <si>
    <t>Крупа пшено</t>
  </si>
  <si>
    <t>Крупа пшеничная</t>
  </si>
  <si>
    <t>Крупа ячневая</t>
  </si>
  <si>
    <t>Бобовые горох шлиф.колотый</t>
  </si>
  <si>
    <t>Бобовые Фасоль</t>
  </si>
  <si>
    <t>Макаронные изд.</t>
  </si>
  <si>
    <t>Крупа манная</t>
  </si>
  <si>
    <t>Мясо птицы 1 сорт</t>
  </si>
  <si>
    <t>Мясн.конс. Цыпленка в с/с</t>
  </si>
  <si>
    <t>Мясо свинина на кости</t>
  </si>
  <si>
    <t>Мясо говядина на кости (отруба)</t>
  </si>
  <si>
    <t>Субпродукты Печень говяжья</t>
  </si>
  <si>
    <t>Субпродукты Сердце говяжье</t>
  </si>
  <si>
    <t>Мясо говядина б/к блочное</t>
  </si>
  <si>
    <t>Мясо свинина б/к блочное</t>
  </si>
  <si>
    <t>Мясо свинина б/к блочное (лопатка)</t>
  </si>
  <si>
    <t xml:space="preserve">Мясо свинина б/к блочное </t>
  </si>
  <si>
    <t>Мясн.конс.Свинина тушеная</t>
  </si>
  <si>
    <t>Мясн.конс.Говядина тушеная КОНКОРД</t>
  </si>
  <si>
    <t>Мясн.конс.Говядина тушеная кп</t>
  </si>
  <si>
    <t>Мясн.конс.Говядина тушеная</t>
  </si>
  <si>
    <t>Колбас.изд.Сосиски</t>
  </si>
  <si>
    <t>Колбас.изд.Сардельки</t>
  </si>
  <si>
    <t>Колбас.изд.Колбаса п/к</t>
  </si>
  <si>
    <t>Колбас.изд.Колбаса п/к в/с</t>
  </si>
  <si>
    <t>Колбас.изд.Колбаса с/к</t>
  </si>
  <si>
    <t>Колбас.изд.Колбаса с/к в/с</t>
  </si>
  <si>
    <t xml:space="preserve">Рыба с/м б/г </t>
  </si>
  <si>
    <t>Рыба с/м навага б/г</t>
  </si>
  <si>
    <t>Рыба с/м камбала б/г</t>
  </si>
  <si>
    <t>Рыба с/м налим б/г</t>
  </si>
  <si>
    <t>Рыба с/м Пикша б/г</t>
  </si>
  <si>
    <t>Рыба с/м Сайда б/г</t>
  </si>
  <si>
    <t>Рыба с/м Минтай б/г</t>
  </si>
  <si>
    <t>Рыба с/м Треска б/г</t>
  </si>
  <si>
    <t>Рыба с/м Хек б/г</t>
  </si>
  <si>
    <t>Рыбн.прод. Сельдь с/с</t>
  </si>
  <si>
    <t>Рыбн.прод Сельдь соленая</t>
  </si>
  <si>
    <t>Рыбн.конс. Сардина</t>
  </si>
  <si>
    <t>Рыбн.конс. Сардина в масле</t>
  </si>
  <si>
    <t>Рыбн.конс. Сардинелла</t>
  </si>
  <si>
    <t>Рыбн.конс. Скумбрия</t>
  </si>
  <si>
    <t xml:space="preserve">Рыбн.конс. Сельдь </t>
  </si>
  <si>
    <t xml:space="preserve">Рыбн.конс. Сардина  </t>
  </si>
  <si>
    <t>Масло раст.5л (кг)</t>
  </si>
  <si>
    <t>Масло раст.1л (кг)</t>
  </si>
  <si>
    <t>Масло слив.72,5% порционное 15г (СЛИВОЧНОЕ)</t>
  </si>
  <si>
    <t>Масло слив.72,5% весовое (сливочное)</t>
  </si>
  <si>
    <t>Масло слив.72,5% весовое</t>
  </si>
  <si>
    <t>Мол.прод.Молоко коровье 0,2 л</t>
  </si>
  <si>
    <t>Мол.прод.Молоко коровье 3,2%</t>
  </si>
  <si>
    <t>Мол.прод.Молоко коровье 1 л</t>
  </si>
  <si>
    <t>Молоко сгущеное в мягкой упаковке</t>
  </si>
  <si>
    <t>Молоко сгущенное м/у</t>
  </si>
  <si>
    <t>Мол.прод.Творог 9%  весовой</t>
  </si>
  <si>
    <t>Мол.прод.Сметана весовая 20%</t>
  </si>
  <si>
    <t>Мол.прод.Сыр твердый (полутвердый) 50%</t>
  </si>
  <si>
    <t xml:space="preserve">Мол.прод.Сыр плавленый </t>
  </si>
  <si>
    <t>Сыр плавленый (упак. по 17,5гр.)</t>
  </si>
  <si>
    <t>Овощи Картофель свежий н/о</t>
  </si>
  <si>
    <t>Овощи Капуста б/к</t>
  </si>
  <si>
    <t>Консерв.Капуста мариннованная</t>
  </si>
  <si>
    <t>Консерв.Капуста маринованная</t>
  </si>
  <si>
    <t>Овощи Свекла свежая н/о</t>
  </si>
  <si>
    <t>Консерв.свекла</t>
  </si>
  <si>
    <t>Овощи Морковь свежая н/о</t>
  </si>
  <si>
    <t>Консерв.Морковь.3кг гарнир</t>
  </si>
  <si>
    <t>Овощи Лук свежий н/о</t>
  </si>
  <si>
    <t>Соленья кабачки консерв.3 кг</t>
  </si>
  <si>
    <t>Соленья Огурцы консерв.3кг</t>
  </si>
  <si>
    <t>Соленья Помидоры консерв.3кг</t>
  </si>
  <si>
    <t>Овощи Перец сладкий</t>
  </si>
  <si>
    <t>Зелень петрушка свежая</t>
  </si>
  <si>
    <t>Зелень укроп свежий</t>
  </si>
  <si>
    <t>Овощи Огурец свежий</t>
  </si>
  <si>
    <t>Овощи Помидор свежий</t>
  </si>
  <si>
    <t>Овощи Кабачки свежие</t>
  </si>
  <si>
    <t>Баклажаны</t>
  </si>
  <si>
    <t xml:space="preserve">Редис </t>
  </si>
  <si>
    <t>Овощи Чеснок свежий</t>
  </si>
  <si>
    <t>Консерв. Фасоль</t>
  </si>
  <si>
    <t>Консерв.Фасоль</t>
  </si>
  <si>
    <t>Консерв.Кукуруза</t>
  </si>
  <si>
    <t>Консерв.Зеленый горошек</t>
  </si>
  <si>
    <t>Консерв.Лечо</t>
  </si>
  <si>
    <t>Консерв.Закуска "Воронежская"</t>
  </si>
  <si>
    <t>Икра кабачковая</t>
  </si>
  <si>
    <t>Икра баклажанная</t>
  </si>
  <si>
    <t>Сок фрукт.восст.0,2 л в ассорт</t>
  </si>
  <si>
    <t>Сок фрукт.восст.0,2л в ассорт.</t>
  </si>
  <si>
    <t>Сок фрукт.восст. 1л в ассорт.</t>
  </si>
  <si>
    <t>Сок фрукт.восст.1 л в ассорт.</t>
  </si>
  <si>
    <t>Экстракт плодово-ягодный в ассорт.</t>
  </si>
  <si>
    <t>экстракт плодовый и ягодный</t>
  </si>
  <si>
    <t>Сухофрукты Изюм</t>
  </si>
  <si>
    <t>Сухофрукты Курага</t>
  </si>
  <si>
    <t>Дрожжи сушенные</t>
  </si>
  <si>
    <t xml:space="preserve">Дрожжи сушеные </t>
  </si>
  <si>
    <t>Сахарный песок</t>
  </si>
  <si>
    <t>Соль поваренная пищевая</t>
  </si>
  <si>
    <t>Чай листовой заварной в пачках</t>
  </si>
  <si>
    <t>Чай листовой заварной ГОСТ в пачках</t>
  </si>
  <si>
    <t>Кофе весовой</t>
  </si>
  <si>
    <t>Специи Лавровый лист</t>
  </si>
  <si>
    <t>Специи Перец черный молотый</t>
  </si>
  <si>
    <t>Специи Горчица сухая</t>
  </si>
  <si>
    <t>Специи Уксус столовый 9%</t>
  </si>
  <si>
    <t>Томат-паста 25%</t>
  </si>
  <si>
    <t>Томатная паста 25%</t>
  </si>
  <si>
    <t>Конфеты карамель (отливная)</t>
  </si>
  <si>
    <t>Вода бутилированная 1,5 л</t>
  </si>
  <si>
    <t>Молоко сгущеное в ж/б</t>
  </si>
  <si>
    <t xml:space="preserve">Мясо птицы 1 сорт </t>
  </si>
  <si>
    <t>Наименование стандартное</t>
  </si>
  <si>
    <t>Фасоль</t>
  </si>
  <si>
    <t>Печенье сахарное в</t>
  </si>
  <si>
    <t>Творог</t>
  </si>
  <si>
    <t>Сыр</t>
  </si>
  <si>
    <t>Кабачки</t>
  </si>
  <si>
    <t>Дрожжи</t>
  </si>
  <si>
    <t>Изюм</t>
  </si>
  <si>
    <t>Редис</t>
  </si>
  <si>
    <t>Соль</t>
  </si>
  <si>
    <t>Мясо говядина на кости</t>
  </si>
  <si>
    <t>Перец сладкий</t>
  </si>
  <si>
    <t>Баклажан</t>
  </si>
  <si>
    <t>Вода</t>
  </si>
  <si>
    <t>Доп.продукт 5</t>
  </si>
  <si>
    <t>Свекла консерв.</t>
  </si>
  <si>
    <t>Морковь консерв.</t>
  </si>
  <si>
    <t>Кабачки консерв.</t>
  </si>
  <si>
    <t>Крупы</t>
  </si>
  <si>
    <t>Овощи запас 1</t>
  </si>
  <si>
    <t>Овощи запас 2</t>
  </si>
  <si>
    <t>Жиры 3</t>
  </si>
  <si>
    <t>Свинина на кости</t>
  </si>
  <si>
    <t>Говядина на кости</t>
  </si>
  <si>
    <t>Мясо-рыба запас</t>
  </si>
  <si>
    <t>Молочное запас</t>
  </si>
  <si>
    <t>Капуста свежая/кваш.</t>
  </si>
  <si>
    <t>Огурцы свежие/соленые</t>
  </si>
  <si>
    <t>Помидоры свежие/конс.</t>
  </si>
  <si>
    <t>Наим. из накладной</t>
  </si>
  <si>
    <t>Меню на понедельник для печати подготовлено 14.07.2023</t>
  </si>
  <si>
    <t xml:space="preserve"> в 8:24:29</t>
  </si>
  <si>
    <t xml:space="preserve"> в 8:45:32</t>
  </si>
  <si>
    <t>Наименование из накладной</t>
  </si>
  <si>
    <t>Наименование для меню (стандартизированное)</t>
  </si>
  <si>
    <t>капитан 3 ранга_____________А.Чирва</t>
  </si>
  <si>
    <t>РАСКЛАДКА  ПРОДУКТОВ</t>
  </si>
  <si>
    <t>Меню на неделю для печати подготовлено 14.07.2023</t>
  </si>
  <si>
    <t xml:space="preserve"> в 14:35:31</t>
  </si>
  <si>
    <t>Положено 
на 1 чел, гр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</si>
</sst>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"/>
    <numFmt numFmtId="166" formatCode="[$-FC19]dd\ mmmm\ yyyy\ \г\.;@"/>
    <numFmt numFmtId="167" formatCode="[$-F800]dddd\,\ mmmm\ dd\,\ yyyy"/>
    <numFmt numFmtId="168" formatCode="d\ mmmm\,\ yyyy"/>
    <numFmt numFmtId="169" formatCode="0.00_ ;[Red]\-0.00\ "/>
    <numFmt numFmtId="171" formatCode="0_ ;[Red]\-0\ "/>
  </numFmts>
  <fonts count="96" x14ac:knownFonts="1">
    <font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i/>
      <sz val="10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8"/>
      <color theme="0" tint="-0.34998626667073579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i/>
      <sz val="10"/>
      <name val="Calibri Light"/>
      <family val="1"/>
      <charset val="204"/>
      <scheme val="major"/>
    </font>
    <font>
      <i/>
      <sz val="8"/>
      <name val="Calibri Light"/>
      <family val="1"/>
      <charset val="204"/>
      <scheme val="major"/>
    </font>
    <font>
      <i/>
      <sz val="12"/>
      <name val="Calibri Light"/>
      <family val="1"/>
      <charset val="204"/>
      <scheme val="major"/>
    </font>
    <font>
      <i/>
      <sz val="11"/>
      <name val="Calibri Light"/>
      <family val="1"/>
      <charset val="204"/>
      <scheme val="major"/>
    </font>
    <font>
      <sz val="18"/>
      <color theme="9" tint="-0.499984740745262"/>
      <name val="Calibri"/>
      <family val="2"/>
      <charset val="204"/>
      <scheme val="minor"/>
    </font>
    <font>
      <sz val="11"/>
      <color rgb="FF0033CC"/>
      <name val="Calibri"/>
      <family val="2"/>
      <charset val="204"/>
      <scheme val="minor"/>
    </font>
    <font>
      <sz val="8"/>
      <color rgb="FF0033CC"/>
      <name val="Arial Cyr"/>
      <charset val="204"/>
    </font>
    <font>
      <sz val="11"/>
      <color rgb="FFCC3300"/>
      <name val="Calibri"/>
      <family val="2"/>
      <charset val="204"/>
      <scheme val="minor"/>
    </font>
    <font>
      <sz val="8"/>
      <color rgb="FFCC3300"/>
      <name val="Arial Cyr"/>
      <charset val="204"/>
    </font>
    <font>
      <sz val="12"/>
      <name val="Calibri"/>
      <family val="2"/>
      <charset val="204"/>
      <scheme val="minor"/>
    </font>
    <font>
      <sz val="22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sz val="2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20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b/>
      <sz val="22"/>
      <name val="Calibri"/>
      <family val="2"/>
      <charset val="204"/>
      <scheme val="minor"/>
    </font>
    <font>
      <b/>
      <sz val="20"/>
      <name val="Calibri"/>
      <family val="2"/>
      <charset val="204"/>
      <scheme val="minor"/>
    </font>
    <font>
      <b/>
      <sz val="18"/>
      <color theme="9" tint="-0.499984740745262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i/>
      <sz val="10"/>
      <color rgb="FF800000"/>
      <name val="Calibri Light"/>
      <family val="2"/>
      <charset val="204"/>
      <scheme val="major"/>
    </font>
    <font>
      <b/>
      <i/>
      <sz val="9"/>
      <color rgb="FF800000"/>
      <name val="Calibri Light"/>
      <family val="2"/>
      <charset val="204"/>
      <scheme val="major"/>
    </font>
    <font>
      <i/>
      <sz val="10"/>
      <color rgb="FF800000"/>
      <name val="Calibri Light"/>
      <family val="2"/>
      <charset val="204"/>
      <scheme val="major"/>
    </font>
    <font>
      <b/>
      <i/>
      <sz val="10"/>
      <color rgb="FF0033CC"/>
      <name val="Calibri Light"/>
      <family val="2"/>
      <charset val="204"/>
      <scheme val="maj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color rgb="FF800000"/>
      <name val="Calibri"/>
      <family val="2"/>
      <charset val="204"/>
      <scheme val="minor"/>
    </font>
    <font>
      <b/>
      <sz val="14"/>
      <color theme="9" tint="-0.499984740745262"/>
      <name val="Calibri"/>
      <family val="2"/>
      <charset val="204"/>
      <scheme val="minor"/>
    </font>
    <font>
      <b/>
      <sz val="20"/>
      <color theme="9" tint="-0.499984740745262"/>
      <name val="Calibri"/>
      <family val="2"/>
      <charset val="204"/>
      <scheme val="minor"/>
    </font>
    <font>
      <b/>
      <sz val="16"/>
      <color theme="9" tint="-0.499984740745262"/>
      <name val="Calibri"/>
      <family val="2"/>
      <charset val="204"/>
      <scheme val="minor"/>
    </font>
    <font>
      <sz val="14"/>
      <color theme="9" tint="-0.499984740745262"/>
      <name val="Calibri"/>
      <family val="2"/>
      <charset val="204"/>
      <scheme val="minor"/>
    </font>
    <font>
      <sz val="11"/>
      <color theme="9" tint="-0.499984740745262"/>
      <name val="Calibri"/>
      <family val="2"/>
      <charset val="204"/>
      <scheme val="minor"/>
    </font>
    <font>
      <sz val="11"/>
      <color rgb="FF990099"/>
      <name val="Calibri"/>
      <family val="2"/>
      <charset val="204"/>
      <scheme val="minor"/>
    </font>
    <font>
      <b/>
      <sz val="14"/>
      <color rgb="FF990099"/>
      <name val="Calibri"/>
      <family val="2"/>
      <charset val="204"/>
      <scheme val="minor"/>
    </font>
    <font>
      <b/>
      <sz val="20"/>
      <color rgb="FF990099"/>
      <name val="Calibri"/>
      <family val="2"/>
      <charset val="204"/>
      <scheme val="minor"/>
    </font>
    <font>
      <b/>
      <sz val="18"/>
      <color rgb="FF990099"/>
      <name val="Calibri"/>
      <family val="2"/>
      <charset val="204"/>
      <scheme val="minor"/>
    </font>
    <font>
      <b/>
      <sz val="16"/>
      <color rgb="FF990099"/>
      <name val="Calibri"/>
      <family val="2"/>
      <charset val="204"/>
      <scheme val="minor"/>
    </font>
    <font>
      <b/>
      <sz val="12"/>
      <color rgb="FF990099"/>
      <name val="Calibri"/>
      <family val="2"/>
      <charset val="204"/>
      <scheme val="minor"/>
    </font>
    <font>
      <sz val="14"/>
      <color rgb="FF990099"/>
      <name val="Calibri"/>
      <family val="2"/>
      <charset val="204"/>
      <scheme val="minor"/>
    </font>
    <font>
      <b/>
      <sz val="14"/>
      <color rgb="FF0033CC"/>
      <name val="Calibri"/>
      <family val="2"/>
      <charset val="204"/>
      <scheme val="minor"/>
    </font>
    <font>
      <b/>
      <sz val="20"/>
      <color rgb="FF0033CC"/>
      <name val="Calibri"/>
      <family val="2"/>
      <charset val="204"/>
      <scheme val="minor"/>
    </font>
    <font>
      <b/>
      <sz val="18"/>
      <color rgb="FF0033CC"/>
      <name val="Calibri"/>
      <family val="2"/>
      <charset val="204"/>
      <scheme val="minor"/>
    </font>
    <font>
      <b/>
      <sz val="16"/>
      <color rgb="FF0033CC"/>
      <name val="Calibri"/>
      <family val="2"/>
      <charset val="204"/>
      <scheme val="minor"/>
    </font>
    <font>
      <b/>
      <sz val="12"/>
      <color rgb="FF0033CC"/>
      <name val="Calibri"/>
      <family val="2"/>
      <charset val="204"/>
      <scheme val="minor"/>
    </font>
    <font>
      <sz val="14"/>
      <color rgb="FF0033CC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b/>
      <sz val="14"/>
      <color rgb="FF0070C0"/>
      <name val="Calibri"/>
      <family val="2"/>
      <charset val="204"/>
      <scheme val="minor"/>
    </font>
    <font>
      <b/>
      <sz val="20"/>
      <color rgb="FF0070C0"/>
      <name val="Calibri"/>
      <family val="2"/>
      <charset val="204"/>
      <scheme val="minor"/>
    </font>
    <font>
      <b/>
      <sz val="16"/>
      <color rgb="FF0070C0"/>
      <name val="Calibri"/>
      <family val="2"/>
      <charset val="204"/>
      <scheme val="minor"/>
    </font>
    <font>
      <sz val="14"/>
      <color rgb="FF0070C0"/>
      <name val="Calibri"/>
      <family val="2"/>
      <charset val="204"/>
      <scheme val="minor"/>
    </font>
    <font>
      <sz val="18"/>
      <color rgb="FFC0000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b/>
      <sz val="20"/>
      <color rgb="FFC00000"/>
      <name val="Calibri"/>
      <family val="2"/>
      <charset val="204"/>
      <scheme val="minor"/>
    </font>
    <font>
      <b/>
      <sz val="18"/>
      <color rgb="FFC00000"/>
      <name val="Calibri"/>
      <family val="2"/>
      <charset val="204"/>
      <scheme val="minor"/>
    </font>
    <font>
      <b/>
      <sz val="16"/>
      <color rgb="FFC00000"/>
      <name val="Calibri"/>
      <family val="2"/>
      <charset val="204"/>
      <scheme val="minor"/>
    </font>
    <font>
      <sz val="14"/>
      <color rgb="FFC00000"/>
      <name val="Calibri"/>
      <family val="2"/>
      <charset val="204"/>
      <scheme val="minor"/>
    </font>
    <font>
      <b/>
      <u/>
      <sz val="16"/>
      <color rgb="FF0033CC"/>
      <name val="Calibri"/>
      <family val="2"/>
      <charset val="204"/>
      <scheme val="minor"/>
    </font>
    <font>
      <sz val="22"/>
      <color rgb="FF0033CC"/>
      <name val="Calibri"/>
      <family val="2"/>
      <charset val="204"/>
      <scheme val="minor"/>
    </font>
    <font>
      <b/>
      <sz val="16"/>
      <color theme="9" tint="-0.249977111117893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i/>
      <sz val="24"/>
      <color rgb="FF0033CC"/>
      <name val="Calibri"/>
      <family val="2"/>
      <charset val="204"/>
      <scheme val="minor"/>
    </font>
    <font>
      <b/>
      <i/>
      <sz val="18"/>
      <color rgb="FFC00000"/>
      <name val="Calibri"/>
      <family val="2"/>
      <charset val="204"/>
      <scheme val="minor"/>
    </font>
    <font>
      <b/>
      <sz val="10"/>
      <color rgb="FFC00000"/>
      <name val="Calibri"/>
      <family val="2"/>
      <charset val="204"/>
      <scheme val="minor"/>
    </font>
    <font>
      <b/>
      <i/>
      <sz val="12"/>
      <color rgb="FF0033CC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b/>
      <sz val="24"/>
      <name val="Calibri"/>
      <family val="2"/>
      <charset val="204"/>
      <scheme val="minor"/>
    </font>
    <font>
      <b/>
      <sz val="12"/>
      <color rgb="FFC00000"/>
      <name val="Calibri"/>
      <family val="2"/>
      <charset val="204"/>
      <scheme val="minor"/>
    </font>
    <font>
      <sz val="22"/>
      <color rgb="FFC00000"/>
      <name val="Calibri"/>
      <family val="2"/>
      <charset val="204"/>
      <scheme val="minor"/>
    </font>
    <font>
      <b/>
      <sz val="12"/>
      <color theme="9" tint="-0.499984740745262"/>
      <name val="Calibri"/>
      <family val="2"/>
      <charset val="204"/>
      <scheme val="minor"/>
    </font>
    <font>
      <b/>
      <i/>
      <sz val="12"/>
      <color rgb="FF0000CC"/>
      <name val="Calibri"/>
      <family val="2"/>
      <charset val="204"/>
      <scheme val="minor"/>
    </font>
    <font>
      <sz val="11"/>
      <color theme="0" tint="-0.14999847407452621"/>
      <name val="Calibri"/>
      <family val="2"/>
      <charset val="204"/>
      <scheme val="minor"/>
    </font>
    <font>
      <sz val="10"/>
      <color rgb="FF0000FF"/>
      <name val="Calibri"/>
      <family val="2"/>
      <charset val="204"/>
      <scheme val="minor"/>
    </font>
    <font>
      <b/>
      <i/>
      <sz val="12"/>
      <color rgb="FFFF0000"/>
      <name val="Calibri"/>
      <family val="2"/>
      <charset val="204"/>
      <scheme val="minor"/>
    </font>
    <font>
      <i/>
      <sz val="11"/>
      <color rgb="FF0000FF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22"/>
      <color rgb="FFC00000"/>
      <name val="Calibri"/>
      <family val="2"/>
      <charset val="204"/>
      <scheme val="minor"/>
    </font>
    <font>
      <b/>
      <sz val="22"/>
      <color rgb="FF0033CC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6"/>
      <color rgb="FF80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ECFF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rgb="FF6600FF"/>
      </left>
      <right/>
      <top style="double">
        <color rgb="FF6600FF"/>
      </top>
      <bottom style="double">
        <color rgb="FF6600FF"/>
      </bottom>
      <diagonal/>
    </border>
    <border>
      <left/>
      <right style="double">
        <color rgb="FF6600FF"/>
      </right>
      <top style="double">
        <color rgb="FF6600FF"/>
      </top>
      <bottom style="double">
        <color rgb="FF6600FF"/>
      </bottom>
      <diagonal/>
    </border>
    <border>
      <left style="slantDashDot">
        <color rgb="FF6600FF"/>
      </left>
      <right/>
      <top style="slantDashDot">
        <color rgb="FF6600FF"/>
      </top>
      <bottom/>
      <diagonal/>
    </border>
    <border>
      <left/>
      <right/>
      <top style="slantDashDot">
        <color rgb="FF6600FF"/>
      </top>
      <bottom/>
      <diagonal/>
    </border>
    <border>
      <left/>
      <right style="slantDashDot">
        <color rgb="FF6600FF"/>
      </right>
      <top style="slantDashDot">
        <color rgb="FF6600FF"/>
      </top>
      <bottom/>
      <diagonal/>
    </border>
    <border>
      <left style="slantDashDot">
        <color rgb="FF6600FF"/>
      </left>
      <right/>
      <top/>
      <bottom/>
      <diagonal/>
    </border>
    <border>
      <left/>
      <right style="slantDashDot">
        <color rgb="FF6600FF"/>
      </right>
      <top/>
      <bottom/>
      <diagonal/>
    </border>
    <border>
      <left style="slantDashDot">
        <color rgb="FF6600FF"/>
      </left>
      <right/>
      <top/>
      <bottom style="slantDashDot">
        <color rgb="FF6600FF"/>
      </bottom>
      <diagonal/>
    </border>
    <border>
      <left/>
      <right/>
      <top/>
      <bottom style="slantDashDot">
        <color rgb="FF6600FF"/>
      </bottom>
      <diagonal/>
    </border>
    <border>
      <left/>
      <right style="slantDashDot">
        <color rgb="FF6600FF"/>
      </right>
      <top/>
      <bottom style="slantDashDot">
        <color rgb="FF6600F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1042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14" fontId="0" fillId="2" borderId="0" xfId="0" applyNumberFormat="1" applyFill="1" applyAlignment="1">
      <alignment horizontal="center" vertical="center" wrapText="1"/>
    </xf>
    <xf numFmtId="49" fontId="0" fillId="2" borderId="0" xfId="0" applyNumberFormat="1" applyFill="1" applyAlignment="1">
      <alignment horizontal="center" vertical="center" wrapText="1"/>
    </xf>
    <xf numFmtId="2" fontId="0" fillId="2" borderId="0" xfId="0" applyNumberFormat="1" applyFill="1" applyAlignment="1">
      <alignment horizontal="center" vertical="center" wrapText="1"/>
    </xf>
    <xf numFmtId="0" fontId="5" fillId="4" borderId="0" xfId="0" applyFont="1" applyFill="1"/>
    <xf numFmtId="14" fontId="5" fillId="4" borderId="0" xfId="0" applyNumberFormat="1" applyFont="1" applyFill="1"/>
    <xf numFmtId="49" fontId="5" fillId="4" borderId="0" xfId="0" applyNumberFormat="1" applyFont="1" applyFill="1"/>
    <xf numFmtId="0" fontId="5" fillId="4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/>
    <xf numFmtId="0" fontId="8" fillId="0" borderId="0" xfId="1" applyFont="1" applyAlignment="1">
      <alignment horizontal="center" vertical="center"/>
    </xf>
    <xf numFmtId="0" fontId="7" fillId="0" borderId="1" xfId="1" applyFont="1" applyBorder="1" applyAlignment="1">
      <alignment horizontal="center" vertical="center" textRotation="90" wrapText="1"/>
    </xf>
    <xf numFmtId="0" fontId="9" fillId="0" borderId="1" xfId="1" applyFont="1" applyBorder="1" applyAlignment="1">
      <alignment horizontal="center" vertical="center" wrapText="1"/>
    </xf>
    <xf numFmtId="0" fontId="10" fillId="0" borderId="0" xfId="1" applyFont="1" applyAlignment="1">
      <alignment horizontal="center" vertical="center"/>
    </xf>
    <xf numFmtId="16" fontId="9" fillId="0" borderId="1" xfId="1" applyNumberFormat="1" applyFont="1" applyBorder="1" applyAlignment="1">
      <alignment horizontal="center" vertical="center" wrapText="1"/>
    </xf>
    <xf numFmtId="0" fontId="11" fillId="0" borderId="0" xfId="0" applyFont="1"/>
    <xf numFmtId="0" fontId="11" fillId="0" borderId="0" xfId="0" applyFont="1" applyBorder="1"/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1" fillId="0" borderId="1" xfId="0" applyFont="1" applyBorder="1"/>
    <xf numFmtId="0" fontId="11" fillId="0" borderId="7" xfId="0" applyFont="1" applyBorder="1"/>
    <xf numFmtId="0" fontId="11" fillId="0" borderId="7" xfId="0" applyFont="1" applyBorder="1" applyAlignment="1">
      <alignment horizontal="left" vertical="top"/>
    </xf>
    <xf numFmtId="164" fontId="11" fillId="0" borderId="7" xfId="0" applyNumberFormat="1" applyFont="1" applyBorder="1"/>
    <xf numFmtId="0" fontId="13" fillId="0" borderId="1" xfId="0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center" vertical="center"/>
    </xf>
    <xf numFmtId="2" fontId="13" fillId="0" borderId="1" xfId="0" applyNumberFormat="1" applyFont="1" applyFill="1" applyBorder="1" applyAlignment="1">
      <alignment horizontal="center" vertical="center"/>
    </xf>
    <xf numFmtId="164" fontId="13" fillId="0" borderId="1" xfId="0" applyNumberFormat="1" applyFont="1" applyFill="1" applyBorder="1" applyAlignment="1">
      <alignment horizontal="center" vertical="center"/>
    </xf>
    <xf numFmtId="0" fontId="14" fillId="0" borderId="0" xfId="0" applyFont="1" applyBorder="1"/>
    <xf numFmtId="0" fontId="14" fillId="0" borderId="0" xfId="0" applyFont="1"/>
    <xf numFmtId="0" fontId="14" fillId="0" borderId="61" xfId="0" applyFont="1" applyBorder="1"/>
    <xf numFmtId="0" fontId="14" fillId="0" borderId="0" xfId="0" applyFont="1" applyAlignment="1">
      <alignment horizontal="center"/>
    </xf>
    <xf numFmtId="164" fontId="14" fillId="0" borderId="0" xfId="0" applyNumberFormat="1" applyFont="1"/>
    <xf numFmtId="0" fontId="14" fillId="0" borderId="0" xfId="0" applyFont="1" applyBorder="1" applyAlignment="1">
      <alignment horizontal="left"/>
    </xf>
    <xf numFmtId="0" fontId="14" fillId="0" borderId="24" xfId="0" applyFont="1" applyBorder="1"/>
    <xf numFmtId="164" fontId="14" fillId="0" borderId="24" xfId="0" applyNumberFormat="1" applyFont="1" applyBorder="1"/>
    <xf numFmtId="0" fontId="14" fillId="0" borderId="24" xfId="0" applyFont="1" applyBorder="1" applyAlignment="1">
      <alignment horizontal="left"/>
    </xf>
    <xf numFmtId="0" fontId="14" fillId="0" borderId="22" xfId="0" applyFont="1" applyBorder="1"/>
    <xf numFmtId="0" fontId="14" fillId="0" borderId="2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40" xfId="0" applyFont="1" applyBorder="1"/>
    <xf numFmtId="0" fontId="13" fillId="0" borderId="2" xfId="0" applyFont="1" applyFill="1" applyBorder="1" applyAlignment="1">
      <alignment horizontal="left"/>
    </xf>
    <xf numFmtId="0" fontId="14" fillId="0" borderId="2" xfId="0" applyFont="1" applyBorder="1"/>
    <xf numFmtId="0" fontId="14" fillId="0" borderId="4" xfId="0" applyFont="1" applyBorder="1"/>
    <xf numFmtId="0" fontId="14" fillId="0" borderId="3" xfId="0" applyFont="1" applyBorder="1"/>
    <xf numFmtId="164" fontId="14" fillId="0" borderId="4" xfId="0" applyNumberFormat="1" applyFont="1" applyBorder="1"/>
    <xf numFmtId="0" fontId="14" fillId="0" borderId="17" xfId="0" applyFont="1" applyBorder="1" applyAlignment="1">
      <alignment horizontal="left"/>
    </xf>
    <xf numFmtId="0" fontId="14" fillId="0" borderId="15" xfId="0" applyFont="1" applyBorder="1"/>
    <xf numFmtId="0" fontId="14" fillId="0" borderId="17" xfId="0" applyFont="1" applyBorder="1"/>
    <xf numFmtId="164" fontId="14" fillId="0" borderId="15" xfId="0" applyNumberFormat="1" applyFont="1" applyBorder="1"/>
    <xf numFmtId="0" fontId="14" fillId="0" borderId="20" xfId="0" applyFont="1" applyBorder="1" applyAlignment="1">
      <alignment horizontal="left"/>
    </xf>
    <xf numFmtId="0" fontId="14" fillId="0" borderId="20" xfId="0" applyFont="1" applyBorder="1"/>
    <xf numFmtId="164" fontId="14" fillId="0" borderId="22" xfId="0" applyNumberFormat="1" applyFont="1" applyBorder="1"/>
    <xf numFmtId="164" fontId="14" fillId="0" borderId="0" xfId="0" applyNumberFormat="1" applyFont="1" applyBorder="1"/>
    <xf numFmtId="0" fontId="11" fillId="0" borderId="39" xfId="0" applyFont="1" applyFill="1" applyBorder="1" applyAlignment="1">
      <alignment horizontal="center" vertical="center"/>
    </xf>
    <xf numFmtId="0" fontId="14" fillId="0" borderId="31" xfId="0" applyFont="1" applyFill="1" applyBorder="1" applyAlignment="1">
      <alignment horizontal="center"/>
    </xf>
    <xf numFmtId="0" fontId="14" fillId="0" borderId="44" xfId="0" applyFont="1" applyFill="1" applyBorder="1" applyAlignment="1">
      <alignment horizontal="center"/>
    </xf>
    <xf numFmtId="0" fontId="11" fillId="0" borderId="42" xfId="0" applyFont="1" applyFill="1" applyBorder="1" applyAlignment="1">
      <alignment horizontal="center" vertical="center" wrapText="1"/>
    </xf>
    <xf numFmtId="2" fontId="16" fillId="2" borderId="0" xfId="0" applyNumberFormat="1" applyFont="1" applyFill="1" applyAlignment="1">
      <alignment horizontal="center" vertical="center" wrapText="1"/>
    </xf>
    <xf numFmtId="2" fontId="17" fillId="4" borderId="0" xfId="0" applyNumberFormat="1" applyFont="1" applyFill="1" applyAlignment="1">
      <alignment horizontal="center"/>
    </xf>
    <xf numFmtId="2" fontId="16" fillId="0" borderId="0" xfId="0" applyNumberFormat="1" applyFont="1" applyAlignment="1">
      <alignment horizontal="center"/>
    </xf>
    <xf numFmtId="0" fontId="16" fillId="0" borderId="0" xfId="0" applyFont="1"/>
    <xf numFmtId="2" fontId="18" fillId="2" borderId="0" xfId="0" applyNumberFormat="1" applyFont="1" applyFill="1" applyAlignment="1">
      <alignment horizontal="center" vertical="center" wrapText="1"/>
    </xf>
    <xf numFmtId="2" fontId="19" fillId="4" borderId="0" xfId="0" applyNumberFormat="1" applyFont="1" applyFill="1" applyAlignment="1">
      <alignment horizontal="center"/>
    </xf>
    <xf numFmtId="2" fontId="18" fillId="0" borderId="0" xfId="0" applyNumberFormat="1" applyFont="1" applyAlignment="1">
      <alignment horizontal="center"/>
    </xf>
    <xf numFmtId="0" fontId="18" fillId="0" borderId="0" xfId="0" applyFont="1"/>
    <xf numFmtId="169" fontId="0" fillId="2" borderId="0" xfId="0" applyNumberFormat="1" applyFill="1" applyAlignment="1">
      <alignment horizontal="center" vertical="center" wrapText="1"/>
    </xf>
    <xf numFmtId="169" fontId="0" fillId="0" borderId="0" xfId="0" applyNumberFormat="1"/>
    <xf numFmtId="0" fontId="21" fillId="0" borderId="0" xfId="0" applyFont="1" applyFill="1" applyAlignment="1">
      <alignment horizontal="left" vertical="center" wrapText="1"/>
    </xf>
    <xf numFmtId="0" fontId="22" fillId="0" borderId="0" xfId="0" applyFont="1" applyFill="1"/>
    <xf numFmtId="0" fontId="0" fillId="0" borderId="0" xfId="0" applyFont="1"/>
    <xf numFmtId="0" fontId="25" fillId="0" borderId="0" xfId="0" applyFont="1" applyFill="1" applyAlignment="1"/>
    <xf numFmtId="167" fontId="25" fillId="0" borderId="0" xfId="0" applyNumberFormat="1" applyFont="1" applyFill="1" applyAlignment="1"/>
    <xf numFmtId="0" fontId="22" fillId="0" borderId="7" xfId="0" applyFont="1" applyFill="1" applyBorder="1"/>
    <xf numFmtId="0" fontId="27" fillId="2" borderId="1" xfId="0" applyFont="1" applyFill="1" applyBorder="1" applyAlignment="1">
      <alignment horizontal="center" vertical="center"/>
    </xf>
    <xf numFmtId="0" fontId="32" fillId="0" borderId="0" xfId="0" applyFont="1" applyFill="1" applyAlignment="1">
      <alignment vertical="center"/>
    </xf>
    <xf numFmtId="0" fontId="22" fillId="0" borderId="0" xfId="0" applyFont="1" applyFill="1" applyAlignment="1">
      <alignment vertical="center"/>
    </xf>
    <xf numFmtId="0" fontId="0" fillId="0" borderId="0" xfId="0" applyFont="1" applyAlignment="1">
      <alignment horizontal="center" vertical="center"/>
    </xf>
    <xf numFmtId="0" fontId="14" fillId="0" borderId="2" xfId="0" applyFont="1" applyBorder="1" applyAlignment="1">
      <alignment horizontal="left"/>
    </xf>
    <xf numFmtId="0" fontId="33" fillId="0" borderId="0" xfId="0" applyFont="1"/>
    <xf numFmtId="0" fontId="33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5" fillId="0" borderId="1" xfId="0" applyNumberFormat="1" applyFont="1" applyBorder="1"/>
    <xf numFmtId="164" fontId="35" fillId="0" borderId="4" xfId="0" applyNumberFormat="1" applyFont="1" applyBorder="1"/>
    <xf numFmtId="164" fontId="35" fillId="0" borderId="4" xfId="0" applyNumberFormat="1" applyFont="1" applyBorder="1" applyAlignment="1">
      <alignment vertical="center" wrapText="1"/>
    </xf>
    <xf numFmtId="0" fontId="36" fillId="0" borderId="1" xfId="0" applyFont="1" applyBorder="1"/>
    <xf numFmtId="0" fontId="37" fillId="0" borderId="0" xfId="0" applyFont="1"/>
    <xf numFmtId="0" fontId="38" fillId="0" borderId="0" xfId="0" applyFont="1"/>
    <xf numFmtId="0" fontId="38" fillId="0" borderId="0" xfId="0" applyFont="1" applyAlignment="1">
      <alignment horizontal="left"/>
    </xf>
    <xf numFmtId="164" fontId="38" fillId="0" borderId="0" xfId="0" applyNumberFormat="1" applyFont="1"/>
    <xf numFmtId="0" fontId="38" fillId="0" borderId="0" xfId="0" applyFont="1" applyBorder="1"/>
    <xf numFmtId="0" fontId="38" fillId="0" borderId="0" xfId="0" applyFont="1" applyBorder="1" applyAlignment="1">
      <alignment horizontal="left"/>
    </xf>
    <xf numFmtId="0" fontId="38" fillId="0" borderId="0" xfId="0" applyFont="1" applyBorder="1" applyAlignment="1">
      <alignment vertical="center"/>
    </xf>
    <xf numFmtId="0" fontId="38" fillId="0" borderId="24" xfId="0" applyFont="1" applyBorder="1" applyAlignment="1">
      <alignment horizontal="left" vertical="top"/>
    </xf>
    <xf numFmtId="0" fontId="38" fillId="0" borderId="0" xfId="0" applyFont="1" applyBorder="1" applyAlignment="1">
      <alignment horizontal="left" vertical="top"/>
    </xf>
    <xf numFmtId="164" fontId="38" fillId="0" borderId="0" xfId="0" applyNumberFormat="1" applyFont="1" applyBorder="1"/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/>
    </xf>
    <xf numFmtId="0" fontId="38" fillId="0" borderId="0" xfId="0" applyFont="1" applyBorder="1" applyAlignment="1">
      <alignment horizontal="center"/>
    </xf>
    <xf numFmtId="167" fontId="38" fillId="0" borderId="0" xfId="0" applyNumberFormat="1" applyFont="1" applyAlignment="1">
      <alignment horizontal="left" vertical="center"/>
    </xf>
    <xf numFmtId="167" fontId="38" fillId="0" borderId="0" xfId="0" applyNumberFormat="1" applyFont="1" applyAlignment="1">
      <alignment vertical="center"/>
    </xf>
    <xf numFmtId="164" fontId="38" fillId="0" borderId="0" xfId="0" applyNumberFormat="1" applyFont="1" applyAlignment="1">
      <alignment horizontal="left"/>
    </xf>
    <xf numFmtId="0" fontId="39" fillId="0" borderId="0" xfId="0" applyFont="1"/>
    <xf numFmtId="164" fontId="39" fillId="0" borderId="0" xfId="0" applyNumberFormat="1" applyFont="1"/>
    <xf numFmtId="0" fontId="12" fillId="0" borderId="0" xfId="0" applyFont="1" applyAlignment="1">
      <alignment horizontal="right"/>
    </xf>
    <xf numFmtId="0" fontId="24" fillId="0" borderId="10" xfId="0" applyFont="1" applyFill="1" applyBorder="1" applyAlignment="1">
      <alignment horizontal="center" vertical="center" wrapText="1"/>
    </xf>
    <xf numFmtId="0" fontId="24" fillId="0" borderId="8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center" vertical="center" wrapText="1"/>
    </xf>
    <xf numFmtId="0" fontId="24" fillId="0" borderId="7" xfId="0" applyFont="1" applyFill="1" applyBorder="1" applyAlignment="1">
      <alignment horizontal="center" vertical="center" wrapText="1"/>
    </xf>
    <xf numFmtId="2" fontId="36" fillId="7" borderId="49" xfId="0" applyNumberFormat="1" applyFont="1" applyFill="1" applyBorder="1" applyAlignment="1">
      <alignment horizontal="center" vertical="center"/>
    </xf>
    <xf numFmtId="0" fontId="27" fillId="2" borderId="16" xfId="0" applyFont="1" applyFill="1" applyBorder="1" applyAlignment="1">
      <alignment horizontal="center" vertical="center"/>
    </xf>
    <xf numFmtId="0" fontId="27" fillId="2" borderId="23" xfId="0" applyFont="1" applyFill="1" applyBorder="1" applyAlignment="1">
      <alignment horizontal="center" vertical="center"/>
    </xf>
    <xf numFmtId="0" fontId="27" fillId="2" borderId="66" xfId="0" applyFont="1" applyFill="1" applyBorder="1" applyAlignment="1">
      <alignment horizontal="center" vertical="center"/>
    </xf>
    <xf numFmtId="2" fontId="11" fillId="0" borderId="7" xfId="0" applyNumberFormat="1" applyFont="1" applyBorder="1"/>
    <xf numFmtId="0" fontId="24" fillId="2" borderId="36" xfId="0" applyFont="1" applyFill="1" applyBorder="1" applyAlignment="1">
      <alignment horizontal="center" vertical="center"/>
    </xf>
    <xf numFmtId="0" fontId="24" fillId="2" borderId="18" xfId="0" applyFont="1" applyFill="1" applyBorder="1" applyAlignment="1">
      <alignment horizontal="center" vertical="center"/>
    </xf>
    <xf numFmtId="0" fontId="27" fillId="2" borderId="42" xfId="0" applyFont="1" applyFill="1" applyBorder="1" applyAlignment="1">
      <alignment horizontal="center" vertical="center"/>
    </xf>
    <xf numFmtId="0" fontId="24" fillId="2" borderId="68" xfId="0" applyFont="1" applyFill="1" applyBorder="1" applyAlignment="1">
      <alignment horizontal="center" vertical="center"/>
    </xf>
    <xf numFmtId="0" fontId="40" fillId="0" borderId="10" xfId="0" applyFont="1" applyFill="1" applyBorder="1" applyAlignment="1"/>
    <xf numFmtId="0" fontId="41" fillId="0" borderId="41" xfId="0" applyFont="1" applyFill="1" applyBorder="1" applyAlignment="1">
      <alignment horizontal="center" vertical="center" textRotation="90" wrapText="1"/>
    </xf>
    <xf numFmtId="0" fontId="42" fillId="5" borderId="25" xfId="0" applyFont="1" applyFill="1" applyBorder="1" applyAlignment="1">
      <alignment horizontal="center" vertical="center"/>
    </xf>
    <xf numFmtId="0" fontId="43" fillId="0" borderId="0" xfId="0" applyFont="1" applyFill="1"/>
    <xf numFmtId="0" fontId="44" fillId="0" borderId="0" xfId="0" applyFont="1"/>
    <xf numFmtId="0" fontId="45" fillId="0" borderId="0" xfId="0" applyFont="1"/>
    <xf numFmtId="0" fontId="46" fillId="0" borderId="10" xfId="0" applyFont="1" applyFill="1" applyBorder="1" applyAlignment="1"/>
    <xf numFmtId="0" fontId="49" fillId="5" borderId="25" xfId="0" applyFont="1" applyFill="1" applyBorder="1" applyAlignment="1">
      <alignment horizontal="center" vertical="center"/>
    </xf>
    <xf numFmtId="0" fontId="51" fillId="0" borderId="0" xfId="0" applyFont="1" applyFill="1"/>
    <xf numFmtId="0" fontId="52" fillId="0" borderId="10" xfId="0" applyFont="1" applyFill="1" applyBorder="1" applyAlignment="1"/>
    <xf numFmtId="0" fontId="55" fillId="5" borderId="25" xfId="0" applyFont="1" applyFill="1" applyBorder="1" applyAlignment="1">
      <alignment horizontal="center" vertical="center"/>
    </xf>
    <xf numFmtId="0" fontId="57" fillId="0" borderId="0" xfId="0" applyFont="1" applyFill="1"/>
    <xf numFmtId="0" fontId="58" fillId="0" borderId="0" xfId="0" applyFont="1"/>
    <xf numFmtId="0" fontId="59" fillId="0" borderId="10" xfId="0" applyFont="1" applyFill="1" applyBorder="1" applyAlignment="1"/>
    <xf numFmtId="0" fontId="61" fillId="5" borderId="25" xfId="0" applyFont="1" applyFill="1" applyBorder="1" applyAlignment="1">
      <alignment horizontal="center" vertical="center"/>
    </xf>
    <xf numFmtId="0" fontId="62" fillId="0" borderId="0" xfId="0" applyFont="1" applyFill="1"/>
    <xf numFmtId="0" fontId="64" fillId="0" borderId="0" xfId="0" applyFont="1"/>
    <xf numFmtId="0" fontId="65" fillId="0" borderId="10" xfId="0" applyFont="1" applyFill="1" applyBorder="1" applyAlignment="1"/>
    <xf numFmtId="0" fontId="68" fillId="5" borderId="25" xfId="0" applyFont="1" applyFill="1" applyBorder="1" applyAlignment="1">
      <alignment horizontal="center" vertical="center"/>
    </xf>
    <xf numFmtId="0" fontId="69" fillId="0" borderId="0" xfId="0" applyFont="1" applyFill="1"/>
    <xf numFmtId="0" fontId="48" fillId="0" borderId="10" xfId="0" applyFont="1" applyFill="1" applyBorder="1" applyAlignment="1"/>
    <xf numFmtId="0" fontId="54" fillId="0" borderId="0" xfId="0" applyFont="1" applyFill="1"/>
    <xf numFmtId="0" fontId="73" fillId="0" borderId="0" xfId="0" applyFont="1"/>
    <xf numFmtId="0" fontId="13" fillId="0" borderId="4" xfId="0" applyFont="1" applyFill="1" applyBorder="1" applyAlignment="1">
      <alignment horizontal="right"/>
    </xf>
    <xf numFmtId="0" fontId="21" fillId="0" borderId="0" xfId="0" applyFont="1" applyFill="1" applyAlignment="1">
      <alignment vertical="center" wrapText="1"/>
    </xf>
    <xf numFmtId="0" fontId="42" fillId="6" borderId="67" xfId="0" applyFont="1" applyFill="1" applyBorder="1" applyAlignment="1">
      <alignment horizontal="center" vertical="center"/>
    </xf>
    <xf numFmtId="0" fontId="49" fillId="6" borderId="67" xfId="0" applyFont="1" applyFill="1" applyBorder="1" applyAlignment="1">
      <alignment horizontal="center" vertical="center"/>
    </xf>
    <xf numFmtId="0" fontId="55" fillId="6" borderId="67" xfId="0" applyFont="1" applyFill="1" applyBorder="1" applyAlignment="1">
      <alignment horizontal="center" vertical="center"/>
    </xf>
    <xf numFmtId="0" fontId="68" fillId="6" borderId="67" xfId="0" applyFont="1" applyFill="1" applyBorder="1" applyAlignment="1">
      <alignment horizontal="center" vertical="center"/>
    </xf>
    <xf numFmtId="0" fontId="61" fillId="6" borderId="67" xfId="0" applyFont="1" applyFill="1" applyBorder="1" applyAlignment="1">
      <alignment horizontal="center" vertical="center"/>
    </xf>
    <xf numFmtId="14" fontId="20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37" fillId="0" borderId="0" xfId="0" applyFont="1" applyFill="1"/>
    <xf numFmtId="0" fontId="75" fillId="0" borderId="0" xfId="0" applyFont="1"/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20" fillId="0" borderId="75" xfId="0" applyFont="1" applyBorder="1" applyAlignment="1">
      <alignment vertical="center"/>
    </xf>
    <xf numFmtId="0" fontId="74" fillId="0" borderId="0" xfId="0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76" xfId="0" applyFont="1" applyBorder="1" applyAlignment="1">
      <alignment vertical="center"/>
    </xf>
    <xf numFmtId="0" fontId="20" fillId="0" borderId="75" xfId="0" applyFont="1" applyFill="1" applyBorder="1" applyAlignment="1">
      <alignment vertical="center"/>
    </xf>
    <xf numFmtId="0" fontId="74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76" xfId="0" applyFont="1" applyFill="1" applyBorder="1" applyAlignment="1">
      <alignment vertical="center"/>
    </xf>
    <xf numFmtId="0" fontId="75" fillId="0" borderId="75" xfId="0" applyFont="1" applyBorder="1" applyAlignment="1">
      <alignment vertical="center"/>
    </xf>
    <xf numFmtId="0" fontId="75" fillId="0" borderId="0" xfId="0" applyFont="1" applyBorder="1" applyAlignment="1">
      <alignment vertical="center"/>
    </xf>
    <xf numFmtId="0" fontId="75" fillId="0" borderId="0" xfId="0" applyFont="1" applyBorder="1"/>
    <xf numFmtId="0" fontId="75" fillId="0" borderId="76" xfId="0" applyFont="1" applyBorder="1" applyAlignment="1">
      <alignment vertical="center"/>
    </xf>
    <xf numFmtId="0" fontId="37" fillId="0" borderId="0" xfId="0" applyFont="1" applyBorder="1"/>
    <xf numFmtId="0" fontId="56" fillId="0" borderId="0" xfId="0" applyFont="1" applyBorder="1" applyAlignment="1">
      <alignment vertical="center"/>
    </xf>
    <xf numFmtId="0" fontId="1" fillId="0" borderId="75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76" xfId="0" applyFont="1" applyBorder="1" applyAlignment="1">
      <alignment vertical="center"/>
    </xf>
    <xf numFmtId="164" fontId="3" fillId="0" borderId="0" xfId="0" applyNumberFormat="1" applyFont="1" applyBorder="1" applyAlignment="1">
      <alignment vertical="center"/>
    </xf>
    <xf numFmtId="0" fontId="37" fillId="0" borderId="75" xfId="0" applyFont="1" applyBorder="1"/>
    <xf numFmtId="0" fontId="37" fillId="0" borderId="76" xfId="0" applyFont="1" applyBorder="1"/>
    <xf numFmtId="0" fontId="0" fillId="0" borderId="75" xfId="0" applyBorder="1"/>
    <xf numFmtId="0" fontId="0" fillId="0" borderId="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8" borderId="0" xfId="0" applyFill="1"/>
    <xf numFmtId="0" fontId="37" fillId="8" borderId="0" xfId="0" applyFont="1" applyFill="1"/>
    <xf numFmtId="0" fontId="75" fillId="8" borderId="0" xfId="0" applyFont="1" applyFill="1"/>
    <xf numFmtId="164" fontId="76" fillId="3" borderId="1" xfId="0" applyNumberFormat="1" applyFont="1" applyFill="1" applyBorder="1" applyAlignment="1">
      <alignment vertical="center" wrapText="1"/>
    </xf>
    <xf numFmtId="164" fontId="2" fillId="3" borderId="3" xfId="0" applyNumberFormat="1" applyFont="1" applyFill="1" applyBorder="1" applyAlignment="1">
      <alignment vertical="center" wrapText="1"/>
    </xf>
    <xf numFmtId="164" fontId="2" fillId="3" borderId="4" xfId="0" applyNumberFormat="1" applyFont="1" applyFill="1" applyBorder="1" applyAlignment="1">
      <alignment vertical="center" wrapText="1"/>
    </xf>
    <xf numFmtId="164" fontId="76" fillId="3" borderId="2" xfId="0" applyNumberFormat="1" applyFont="1" applyFill="1" applyBorder="1" applyAlignment="1">
      <alignment vertical="center" wrapText="1"/>
    </xf>
    <xf numFmtId="0" fontId="77" fillId="0" borderId="0" xfId="0" applyFont="1" applyBorder="1" applyAlignment="1">
      <alignment vertical="center"/>
    </xf>
    <xf numFmtId="0" fontId="14" fillId="0" borderId="45" xfId="0" applyFont="1" applyFill="1" applyBorder="1" applyAlignment="1">
      <alignment horizontal="left"/>
    </xf>
    <xf numFmtId="0" fontId="11" fillId="0" borderId="42" xfId="0" applyFont="1" applyFill="1" applyBorder="1" applyAlignment="1">
      <alignment horizontal="center" vertical="center"/>
    </xf>
    <xf numFmtId="0" fontId="11" fillId="0" borderId="41" xfId="0" applyFont="1" applyFill="1" applyBorder="1" applyAlignment="1">
      <alignment horizontal="center" vertical="center"/>
    </xf>
    <xf numFmtId="0" fontId="78" fillId="0" borderId="0" xfId="0" applyFont="1" applyAlignment="1">
      <alignment horizontal="left"/>
    </xf>
    <xf numFmtId="0" fontId="31" fillId="2" borderId="33" xfId="0" applyFont="1" applyFill="1" applyBorder="1" applyAlignment="1">
      <alignment horizontal="center" vertical="center"/>
    </xf>
    <xf numFmtId="0" fontId="31" fillId="2" borderId="35" xfId="0" applyFont="1" applyFill="1" applyBorder="1" applyAlignment="1">
      <alignment horizontal="center" vertical="center"/>
    </xf>
    <xf numFmtId="0" fontId="31" fillId="2" borderId="36" xfId="0" applyFont="1" applyFill="1" applyBorder="1" applyAlignment="1">
      <alignment horizontal="center" vertical="center"/>
    </xf>
    <xf numFmtId="0" fontId="42" fillId="2" borderId="66" xfId="0" applyFont="1" applyFill="1" applyBorder="1" applyAlignment="1">
      <alignment horizontal="center" vertical="center"/>
    </xf>
    <xf numFmtId="0" fontId="49" fillId="2" borderId="66" xfId="0" applyFont="1" applyFill="1" applyBorder="1" applyAlignment="1">
      <alignment horizontal="center" vertical="center"/>
    </xf>
    <xf numFmtId="0" fontId="55" fillId="2" borderId="66" xfId="0" applyFont="1" applyFill="1" applyBorder="1" applyAlignment="1">
      <alignment horizontal="center" vertical="center"/>
    </xf>
    <xf numFmtId="0" fontId="68" fillId="2" borderId="66" xfId="0" applyFont="1" applyFill="1" applyBorder="1" applyAlignment="1">
      <alignment horizontal="center" vertical="center"/>
    </xf>
    <xf numFmtId="0" fontId="61" fillId="2" borderId="66" xfId="0" applyFont="1" applyFill="1" applyBorder="1" applyAlignment="1">
      <alignment horizontal="center" vertical="center"/>
    </xf>
    <xf numFmtId="165" fontId="42" fillId="2" borderId="66" xfId="0" applyNumberFormat="1" applyFont="1" applyFill="1" applyBorder="1" applyAlignment="1">
      <alignment horizontal="center" vertical="center"/>
    </xf>
    <xf numFmtId="0" fontId="54" fillId="2" borderId="66" xfId="0" applyFont="1" applyFill="1" applyBorder="1" applyAlignment="1">
      <alignment horizontal="center" vertical="center"/>
    </xf>
    <xf numFmtId="0" fontId="1" fillId="2" borderId="39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31" fillId="2" borderId="18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49" fillId="2" borderId="1" xfId="0" applyFont="1" applyFill="1" applyBorder="1" applyAlignment="1">
      <alignment horizontal="center" vertical="center"/>
    </xf>
    <xf numFmtId="0" fontId="55" fillId="2" borderId="1" xfId="0" applyFont="1" applyFill="1" applyBorder="1" applyAlignment="1">
      <alignment horizontal="center" vertical="center"/>
    </xf>
    <xf numFmtId="0" fontId="68" fillId="2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165" fontId="42" fillId="2" borderId="1" xfId="0" applyNumberFormat="1" applyFont="1" applyFill="1" applyBorder="1" applyAlignment="1">
      <alignment horizontal="center" vertical="center"/>
    </xf>
    <xf numFmtId="0" fontId="54" fillId="2" borderId="1" xfId="0" applyFont="1" applyFill="1" applyBorder="1" applyAlignment="1">
      <alignment horizontal="center" vertical="center"/>
    </xf>
    <xf numFmtId="2" fontId="55" fillId="2" borderId="1" xfId="0" applyNumberFormat="1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69" xfId="0" applyFont="1" applyFill="1" applyBorder="1" applyAlignment="1">
      <alignment horizontal="center" vertical="center"/>
    </xf>
    <xf numFmtId="0" fontId="31" fillId="2" borderId="68" xfId="0" applyFont="1" applyFill="1" applyBorder="1" applyAlignment="1">
      <alignment horizontal="center" vertical="center"/>
    </xf>
    <xf numFmtId="0" fontId="42" fillId="2" borderId="16" xfId="0" applyFont="1" applyFill="1" applyBorder="1" applyAlignment="1">
      <alignment horizontal="center" vertical="center"/>
    </xf>
    <xf numFmtId="0" fontId="49" fillId="2" borderId="16" xfId="0" applyFont="1" applyFill="1" applyBorder="1" applyAlignment="1">
      <alignment horizontal="center" vertical="center"/>
    </xf>
    <xf numFmtId="0" fontId="55" fillId="2" borderId="16" xfId="0" applyFont="1" applyFill="1" applyBorder="1" applyAlignment="1">
      <alignment horizontal="center" vertical="center"/>
    </xf>
    <xf numFmtId="0" fontId="68" fillId="2" borderId="16" xfId="0" applyFont="1" applyFill="1" applyBorder="1" applyAlignment="1">
      <alignment horizontal="center" vertical="center"/>
    </xf>
    <xf numFmtId="165" fontId="61" fillId="2" borderId="16" xfId="0" applyNumberFormat="1" applyFont="1" applyFill="1" applyBorder="1" applyAlignment="1">
      <alignment horizontal="center" vertical="center"/>
    </xf>
    <xf numFmtId="0" fontId="61" fillId="2" borderId="16" xfId="0" applyFont="1" applyFill="1" applyBorder="1" applyAlignment="1">
      <alignment horizontal="center" vertical="center"/>
    </xf>
    <xf numFmtId="165" fontId="42" fillId="2" borderId="16" xfId="0" applyNumberFormat="1" applyFont="1" applyFill="1" applyBorder="1" applyAlignment="1">
      <alignment horizontal="center" vertical="center"/>
    </xf>
    <xf numFmtId="16" fontId="49" fillId="2" borderId="16" xfId="0" applyNumberFormat="1" applyFont="1" applyFill="1" applyBorder="1" applyAlignment="1">
      <alignment horizontal="center" vertical="center"/>
    </xf>
    <xf numFmtId="0" fontId="54" fillId="2" borderId="16" xfId="0" applyFont="1" applyFill="1" applyBorder="1" applyAlignment="1">
      <alignment horizontal="center" vertical="center"/>
    </xf>
    <xf numFmtId="0" fontId="1" fillId="3" borderId="33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0" fontId="42" fillId="3" borderId="23" xfId="0" applyFont="1" applyFill="1" applyBorder="1" applyAlignment="1">
      <alignment horizontal="center" vertical="center"/>
    </xf>
    <xf numFmtId="0" fontId="49" fillId="3" borderId="23" xfId="0" applyFont="1" applyFill="1" applyBorder="1" applyAlignment="1">
      <alignment horizontal="center" vertical="center"/>
    </xf>
    <xf numFmtId="0" fontId="55" fillId="3" borderId="23" xfId="0" applyFont="1" applyFill="1" applyBorder="1" applyAlignment="1">
      <alignment horizontal="center" vertical="center"/>
    </xf>
    <xf numFmtId="0" fontId="68" fillId="3" borderId="23" xfId="0" applyFont="1" applyFill="1" applyBorder="1" applyAlignment="1">
      <alignment horizontal="center" vertical="center"/>
    </xf>
    <xf numFmtId="0" fontId="61" fillId="3" borderId="23" xfId="0" applyFont="1" applyFill="1" applyBorder="1" applyAlignment="1">
      <alignment horizontal="center" vertical="center"/>
    </xf>
    <xf numFmtId="165" fontId="42" fillId="3" borderId="23" xfId="0" applyNumberFormat="1" applyFont="1" applyFill="1" applyBorder="1" applyAlignment="1">
      <alignment horizontal="center" vertical="center"/>
    </xf>
    <xf numFmtId="0" fontId="54" fillId="3" borderId="23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68" fillId="3" borderId="1" xfId="0" applyFont="1" applyFill="1" applyBorder="1" applyAlignment="1">
      <alignment horizontal="center" vertical="center"/>
    </xf>
    <xf numFmtId="0" fontId="61" fillId="3" borderId="1" xfId="0" applyFont="1" applyFill="1" applyBorder="1" applyAlignment="1">
      <alignment horizontal="center" vertical="center"/>
    </xf>
    <xf numFmtId="165" fontId="42" fillId="3" borderId="1" xfId="0" applyNumberFormat="1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" vertical="center"/>
    </xf>
    <xf numFmtId="1" fontId="55" fillId="3" borderId="1" xfId="0" applyNumberFormat="1" applyFont="1" applyFill="1" applyBorder="1" applyAlignment="1">
      <alignment horizontal="center" vertical="center"/>
    </xf>
    <xf numFmtId="0" fontId="1" fillId="3" borderId="43" xfId="0" applyFont="1" applyFill="1" applyBorder="1" applyAlignment="1">
      <alignment horizontal="center" vertical="center"/>
    </xf>
    <xf numFmtId="0" fontId="1" fillId="3" borderId="69" xfId="0" applyFont="1" applyFill="1" applyBorder="1" applyAlignment="1">
      <alignment horizontal="center" vertical="center"/>
    </xf>
    <xf numFmtId="0" fontId="31" fillId="3" borderId="68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49" fillId="3" borderId="16" xfId="0" applyFont="1" applyFill="1" applyBorder="1" applyAlignment="1">
      <alignment horizontal="center" vertical="center"/>
    </xf>
    <xf numFmtId="0" fontId="55" fillId="3" borderId="16" xfId="0" applyFont="1" applyFill="1" applyBorder="1" applyAlignment="1">
      <alignment horizontal="center" vertical="center"/>
    </xf>
    <xf numFmtId="0" fontId="68" fillId="3" borderId="16" xfId="0" applyFont="1" applyFill="1" applyBorder="1" applyAlignment="1">
      <alignment horizontal="center" vertical="center"/>
    </xf>
    <xf numFmtId="0" fontId="61" fillId="3" borderId="16" xfId="0" applyFont="1" applyFill="1" applyBorder="1" applyAlignment="1">
      <alignment horizontal="center" vertical="center"/>
    </xf>
    <xf numFmtId="165" fontId="42" fillId="3" borderId="16" xfId="0" applyNumberFormat="1" applyFont="1" applyFill="1" applyBorder="1" applyAlignment="1">
      <alignment horizontal="center" vertical="center"/>
    </xf>
    <xf numFmtId="0" fontId="54" fillId="3" borderId="16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1" fillId="9" borderId="35" xfId="0" applyFont="1" applyFill="1" applyBorder="1" applyAlignment="1">
      <alignment horizontal="center" vertical="center"/>
    </xf>
    <xf numFmtId="0" fontId="1" fillId="9" borderId="36" xfId="0" applyFont="1" applyFill="1" applyBorder="1" applyAlignment="1">
      <alignment horizontal="center" vertical="center"/>
    </xf>
    <xf numFmtId="0" fontId="42" fillId="9" borderId="23" xfId="0" applyFont="1" applyFill="1" applyBorder="1" applyAlignment="1">
      <alignment horizontal="center" vertical="center"/>
    </xf>
    <xf numFmtId="0" fontId="49" fillId="9" borderId="23" xfId="0" applyFont="1" applyFill="1" applyBorder="1" applyAlignment="1">
      <alignment horizontal="center" vertical="center"/>
    </xf>
    <xf numFmtId="0" fontId="55" fillId="9" borderId="23" xfId="0" applyFont="1" applyFill="1" applyBorder="1" applyAlignment="1">
      <alignment horizontal="center" vertical="center"/>
    </xf>
    <xf numFmtId="0" fontId="68" fillId="9" borderId="23" xfId="0" applyFont="1" applyFill="1" applyBorder="1" applyAlignment="1">
      <alignment horizontal="center" vertical="center"/>
    </xf>
    <xf numFmtId="0" fontId="61" fillId="9" borderId="23" xfId="0" applyFont="1" applyFill="1" applyBorder="1" applyAlignment="1">
      <alignment horizontal="center" vertical="center"/>
    </xf>
    <xf numFmtId="165" fontId="42" fillId="9" borderId="23" xfId="0" applyNumberFormat="1" applyFont="1" applyFill="1" applyBorder="1" applyAlignment="1">
      <alignment horizontal="center" vertical="center"/>
    </xf>
    <xf numFmtId="0" fontId="54" fillId="9" borderId="23" xfId="0" applyFont="1" applyFill="1" applyBorder="1" applyAlignment="1">
      <alignment horizontal="center" vertical="center"/>
    </xf>
    <xf numFmtId="0" fontId="1" fillId="9" borderId="39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0" fontId="42" fillId="9" borderId="1" xfId="0" applyFont="1" applyFill="1" applyBorder="1" applyAlignment="1">
      <alignment horizontal="center" vertical="center"/>
    </xf>
    <xf numFmtId="0" fontId="49" fillId="9" borderId="1" xfId="0" applyFont="1" applyFill="1" applyBorder="1" applyAlignment="1">
      <alignment horizontal="center" vertical="center"/>
    </xf>
    <xf numFmtId="0" fontId="55" fillId="9" borderId="1" xfId="0" applyFont="1" applyFill="1" applyBorder="1" applyAlignment="1">
      <alignment horizontal="center" vertical="center"/>
    </xf>
    <xf numFmtId="0" fontId="68" fillId="9" borderId="1" xfId="0" applyFont="1" applyFill="1" applyBorder="1" applyAlignment="1">
      <alignment horizontal="center" vertical="center"/>
    </xf>
    <xf numFmtId="0" fontId="61" fillId="9" borderId="1" xfId="0" applyFont="1" applyFill="1" applyBorder="1" applyAlignment="1">
      <alignment horizontal="center" vertical="center"/>
    </xf>
    <xf numFmtId="165" fontId="42" fillId="9" borderId="1" xfId="0" applyNumberFormat="1" applyFont="1" applyFill="1" applyBorder="1" applyAlignment="1">
      <alignment horizontal="center" vertical="center"/>
    </xf>
    <xf numFmtId="0" fontId="54" fillId="9" borderId="1" xfId="0" applyFont="1" applyFill="1" applyBorder="1" applyAlignment="1">
      <alignment horizontal="center" vertical="center"/>
    </xf>
    <xf numFmtId="0" fontId="1" fillId="9" borderId="43" xfId="0" applyFont="1" applyFill="1" applyBorder="1" applyAlignment="1">
      <alignment horizontal="center" vertical="center"/>
    </xf>
    <xf numFmtId="0" fontId="1" fillId="9" borderId="69" xfId="0" applyFont="1" applyFill="1" applyBorder="1" applyAlignment="1">
      <alignment horizontal="center" vertical="center"/>
    </xf>
    <xf numFmtId="0" fontId="1" fillId="9" borderId="68" xfId="0" applyFont="1" applyFill="1" applyBorder="1" applyAlignment="1">
      <alignment horizontal="center" vertical="center"/>
    </xf>
    <xf numFmtId="0" fontId="42" fillId="9" borderId="16" xfId="0" applyFont="1" applyFill="1" applyBorder="1" applyAlignment="1">
      <alignment horizontal="center" vertical="center"/>
    </xf>
    <xf numFmtId="0" fontId="49" fillId="9" borderId="16" xfId="0" applyFont="1" applyFill="1" applyBorder="1" applyAlignment="1">
      <alignment horizontal="center" vertical="center"/>
    </xf>
    <xf numFmtId="0" fontId="55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/>
    </xf>
    <xf numFmtId="0" fontId="61" fillId="9" borderId="16" xfId="0" applyFont="1" applyFill="1" applyBorder="1" applyAlignment="1">
      <alignment horizontal="center" vertical="center"/>
    </xf>
    <xf numFmtId="165" fontId="42" fillId="9" borderId="16" xfId="0" applyNumberFormat="1" applyFont="1" applyFill="1" applyBorder="1" applyAlignment="1">
      <alignment horizontal="center" vertical="center"/>
    </xf>
    <xf numFmtId="0" fontId="54" fillId="9" borderId="16" xfId="0" applyFont="1" applyFill="1" applyBorder="1" applyAlignment="1">
      <alignment horizontal="center" vertical="center"/>
    </xf>
    <xf numFmtId="0" fontId="1" fillId="10" borderId="64" xfId="0" applyFont="1" applyFill="1" applyBorder="1" applyAlignment="1">
      <alignment horizontal="center" vertical="center"/>
    </xf>
    <xf numFmtId="0" fontId="1" fillId="10" borderId="20" xfId="0" applyFont="1" applyFill="1" applyBorder="1" applyAlignment="1">
      <alignment horizontal="center" vertical="center"/>
    </xf>
    <xf numFmtId="0" fontId="1" fillId="10" borderId="36" xfId="0" applyFont="1" applyFill="1" applyBorder="1" applyAlignment="1">
      <alignment horizontal="center" vertical="center"/>
    </xf>
    <xf numFmtId="0" fontId="42" fillId="10" borderId="23" xfId="0" applyFont="1" applyFill="1" applyBorder="1" applyAlignment="1">
      <alignment horizontal="center" vertical="center"/>
    </xf>
    <xf numFmtId="0" fontId="49" fillId="10" borderId="23" xfId="0" applyFont="1" applyFill="1" applyBorder="1" applyAlignment="1">
      <alignment horizontal="center" vertical="center"/>
    </xf>
    <xf numFmtId="0" fontId="55" fillId="10" borderId="23" xfId="0" applyFont="1" applyFill="1" applyBorder="1" applyAlignment="1">
      <alignment horizontal="center" vertical="center"/>
    </xf>
    <xf numFmtId="0" fontId="68" fillId="10" borderId="23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165" fontId="42" fillId="10" borderId="23" xfId="0" applyNumberFormat="1" applyFont="1" applyFill="1" applyBorder="1" applyAlignment="1">
      <alignment horizontal="center" vertical="center"/>
    </xf>
    <xf numFmtId="0" fontId="54" fillId="10" borderId="23" xfId="0" applyFont="1" applyFill="1" applyBorder="1" applyAlignment="1">
      <alignment horizontal="center" vertical="center"/>
    </xf>
    <xf numFmtId="0" fontId="1" fillId="10" borderId="39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65" xfId="0" applyFont="1" applyFill="1" applyBorder="1" applyAlignment="1">
      <alignment horizontal="center" vertical="center"/>
    </xf>
    <xf numFmtId="0" fontId="42" fillId="10" borderId="1" xfId="0" applyFont="1" applyFill="1" applyBorder="1" applyAlignment="1">
      <alignment horizontal="center" vertical="center"/>
    </xf>
    <xf numFmtId="0" fontId="49" fillId="10" borderId="1" xfId="0" applyFont="1" applyFill="1" applyBorder="1" applyAlignment="1">
      <alignment horizontal="center" vertical="center"/>
    </xf>
    <xf numFmtId="0" fontId="55" fillId="10" borderId="1" xfId="0" applyFont="1" applyFill="1" applyBorder="1" applyAlignment="1">
      <alignment horizontal="center" vertical="center"/>
    </xf>
    <xf numFmtId="0" fontId="68" fillId="10" borderId="1" xfId="0" applyFont="1" applyFill="1" applyBorder="1" applyAlignment="1">
      <alignment horizontal="center" vertical="center"/>
    </xf>
    <xf numFmtId="0" fontId="61" fillId="10" borderId="1" xfId="0" applyFont="1" applyFill="1" applyBorder="1" applyAlignment="1">
      <alignment horizontal="center" vertical="center"/>
    </xf>
    <xf numFmtId="165" fontId="42" fillId="10" borderId="1" xfId="0" applyNumberFormat="1" applyFont="1" applyFill="1" applyBorder="1" applyAlignment="1">
      <alignment horizontal="center" vertical="center"/>
    </xf>
    <xf numFmtId="0" fontId="54" fillId="10" borderId="1" xfId="0" applyFont="1" applyFill="1" applyBorder="1" applyAlignment="1">
      <alignment horizontal="center" vertical="center"/>
    </xf>
    <xf numFmtId="0" fontId="1" fillId="10" borderId="62" xfId="0" applyFont="1" applyFill="1" applyBorder="1" applyAlignment="1">
      <alignment horizontal="center" vertical="center"/>
    </xf>
    <xf numFmtId="0" fontId="1" fillId="10" borderId="17" xfId="0" applyFont="1" applyFill="1" applyBorder="1" applyAlignment="1">
      <alignment horizontal="center" vertical="center"/>
    </xf>
    <xf numFmtId="0" fontId="1" fillId="10" borderId="27" xfId="0" applyFont="1" applyFill="1" applyBorder="1" applyAlignment="1">
      <alignment horizontal="center" vertical="center"/>
    </xf>
    <xf numFmtId="0" fontId="42" fillId="10" borderId="16" xfId="0" applyFont="1" applyFill="1" applyBorder="1" applyAlignment="1">
      <alignment horizontal="center" vertical="center"/>
    </xf>
    <xf numFmtId="0" fontId="49" fillId="10" borderId="16" xfId="0" applyFont="1" applyFill="1" applyBorder="1" applyAlignment="1">
      <alignment horizontal="center" vertical="center"/>
    </xf>
    <xf numFmtId="0" fontId="55" fillId="10" borderId="16" xfId="0" applyFont="1" applyFill="1" applyBorder="1" applyAlignment="1">
      <alignment horizontal="center" vertical="center"/>
    </xf>
    <xf numFmtId="0" fontId="68" fillId="10" borderId="16" xfId="0" applyFont="1" applyFill="1" applyBorder="1" applyAlignment="1">
      <alignment horizontal="center" vertical="center"/>
    </xf>
    <xf numFmtId="0" fontId="61" fillId="10" borderId="16" xfId="0" applyFont="1" applyFill="1" applyBorder="1" applyAlignment="1">
      <alignment horizontal="center" vertical="center"/>
    </xf>
    <xf numFmtId="1" fontId="42" fillId="10" borderId="16" xfId="0" applyNumberFormat="1" applyFont="1" applyFill="1" applyBorder="1" applyAlignment="1">
      <alignment horizontal="center" vertical="center"/>
    </xf>
    <xf numFmtId="0" fontId="54" fillId="10" borderId="16" xfId="0" applyFont="1" applyFill="1" applyBorder="1" applyAlignment="1">
      <alignment horizontal="center" vertical="center"/>
    </xf>
    <xf numFmtId="0" fontId="1" fillId="2" borderId="64" xfId="0" applyFont="1" applyFill="1" applyBorder="1" applyAlignment="1">
      <alignment horizontal="center" vertical="center"/>
    </xf>
    <xf numFmtId="0" fontId="31" fillId="2" borderId="65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42" fillId="2" borderId="23" xfId="0" applyFont="1" applyFill="1" applyBorder="1" applyAlignment="1">
      <alignment horizontal="center" vertical="center"/>
    </xf>
    <xf numFmtId="0" fontId="49" fillId="2" borderId="23" xfId="0" applyFont="1" applyFill="1" applyBorder="1" applyAlignment="1">
      <alignment horizontal="center" vertical="center"/>
    </xf>
    <xf numFmtId="0" fontId="55" fillId="2" borderId="23" xfId="0" applyFont="1" applyFill="1" applyBorder="1" applyAlignment="1">
      <alignment horizontal="center" vertical="center"/>
    </xf>
    <xf numFmtId="0" fontId="68" fillId="2" borderId="23" xfId="0" applyFont="1" applyFill="1" applyBorder="1" applyAlignment="1">
      <alignment horizontal="center" vertical="center"/>
    </xf>
    <xf numFmtId="0" fontId="61" fillId="2" borderId="23" xfId="0" applyFont="1" applyFill="1" applyBorder="1" applyAlignment="1">
      <alignment horizontal="center" vertical="center"/>
    </xf>
    <xf numFmtId="165" fontId="42" fillId="2" borderId="23" xfId="0" applyNumberFormat="1" applyFont="1" applyFill="1" applyBorder="1" applyAlignment="1">
      <alignment horizontal="center" vertical="center"/>
    </xf>
    <xf numFmtId="165" fontId="55" fillId="2" borderId="23" xfId="0" applyNumberFormat="1" applyFont="1" applyFill="1" applyBorder="1" applyAlignment="1">
      <alignment horizontal="center" vertical="center"/>
    </xf>
    <xf numFmtId="0" fontId="54" fillId="2" borderId="23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1" fontId="42" fillId="2" borderId="1" xfId="0" applyNumberFormat="1" applyFont="1" applyFill="1" applyBorder="1" applyAlignment="1">
      <alignment horizontal="center" vertical="center"/>
    </xf>
    <xf numFmtId="0" fontId="24" fillId="2" borderId="14" xfId="0" applyFont="1" applyFill="1" applyBorder="1" applyAlignment="1">
      <alignment horizontal="center" vertical="center"/>
    </xf>
    <xf numFmtId="16" fontId="49" fillId="2" borderId="1" xfId="0" applyNumberFormat="1" applyFont="1" applyFill="1" applyBorder="1" applyAlignment="1">
      <alignment horizontal="center" vertical="center"/>
    </xf>
    <xf numFmtId="165" fontId="61" fillId="2" borderId="1" xfId="0" applyNumberFormat="1" applyFont="1" applyFill="1" applyBorder="1" applyAlignment="1">
      <alignment horizontal="center" vertical="center"/>
    </xf>
    <xf numFmtId="0" fontId="52" fillId="2" borderId="1" xfId="0" applyFont="1" applyFill="1" applyBorder="1" applyAlignment="1">
      <alignment horizontal="center" vertical="center"/>
    </xf>
    <xf numFmtId="1" fontId="59" fillId="2" borderId="1" xfId="0" applyNumberFormat="1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24" fillId="10" borderId="0" xfId="0" applyFont="1" applyFill="1" applyBorder="1" applyAlignment="1">
      <alignment horizontal="center" vertical="center"/>
    </xf>
    <xf numFmtId="2" fontId="55" fillId="10" borderId="1" xfId="0" applyNumberFormat="1" applyFont="1" applyFill="1" applyBorder="1" applyAlignment="1">
      <alignment horizontal="center" vertical="center"/>
    </xf>
    <xf numFmtId="0" fontId="52" fillId="10" borderId="1" xfId="0" applyFont="1" applyFill="1" applyBorder="1" applyAlignment="1">
      <alignment horizontal="center" vertical="center"/>
    </xf>
    <xf numFmtId="1" fontId="42" fillId="10" borderId="1" xfId="0" applyNumberFormat="1" applyFont="1" applyFill="1" applyBorder="1" applyAlignment="1">
      <alignment horizontal="center" vertical="center"/>
    </xf>
    <xf numFmtId="0" fontId="24" fillId="9" borderId="0" xfId="0" applyFont="1" applyFill="1" applyBorder="1" applyAlignment="1">
      <alignment horizontal="center" vertical="center"/>
    </xf>
    <xf numFmtId="1" fontId="42" fillId="9" borderId="1" xfId="0" applyNumberFormat="1" applyFont="1" applyFill="1" applyBorder="1" applyAlignment="1">
      <alignment horizontal="center" vertical="center"/>
    </xf>
    <xf numFmtId="0" fontId="24" fillId="9" borderId="14" xfId="0" applyFont="1" applyFill="1" applyBorder="1" applyAlignment="1">
      <alignment horizontal="center" vertical="center"/>
    </xf>
    <xf numFmtId="1" fontId="55" fillId="9" borderId="1" xfId="0" applyNumberFormat="1" applyFont="1" applyFill="1" applyBorder="1" applyAlignment="1">
      <alignment horizontal="center" vertical="center"/>
    </xf>
    <xf numFmtId="0" fontId="52" fillId="9" borderId="1" xfId="0" applyFont="1" applyFill="1" applyBorder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24" fillId="2" borderId="65" xfId="0" applyFont="1" applyFill="1" applyBorder="1" applyAlignment="1">
      <alignment horizontal="center" vertical="center"/>
    </xf>
    <xf numFmtId="0" fontId="24" fillId="2" borderId="47" xfId="0" applyFont="1" applyFill="1" applyBorder="1" applyAlignment="1">
      <alignment horizontal="center" vertical="center"/>
    </xf>
    <xf numFmtId="0" fontId="24" fillId="3" borderId="0" xfId="0" applyFont="1" applyFill="1" applyBorder="1" applyAlignment="1">
      <alignment horizontal="center" vertical="center"/>
    </xf>
    <xf numFmtId="2" fontId="55" fillId="3" borderId="1" xfId="0" applyNumberFormat="1" applyFont="1" applyFill="1" applyBorder="1" applyAlignment="1">
      <alignment horizontal="center" vertical="center"/>
    </xf>
    <xf numFmtId="0" fontId="24" fillId="3" borderId="14" xfId="0" applyFont="1" applyFill="1" applyBorder="1" applyAlignment="1">
      <alignment horizontal="center" vertical="center"/>
    </xf>
    <xf numFmtId="16" fontId="49" fillId="3" borderId="1" xfId="0" applyNumberFormat="1" applyFont="1" applyFill="1" applyBorder="1" applyAlignment="1">
      <alignment horizontal="center" vertical="center"/>
    </xf>
    <xf numFmtId="0" fontId="24" fillId="3" borderId="32" xfId="0" applyFont="1" applyFill="1" applyBorder="1" applyAlignment="1">
      <alignment horizontal="center" vertical="center"/>
    </xf>
    <xf numFmtId="1" fontId="42" fillId="3" borderId="1" xfId="0" applyNumberFormat="1" applyFont="1" applyFill="1" applyBorder="1" applyAlignment="1">
      <alignment horizontal="center" vertical="center"/>
    </xf>
    <xf numFmtId="165" fontId="55" fillId="3" borderId="1" xfId="0" applyNumberFormat="1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0" fontId="41" fillId="3" borderId="1" xfId="0" applyFont="1" applyFill="1" applyBorder="1" applyAlignment="1">
      <alignment horizontal="center" vertical="center"/>
    </xf>
    <xf numFmtId="0" fontId="55" fillId="3" borderId="1" xfId="0" applyNumberFormat="1" applyFont="1" applyFill="1" applyBorder="1" applyAlignment="1">
      <alignment horizontal="center" vertical="center"/>
    </xf>
    <xf numFmtId="165" fontId="61" fillId="3" borderId="1" xfId="0" applyNumberFormat="1" applyFont="1" applyFill="1" applyBorder="1" applyAlignment="1">
      <alignment horizontal="center" vertical="center"/>
    </xf>
    <xf numFmtId="2" fontId="55" fillId="9" borderId="1" xfId="0" applyNumberFormat="1" applyFont="1" applyFill="1" applyBorder="1" applyAlignment="1">
      <alignment horizontal="center" vertical="center"/>
    </xf>
    <xf numFmtId="0" fontId="24" fillId="9" borderId="32" xfId="0" applyFont="1" applyFill="1" applyBorder="1" applyAlignment="1">
      <alignment horizontal="center" vertical="center"/>
    </xf>
    <xf numFmtId="0" fontId="1" fillId="9" borderId="62" xfId="0" applyFont="1" applyFill="1" applyBorder="1" applyAlignment="1">
      <alignment horizontal="center" vertical="center"/>
    </xf>
    <xf numFmtId="0" fontId="1" fillId="9" borderId="47" xfId="0" applyFont="1" applyFill="1" applyBorder="1" applyAlignment="1">
      <alignment horizontal="center" vertical="center"/>
    </xf>
    <xf numFmtId="2" fontId="55" fillId="9" borderId="16" xfId="0" applyNumberFormat="1" applyFont="1" applyFill="1" applyBorder="1" applyAlignment="1">
      <alignment horizontal="center" vertical="center"/>
    </xf>
    <xf numFmtId="0" fontId="1" fillId="9" borderId="64" xfId="0" applyFont="1" applyFill="1" applyBorder="1" applyAlignment="1">
      <alignment horizontal="center" vertical="center"/>
    </xf>
    <xf numFmtId="0" fontId="1" fillId="9" borderId="65" xfId="0" applyFont="1" applyFill="1" applyBorder="1" applyAlignment="1">
      <alignment horizontal="center" vertical="center"/>
    </xf>
    <xf numFmtId="2" fontId="55" fillId="9" borderId="23" xfId="0" applyNumberFormat="1" applyFont="1" applyFill="1" applyBorder="1" applyAlignment="1">
      <alignment horizontal="center" vertical="center"/>
    </xf>
    <xf numFmtId="0" fontId="24" fillId="9" borderId="9" xfId="0" applyFont="1" applyFill="1" applyBorder="1" applyAlignment="1">
      <alignment horizontal="center" vertical="center"/>
    </xf>
    <xf numFmtId="0" fontId="42" fillId="9" borderId="66" xfId="0" applyFont="1" applyFill="1" applyBorder="1" applyAlignment="1">
      <alignment horizontal="center" vertical="center"/>
    </xf>
    <xf numFmtId="0" fontId="49" fillId="9" borderId="66" xfId="0" applyFont="1" applyFill="1" applyBorder="1" applyAlignment="1">
      <alignment horizontal="center" vertical="center"/>
    </xf>
    <xf numFmtId="0" fontId="55" fillId="9" borderId="66" xfId="0" applyFont="1" applyFill="1" applyBorder="1" applyAlignment="1">
      <alignment horizontal="center" vertical="center"/>
    </xf>
    <xf numFmtId="0" fontId="68" fillId="9" borderId="66" xfId="0" applyFont="1" applyFill="1" applyBorder="1" applyAlignment="1">
      <alignment horizontal="center" vertical="center"/>
    </xf>
    <xf numFmtId="0" fontId="61" fillId="9" borderId="66" xfId="0" applyFont="1" applyFill="1" applyBorder="1" applyAlignment="1">
      <alignment horizontal="center" vertical="center"/>
    </xf>
    <xf numFmtId="165" fontId="42" fillId="9" borderId="66" xfId="0" applyNumberFormat="1" applyFont="1" applyFill="1" applyBorder="1" applyAlignment="1">
      <alignment horizontal="center" vertical="center"/>
    </xf>
    <xf numFmtId="2" fontId="55" fillId="9" borderId="66" xfId="0" applyNumberFormat="1" applyFont="1" applyFill="1" applyBorder="1" applyAlignment="1">
      <alignment horizontal="center" vertical="center"/>
    </xf>
    <xf numFmtId="0" fontId="54" fillId="9" borderId="66" xfId="0" applyFont="1" applyFill="1" applyBorder="1" applyAlignment="1">
      <alignment horizontal="center" vertical="center"/>
    </xf>
    <xf numFmtId="0" fontId="42" fillId="9" borderId="42" xfId="0" applyFont="1" applyFill="1" applyBorder="1" applyAlignment="1">
      <alignment horizontal="center" vertical="center"/>
    </xf>
    <xf numFmtId="0" fontId="49" fillId="9" borderId="42" xfId="0" applyFont="1" applyFill="1" applyBorder="1" applyAlignment="1">
      <alignment horizontal="center" vertical="center"/>
    </xf>
    <xf numFmtId="0" fontId="55" fillId="9" borderId="42" xfId="0" applyFont="1" applyFill="1" applyBorder="1" applyAlignment="1">
      <alignment horizontal="center" vertical="center"/>
    </xf>
    <xf numFmtId="0" fontId="68" fillId="9" borderId="42" xfId="0" applyFont="1" applyFill="1" applyBorder="1" applyAlignment="1">
      <alignment horizontal="center" vertical="center"/>
    </xf>
    <xf numFmtId="0" fontId="61" fillId="9" borderId="42" xfId="0" applyFont="1" applyFill="1" applyBorder="1" applyAlignment="1">
      <alignment horizontal="center" vertical="center"/>
    </xf>
    <xf numFmtId="165" fontId="42" fillId="9" borderId="42" xfId="0" applyNumberFormat="1" applyFont="1" applyFill="1" applyBorder="1" applyAlignment="1">
      <alignment horizontal="center" vertical="center"/>
    </xf>
    <xf numFmtId="2" fontId="55" fillId="9" borderId="42" xfId="0" applyNumberFormat="1" applyFont="1" applyFill="1" applyBorder="1" applyAlignment="1">
      <alignment horizontal="center" vertical="center"/>
    </xf>
    <xf numFmtId="0" fontId="54" fillId="9" borderId="42" xfId="0" applyFont="1" applyFill="1" applyBorder="1" applyAlignment="1">
      <alignment horizontal="center" vertical="center"/>
    </xf>
    <xf numFmtId="0" fontId="42" fillId="5" borderId="29" xfId="0" applyFont="1" applyFill="1" applyBorder="1" applyAlignment="1">
      <alignment horizontal="center" vertical="center"/>
    </xf>
    <xf numFmtId="0" fontId="49" fillId="5" borderId="29" xfId="0" applyFont="1" applyFill="1" applyBorder="1" applyAlignment="1">
      <alignment horizontal="center" vertical="center"/>
    </xf>
    <xf numFmtId="0" fontId="55" fillId="5" borderId="29" xfId="0" applyFont="1" applyFill="1" applyBorder="1" applyAlignment="1">
      <alignment horizontal="center" vertical="center"/>
    </xf>
    <xf numFmtId="0" fontId="68" fillId="5" borderId="29" xfId="0" applyFont="1" applyFill="1" applyBorder="1" applyAlignment="1">
      <alignment horizontal="center" vertical="center"/>
    </xf>
    <xf numFmtId="0" fontId="61" fillId="5" borderId="29" xfId="0" applyFont="1" applyFill="1" applyBorder="1" applyAlignment="1">
      <alignment horizontal="center" vertical="center"/>
    </xf>
    <xf numFmtId="0" fontId="1" fillId="3" borderId="62" xfId="0" applyFont="1" applyFill="1" applyBorder="1" applyAlignment="1">
      <alignment horizontal="center" vertical="center"/>
    </xf>
    <xf numFmtId="0" fontId="1" fillId="3" borderId="47" xfId="0" applyFont="1" applyFill="1" applyBorder="1" applyAlignment="1">
      <alignment horizontal="center" vertical="center"/>
    </xf>
    <xf numFmtId="2" fontId="55" fillId="3" borderId="16" xfId="0" applyNumberFormat="1" applyFont="1" applyFill="1" applyBorder="1" applyAlignment="1">
      <alignment horizontal="center" vertical="center"/>
    </xf>
    <xf numFmtId="0" fontId="1" fillId="3" borderId="64" xfId="0" applyFont="1" applyFill="1" applyBorder="1" applyAlignment="1">
      <alignment horizontal="center" vertical="center"/>
    </xf>
    <xf numFmtId="0" fontId="1" fillId="3" borderId="65" xfId="0" applyFont="1" applyFill="1" applyBorder="1" applyAlignment="1">
      <alignment horizontal="center" vertical="center"/>
    </xf>
    <xf numFmtId="2" fontId="55" fillId="3" borderId="23" xfId="0" applyNumberFormat="1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42" fillId="3" borderId="66" xfId="0" applyFont="1" applyFill="1" applyBorder="1" applyAlignment="1">
      <alignment horizontal="center" vertical="center"/>
    </xf>
    <xf numFmtId="0" fontId="49" fillId="3" borderId="66" xfId="0" applyFont="1" applyFill="1" applyBorder="1" applyAlignment="1">
      <alignment horizontal="center" vertical="center"/>
    </xf>
    <xf numFmtId="0" fontId="55" fillId="3" borderId="66" xfId="0" applyFont="1" applyFill="1" applyBorder="1" applyAlignment="1">
      <alignment horizontal="center" vertical="center"/>
    </xf>
    <xf numFmtId="0" fontId="68" fillId="3" borderId="66" xfId="0" applyFont="1" applyFill="1" applyBorder="1" applyAlignment="1">
      <alignment horizontal="center" vertical="center"/>
    </xf>
    <xf numFmtId="0" fontId="61" fillId="3" borderId="66" xfId="0" applyFont="1" applyFill="1" applyBorder="1" applyAlignment="1">
      <alignment horizontal="center" vertical="center"/>
    </xf>
    <xf numFmtId="165" fontId="42" fillId="3" borderId="66" xfId="0" applyNumberFormat="1" applyFont="1" applyFill="1" applyBorder="1" applyAlignment="1">
      <alignment horizontal="center" vertical="center"/>
    </xf>
    <xf numFmtId="2" fontId="55" fillId="3" borderId="66" xfId="0" applyNumberFormat="1" applyFont="1" applyFill="1" applyBorder="1" applyAlignment="1">
      <alignment horizontal="center" vertical="center"/>
    </xf>
    <xf numFmtId="0" fontId="54" fillId="3" borderId="66" xfId="0" applyFont="1" applyFill="1" applyBorder="1" applyAlignment="1">
      <alignment horizontal="center" vertical="center"/>
    </xf>
    <xf numFmtId="0" fontId="1" fillId="3" borderId="68" xfId="0" applyFont="1" applyFill="1" applyBorder="1" applyAlignment="1">
      <alignment horizontal="center" vertical="center"/>
    </xf>
    <xf numFmtId="0" fontId="24" fillId="3" borderId="7" xfId="0" applyFont="1" applyFill="1" applyBorder="1" applyAlignment="1">
      <alignment horizontal="center" vertical="center"/>
    </xf>
    <xf numFmtId="0" fontId="42" fillId="3" borderId="42" xfId="0" applyFont="1" applyFill="1" applyBorder="1" applyAlignment="1">
      <alignment horizontal="center" vertical="center"/>
    </xf>
    <xf numFmtId="0" fontId="49" fillId="3" borderId="42" xfId="0" applyFont="1" applyFill="1" applyBorder="1" applyAlignment="1">
      <alignment horizontal="center" vertical="center"/>
    </xf>
    <xf numFmtId="0" fontId="55" fillId="3" borderId="42" xfId="0" applyFont="1" applyFill="1" applyBorder="1" applyAlignment="1">
      <alignment horizontal="center" vertical="center"/>
    </xf>
    <xf numFmtId="0" fontId="68" fillId="3" borderId="42" xfId="0" applyFont="1" applyFill="1" applyBorder="1" applyAlignment="1">
      <alignment horizontal="center" vertical="center"/>
    </xf>
    <xf numFmtId="0" fontId="61" fillId="3" borderId="42" xfId="0" applyFont="1" applyFill="1" applyBorder="1" applyAlignment="1">
      <alignment horizontal="center" vertical="center"/>
    </xf>
    <xf numFmtId="165" fontId="42" fillId="3" borderId="42" xfId="0" applyNumberFormat="1" applyFont="1" applyFill="1" applyBorder="1" applyAlignment="1">
      <alignment horizontal="center" vertical="center"/>
    </xf>
    <xf numFmtId="2" fontId="55" fillId="3" borderId="42" xfId="0" applyNumberFormat="1" applyFont="1" applyFill="1" applyBorder="1" applyAlignment="1">
      <alignment horizontal="center" vertical="center"/>
    </xf>
    <xf numFmtId="0" fontId="54" fillId="3" borderId="42" xfId="0" applyFont="1" applyFill="1" applyBorder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0" fontId="1" fillId="2" borderId="62" xfId="0" applyFont="1" applyFill="1" applyBorder="1" applyAlignment="1">
      <alignment horizontal="center" vertical="center"/>
    </xf>
    <xf numFmtId="0" fontId="1" fillId="2" borderId="47" xfId="0" applyFont="1" applyFill="1" applyBorder="1" applyAlignment="1">
      <alignment horizontal="center" vertical="center"/>
    </xf>
    <xf numFmtId="0" fontId="1" fillId="2" borderId="65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" fillId="2" borderId="36" xfId="0" applyFont="1" applyFill="1" applyBorder="1" applyAlignment="1">
      <alignment horizontal="center" vertical="center"/>
    </xf>
    <xf numFmtId="0" fontId="24" fillId="2" borderId="10" xfId="0" applyFont="1" applyFill="1" applyBorder="1" applyAlignment="1">
      <alignment horizontal="center" vertical="center"/>
    </xf>
    <xf numFmtId="0" fontId="1" fillId="2" borderId="68" xfId="0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 vertical="center"/>
    </xf>
    <xf numFmtId="0" fontId="42" fillId="2" borderId="42" xfId="0" applyFont="1" applyFill="1" applyBorder="1" applyAlignment="1">
      <alignment horizontal="center" vertical="center"/>
    </xf>
    <xf numFmtId="0" fontId="49" fillId="2" borderId="42" xfId="0" applyFont="1" applyFill="1" applyBorder="1" applyAlignment="1">
      <alignment horizontal="center" vertical="center"/>
    </xf>
    <xf numFmtId="0" fontId="55" fillId="2" borderId="42" xfId="0" applyFont="1" applyFill="1" applyBorder="1" applyAlignment="1">
      <alignment horizontal="center" vertical="center"/>
    </xf>
    <xf numFmtId="0" fontId="68" fillId="2" borderId="42" xfId="0" applyFont="1" applyFill="1" applyBorder="1" applyAlignment="1">
      <alignment horizontal="center" vertical="center"/>
    </xf>
    <xf numFmtId="0" fontId="61" fillId="2" borderId="42" xfId="0" applyFont="1" applyFill="1" applyBorder="1" applyAlignment="1">
      <alignment horizontal="center" vertical="center"/>
    </xf>
    <xf numFmtId="165" fontId="42" fillId="2" borderId="42" xfId="0" applyNumberFormat="1" applyFont="1" applyFill="1" applyBorder="1" applyAlignment="1">
      <alignment horizontal="center" vertical="center"/>
    </xf>
    <xf numFmtId="0" fontId="54" fillId="2" borderId="42" xfId="0" applyFont="1" applyFill="1" applyBorder="1" applyAlignment="1">
      <alignment horizontal="center" vertical="center"/>
    </xf>
    <xf numFmtId="0" fontId="52" fillId="9" borderId="16" xfId="0" applyFont="1" applyFill="1" applyBorder="1" applyAlignment="1">
      <alignment horizontal="center" vertical="center"/>
    </xf>
    <xf numFmtId="0" fontId="52" fillId="9" borderId="23" xfId="0" applyFont="1" applyFill="1" applyBorder="1" applyAlignment="1">
      <alignment horizontal="center" vertical="center"/>
    </xf>
    <xf numFmtId="0" fontId="24" fillId="9" borderId="10" xfId="0" applyFont="1" applyFill="1" applyBorder="1" applyAlignment="1">
      <alignment horizontal="center" vertical="center"/>
    </xf>
    <xf numFmtId="0" fontId="52" fillId="9" borderId="66" xfId="0" applyFont="1" applyFill="1" applyBorder="1" applyAlignment="1">
      <alignment horizontal="center" vertical="center"/>
    </xf>
    <xf numFmtId="0" fontId="24" fillId="9" borderId="7" xfId="0" applyFont="1" applyFill="1" applyBorder="1" applyAlignment="1">
      <alignment horizontal="center" vertical="center"/>
    </xf>
    <xf numFmtId="0" fontId="52" fillId="9" borderId="42" xfId="0" applyFont="1" applyFill="1" applyBorder="1" applyAlignment="1">
      <alignment horizontal="center" vertical="center"/>
    </xf>
    <xf numFmtId="1" fontId="55" fillId="3" borderId="23" xfId="0" applyNumberFormat="1" applyFont="1" applyFill="1" applyBorder="1" applyAlignment="1">
      <alignment horizontal="center" vertical="center"/>
    </xf>
    <xf numFmtId="1" fontId="55" fillId="3" borderId="66" xfId="0" applyNumberFormat="1" applyFont="1" applyFill="1" applyBorder="1" applyAlignment="1">
      <alignment horizontal="center" vertical="center"/>
    </xf>
    <xf numFmtId="1" fontId="55" fillId="3" borderId="42" xfId="0" applyNumberFormat="1" applyFont="1" applyFill="1" applyBorder="1" applyAlignment="1">
      <alignment horizontal="center" vertical="center"/>
    </xf>
    <xf numFmtId="0" fontId="70" fillId="3" borderId="66" xfId="0" applyFont="1" applyFill="1" applyBorder="1" applyAlignment="1">
      <alignment horizontal="center" vertical="center"/>
    </xf>
    <xf numFmtId="2" fontId="55" fillId="2" borderId="16" xfId="0" applyNumberFormat="1" applyFont="1" applyFill="1" applyBorder="1" applyAlignment="1">
      <alignment horizontal="center" vertical="center"/>
    </xf>
    <xf numFmtId="16" fontId="49" fillId="2" borderId="23" xfId="0" applyNumberFormat="1" applyFont="1" applyFill="1" applyBorder="1" applyAlignment="1">
      <alignment horizontal="center" vertical="center"/>
    </xf>
    <xf numFmtId="2" fontId="55" fillId="2" borderId="23" xfId="0" applyNumberFormat="1" applyFont="1" applyFill="1" applyBorder="1" applyAlignment="1">
      <alignment horizontal="center" vertical="center"/>
    </xf>
    <xf numFmtId="16" fontId="49" fillId="2" borderId="66" xfId="0" applyNumberFormat="1" applyFont="1" applyFill="1" applyBorder="1" applyAlignment="1">
      <alignment horizontal="center" vertical="center"/>
    </xf>
    <xf numFmtId="2" fontId="55" fillId="2" borderId="66" xfId="0" applyNumberFormat="1" applyFont="1" applyFill="1" applyBorder="1" applyAlignment="1">
      <alignment horizontal="center" vertical="center"/>
    </xf>
    <xf numFmtId="0" fontId="24" fillId="2" borderId="32" xfId="0" applyFont="1" applyFill="1" applyBorder="1" applyAlignment="1">
      <alignment horizontal="center" vertical="center"/>
    </xf>
    <xf numFmtId="16" fontId="49" fillId="2" borderId="42" xfId="0" applyNumberFormat="1" applyFont="1" applyFill="1" applyBorder="1" applyAlignment="1">
      <alignment horizontal="center" vertical="center"/>
    </xf>
    <xf numFmtId="2" fontId="55" fillId="2" borderId="42" xfId="0" applyNumberFormat="1" applyFont="1" applyFill="1" applyBorder="1" applyAlignment="1">
      <alignment horizontal="center" vertical="center"/>
    </xf>
    <xf numFmtId="0" fontId="41" fillId="3" borderId="16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41" fillId="3" borderId="66" xfId="0" applyFont="1" applyFill="1" applyBorder="1" applyAlignment="1">
      <alignment horizontal="center" vertical="center"/>
    </xf>
    <xf numFmtId="0" fontId="41" fillId="3" borderId="42" xfId="0" applyFont="1" applyFill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" fontId="42" fillId="9" borderId="16" xfId="0" applyNumberFormat="1" applyFont="1" applyFill="1" applyBorder="1" applyAlignment="1">
      <alignment horizontal="center" vertical="center"/>
    </xf>
    <xf numFmtId="1" fontId="42" fillId="9" borderId="23" xfId="0" applyNumberFormat="1" applyFont="1" applyFill="1" applyBorder="1" applyAlignment="1">
      <alignment horizontal="center" vertical="center"/>
    </xf>
    <xf numFmtId="1" fontId="42" fillId="9" borderId="66" xfId="0" applyNumberFormat="1" applyFont="1" applyFill="1" applyBorder="1" applyAlignment="1">
      <alignment horizontal="center" vertical="center"/>
    </xf>
    <xf numFmtId="1" fontId="42" fillId="9" borderId="42" xfId="0" applyNumberFormat="1" applyFont="1" applyFill="1" applyBorder="1" applyAlignment="1">
      <alignment horizontal="center" vertical="center"/>
    </xf>
    <xf numFmtId="1" fontId="42" fillId="3" borderId="16" xfId="0" applyNumberFormat="1" applyFont="1" applyFill="1" applyBorder="1" applyAlignment="1">
      <alignment horizontal="center" vertical="center"/>
    </xf>
    <xf numFmtId="1" fontId="42" fillId="3" borderId="23" xfId="0" applyNumberFormat="1" applyFont="1" applyFill="1" applyBorder="1" applyAlignment="1">
      <alignment horizontal="center" vertical="center"/>
    </xf>
    <xf numFmtId="165" fontId="55" fillId="3" borderId="23" xfId="0" applyNumberFormat="1" applyFont="1" applyFill="1" applyBorder="1" applyAlignment="1">
      <alignment horizontal="center" vertical="center"/>
    </xf>
    <xf numFmtId="1" fontId="42" fillId="3" borderId="66" xfId="0" applyNumberFormat="1" applyFont="1" applyFill="1" applyBorder="1" applyAlignment="1">
      <alignment horizontal="center" vertical="center"/>
    </xf>
    <xf numFmtId="165" fontId="55" fillId="3" borderId="66" xfId="0" applyNumberFormat="1" applyFont="1" applyFill="1" applyBorder="1" applyAlignment="1">
      <alignment horizontal="center" vertical="center"/>
    </xf>
    <xf numFmtId="1" fontId="42" fillId="3" borderId="42" xfId="0" applyNumberFormat="1" applyFont="1" applyFill="1" applyBorder="1" applyAlignment="1">
      <alignment horizontal="center" vertical="center"/>
    </xf>
    <xf numFmtId="165" fontId="55" fillId="3" borderId="42" xfId="0" applyNumberFormat="1" applyFont="1" applyFill="1" applyBorder="1" applyAlignment="1">
      <alignment horizontal="center" vertical="center"/>
    </xf>
    <xf numFmtId="0" fontId="52" fillId="3" borderId="16" xfId="0" applyFont="1" applyFill="1" applyBorder="1" applyAlignment="1">
      <alignment horizontal="center" vertical="center"/>
    </xf>
    <xf numFmtId="0" fontId="56" fillId="3" borderId="16" xfId="0" applyFont="1" applyFill="1" applyBorder="1" applyAlignment="1">
      <alignment horizontal="center" vertical="center"/>
    </xf>
    <xf numFmtId="1" fontId="42" fillId="2" borderId="16" xfId="0" applyNumberFormat="1" applyFont="1" applyFill="1" applyBorder="1" applyAlignment="1">
      <alignment horizontal="center" vertical="center"/>
    </xf>
    <xf numFmtId="1" fontId="42" fillId="2" borderId="23" xfId="0" applyNumberFormat="1" applyFont="1" applyFill="1" applyBorder="1" applyAlignment="1">
      <alignment horizontal="center" vertical="center"/>
    </xf>
    <xf numFmtId="1" fontId="42" fillId="2" borderId="66" xfId="0" applyNumberFormat="1" applyFont="1" applyFill="1" applyBorder="1" applyAlignment="1">
      <alignment horizontal="center" vertical="center"/>
    </xf>
    <xf numFmtId="1" fontId="42" fillId="2" borderId="42" xfId="0" applyNumberFormat="1" applyFont="1" applyFill="1" applyBorder="1" applyAlignment="1">
      <alignment horizontal="center" vertical="center"/>
    </xf>
    <xf numFmtId="0" fontId="1" fillId="9" borderId="17" xfId="0" applyFont="1" applyFill="1" applyBorder="1" applyAlignment="1">
      <alignment horizontal="center" vertical="center"/>
    </xf>
    <xf numFmtId="0" fontId="1" fillId="9" borderId="20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31" fillId="3" borderId="65" xfId="0" applyFont="1" applyFill="1" applyBorder="1" applyAlignment="1">
      <alignment horizontal="center" vertical="center"/>
    </xf>
    <xf numFmtId="0" fontId="31" fillId="3" borderId="36" xfId="0" applyFont="1" applyFill="1" applyBorder="1" applyAlignment="1">
      <alignment horizontal="center" vertical="center"/>
    </xf>
    <xf numFmtId="14" fontId="49" fillId="3" borderId="66" xfId="0" applyNumberFormat="1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31" fillId="2" borderId="47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35" xfId="0" applyFont="1" applyFill="1" applyBorder="1" applyAlignment="1">
      <alignment horizontal="center" vertical="center"/>
    </xf>
    <xf numFmtId="0" fontId="72" fillId="5" borderId="26" xfId="0" applyFont="1" applyFill="1" applyBorder="1" applyAlignment="1">
      <alignment horizontal="center" vertical="center"/>
    </xf>
    <xf numFmtId="0" fontId="72" fillId="5" borderId="30" xfId="0" applyFont="1" applyFill="1" applyBorder="1" applyAlignment="1">
      <alignment horizontal="center" vertical="center"/>
    </xf>
    <xf numFmtId="0" fontId="27" fillId="2" borderId="33" xfId="0" applyFont="1" applyFill="1" applyBorder="1" applyAlignment="1">
      <alignment horizontal="center" vertical="center"/>
    </xf>
    <xf numFmtId="0" fontId="27" fillId="2" borderId="39" xfId="0" applyFont="1" applyFill="1" applyBorder="1" applyAlignment="1">
      <alignment horizontal="center" vertical="center"/>
    </xf>
    <xf numFmtId="0" fontId="27" fillId="2" borderId="62" xfId="0" applyFont="1" applyFill="1" applyBorder="1" applyAlignment="1">
      <alignment horizontal="center" vertical="center"/>
    </xf>
    <xf numFmtId="0" fontId="27" fillId="2" borderId="43" xfId="0" applyFont="1" applyFill="1" applyBorder="1" applyAlignment="1">
      <alignment horizontal="center" vertical="center"/>
    </xf>
    <xf numFmtId="0" fontId="27" fillId="2" borderId="64" xfId="0" applyFont="1" applyFill="1" applyBorder="1" applyAlignment="1">
      <alignment horizontal="center" vertical="center"/>
    </xf>
    <xf numFmtId="0" fontId="72" fillId="5" borderId="52" xfId="0" applyFont="1" applyFill="1" applyBorder="1" applyAlignment="1">
      <alignment horizontal="center" vertical="center"/>
    </xf>
    <xf numFmtId="0" fontId="41" fillId="9" borderId="43" xfId="0" applyFont="1" applyFill="1" applyBorder="1" applyAlignment="1">
      <alignment horizontal="center" vertical="center" textRotation="90" wrapText="1"/>
    </xf>
    <xf numFmtId="0" fontId="41" fillId="9" borderId="41" xfId="0" applyFont="1" applyFill="1" applyBorder="1" applyAlignment="1">
      <alignment horizontal="center" vertical="center" textRotation="90" wrapText="1"/>
    </xf>
    <xf numFmtId="0" fontId="41" fillId="9" borderId="42" xfId="0" applyFont="1" applyFill="1" applyBorder="1" applyAlignment="1">
      <alignment horizontal="center" vertical="center" textRotation="90" wrapText="1"/>
    </xf>
    <xf numFmtId="0" fontId="41" fillId="9" borderId="66" xfId="0" applyFont="1" applyFill="1" applyBorder="1" applyAlignment="1">
      <alignment vertical="center" textRotation="90" wrapText="1"/>
    </xf>
    <xf numFmtId="0" fontId="47" fillId="11" borderId="41" xfId="0" applyFont="1" applyFill="1" applyBorder="1" applyAlignment="1">
      <alignment horizontal="center" vertical="center" textRotation="90" wrapText="1"/>
    </xf>
    <xf numFmtId="0" fontId="53" fillId="12" borderId="41" xfId="0" applyFont="1" applyFill="1" applyBorder="1" applyAlignment="1">
      <alignment horizontal="center" vertical="center" textRotation="90" wrapText="1"/>
    </xf>
    <xf numFmtId="0" fontId="66" fillId="3" borderId="41" xfId="0" applyFont="1" applyFill="1" applyBorder="1" applyAlignment="1">
      <alignment horizontal="center" vertical="center" textRotation="90" wrapText="1"/>
    </xf>
    <xf numFmtId="0" fontId="60" fillId="13" borderId="41" xfId="0" applyFont="1" applyFill="1" applyBorder="1" applyAlignment="1">
      <alignment horizontal="center" vertical="center" textRotation="90" wrapText="1"/>
    </xf>
    <xf numFmtId="0" fontId="47" fillId="10" borderId="41" xfId="0" applyFont="1" applyFill="1" applyBorder="1" applyAlignment="1">
      <alignment horizontal="center" vertical="center" textRotation="90" wrapText="1"/>
    </xf>
    <xf numFmtId="0" fontId="53" fillId="3" borderId="41" xfId="0" applyFont="1" applyFill="1" applyBorder="1" applyAlignment="1">
      <alignment horizontal="center" vertical="center" textRotation="90" wrapText="1"/>
    </xf>
    <xf numFmtId="0" fontId="67" fillId="0" borderId="10" xfId="0" applyFont="1" applyFill="1" applyBorder="1" applyAlignment="1">
      <alignment vertical="center"/>
    </xf>
    <xf numFmtId="0" fontId="66" fillId="2" borderId="41" xfId="0" applyFont="1" applyFill="1" applyBorder="1" applyAlignment="1">
      <alignment horizontal="center" vertical="center" textRotation="90" wrapText="1"/>
    </xf>
    <xf numFmtId="0" fontId="68" fillId="2" borderId="66" xfId="0" applyNumberFormat="1" applyFont="1" applyFill="1" applyBorder="1" applyAlignment="1">
      <alignment horizontal="center" vertical="center"/>
    </xf>
    <xf numFmtId="0" fontId="68" fillId="2" borderId="66" xfId="0" applyNumberFormat="1" applyFont="1" applyFill="1" applyBorder="1" applyAlignment="1">
      <alignment horizontal="center" vertical="center" wrapText="1"/>
    </xf>
    <xf numFmtId="0" fontId="68" fillId="2" borderId="1" xfId="0" applyNumberFormat="1" applyFont="1" applyFill="1" applyBorder="1" applyAlignment="1">
      <alignment horizontal="center" vertical="center"/>
    </xf>
    <xf numFmtId="0" fontId="68" fillId="2" borderId="1" xfId="0" applyNumberFormat="1" applyFont="1" applyFill="1" applyBorder="1" applyAlignment="1">
      <alignment horizontal="center" vertical="center" wrapText="1"/>
    </xf>
    <xf numFmtId="0" fontId="68" fillId="2" borderId="16" xfId="0" applyNumberFormat="1" applyFont="1" applyFill="1" applyBorder="1" applyAlignment="1">
      <alignment horizontal="center" vertical="center"/>
    </xf>
    <xf numFmtId="0" fontId="68" fillId="2" borderId="16" xfId="0" applyNumberFormat="1" applyFont="1" applyFill="1" applyBorder="1" applyAlignment="1">
      <alignment horizontal="center" vertical="center" wrapText="1"/>
    </xf>
    <xf numFmtId="1" fontId="80" fillId="2" borderId="66" xfId="0" applyNumberFormat="1" applyFont="1" applyFill="1" applyBorder="1" applyAlignment="1">
      <alignment horizontal="center" vertical="center"/>
    </xf>
    <xf numFmtId="165" fontId="68" fillId="2" borderId="66" xfId="0" applyNumberFormat="1" applyFont="1" applyFill="1" applyBorder="1" applyAlignment="1">
      <alignment horizontal="center" vertical="center"/>
    </xf>
    <xf numFmtId="1" fontId="80" fillId="2" borderId="1" xfId="0" applyNumberFormat="1" applyFont="1" applyFill="1" applyBorder="1" applyAlignment="1">
      <alignment horizontal="center" vertical="center"/>
    </xf>
    <xf numFmtId="165" fontId="68" fillId="2" borderId="1" xfId="0" applyNumberFormat="1" applyFont="1" applyFill="1" applyBorder="1" applyAlignment="1">
      <alignment horizontal="center" vertical="center"/>
    </xf>
    <xf numFmtId="0" fontId="68" fillId="2" borderId="42" xfId="0" applyNumberFormat="1" applyFont="1" applyFill="1" applyBorder="1" applyAlignment="1">
      <alignment horizontal="center" vertical="center"/>
    </xf>
    <xf numFmtId="0" fontId="68" fillId="2" borderId="42" xfId="0" applyNumberFormat="1" applyFont="1" applyFill="1" applyBorder="1" applyAlignment="1">
      <alignment horizontal="center" vertical="center" wrapText="1"/>
    </xf>
    <xf numFmtId="0" fontId="68" fillId="2" borderId="23" xfId="0" applyNumberFormat="1" applyFont="1" applyFill="1" applyBorder="1" applyAlignment="1">
      <alignment horizontal="center" vertical="center"/>
    </xf>
    <xf numFmtId="0" fontId="68" fillId="2" borderId="23" xfId="0" applyNumberFormat="1" applyFont="1" applyFill="1" applyBorder="1" applyAlignment="1">
      <alignment horizontal="center" vertical="center" wrapText="1"/>
    </xf>
    <xf numFmtId="165" fontId="68" fillId="2" borderId="16" xfId="0" applyNumberFormat="1" applyFont="1" applyFill="1" applyBorder="1" applyAlignment="1">
      <alignment horizontal="center" vertical="center"/>
    </xf>
    <xf numFmtId="0" fontId="68" fillId="3" borderId="23" xfId="0" applyNumberFormat="1" applyFont="1" applyFill="1" applyBorder="1" applyAlignment="1">
      <alignment horizontal="center" vertical="center"/>
    </xf>
    <xf numFmtId="0" fontId="68" fillId="3" borderId="23" xfId="0" applyNumberFormat="1" applyFont="1" applyFill="1" applyBorder="1" applyAlignment="1">
      <alignment horizontal="center" vertical="center" wrapText="1"/>
    </xf>
    <xf numFmtId="0" fontId="68" fillId="3" borderId="1" xfId="0" applyNumberFormat="1" applyFont="1" applyFill="1" applyBorder="1" applyAlignment="1">
      <alignment horizontal="center" vertical="center"/>
    </xf>
    <xf numFmtId="0" fontId="68" fillId="3" borderId="1" xfId="0" applyNumberFormat="1" applyFont="1" applyFill="1" applyBorder="1" applyAlignment="1">
      <alignment horizontal="center" vertical="center" wrapText="1"/>
    </xf>
    <xf numFmtId="0" fontId="68" fillId="3" borderId="16" xfId="0" applyNumberFormat="1" applyFont="1" applyFill="1" applyBorder="1" applyAlignment="1">
      <alignment horizontal="center" vertical="center"/>
    </xf>
    <xf numFmtId="0" fontId="68" fillId="3" borderId="16" xfId="0" applyNumberFormat="1" applyFont="1" applyFill="1" applyBorder="1" applyAlignment="1">
      <alignment horizontal="center" vertical="center" wrapText="1"/>
    </xf>
    <xf numFmtId="0" fontId="68" fillId="3" borderId="66" xfId="0" applyNumberFormat="1" applyFont="1" applyFill="1" applyBorder="1" applyAlignment="1">
      <alignment horizontal="center" vertical="center"/>
    </xf>
    <xf numFmtId="0" fontId="68" fillId="3" borderId="66" xfId="0" applyNumberFormat="1" applyFont="1" applyFill="1" applyBorder="1" applyAlignment="1">
      <alignment horizontal="center" vertical="center" wrapText="1"/>
    </xf>
    <xf numFmtId="0" fontId="68" fillId="3" borderId="42" xfId="0" applyNumberFormat="1" applyFont="1" applyFill="1" applyBorder="1" applyAlignment="1">
      <alignment horizontal="center" vertical="center"/>
    </xf>
    <xf numFmtId="0" fontId="68" fillId="3" borderId="42" xfId="0" applyNumberFormat="1" applyFont="1" applyFill="1" applyBorder="1" applyAlignment="1">
      <alignment horizontal="center" vertical="center" wrapText="1"/>
    </xf>
    <xf numFmtId="0" fontId="67" fillId="3" borderId="42" xfId="0" applyFont="1" applyFill="1" applyBorder="1"/>
    <xf numFmtId="0" fontId="67" fillId="3" borderId="23" xfId="0" applyFont="1" applyFill="1" applyBorder="1"/>
    <xf numFmtId="0" fontId="67" fillId="3" borderId="1" xfId="0" applyFont="1" applyFill="1" applyBorder="1"/>
    <xf numFmtId="0" fontId="68" fillId="9" borderId="23" xfId="0" applyNumberFormat="1" applyFont="1" applyFill="1" applyBorder="1" applyAlignment="1">
      <alignment horizontal="center" vertical="center"/>
    </xf>
    <xf numFmtId="0" fontId="68" fillId="9" borderId="23" xfId="0" applyNumberFormat="1" applyFont="1" applyFill="1" applyBorder="1" applyAlignment="1">
      <alignment horizontal="center" vertical="center" wrapText="1"/>
    </xf>
    <xf numFmtId="0" fontId="68" fillId="9" borderId="1" xfId="0" applyNumberFormat="1" applyFont="1" applyFill="1" applyBorder="1" applyAlignment="1">
      <alignment horizontal="center" vertical="center"/>
    </xf>
    <xf numFmtId="0" fontId="68" fillId="9" borderId="1" xfId="0" applyNumberFormat="1" applyFont="1" applyFill="1" applyBorder="1" applyAlignment="1">
      <alignment horizontal="center" vertical="center" wrapText="1"/>
    </xf>
    <xf numFmtId="0" fontId="68" fillId="9" borderId="16" xfId="0" applyNumberFormat="1" applyFont="1" applyFill="1" applyBorder="1" applyAlignment="1">
      <alignment horizontal="center" vertical="center"/>
    </xf>
    <xf numFmtId="0" fontId="68" fillId="9" borderId="16" xfId="0" applyNumberFormat="1" applyFont="1" applyFill="1" applyBorder="1" applyAlignment="1">
      <alignment horizontal="center" vertical="center" wrapText="1"/>
    </xf>
    <xf numFmtId="0" fontId="68" fillId="9" borderId="66" xfId="0" applyNumberFormat="1" applyFont="1" applyFill="1" applyBorder="1" applyAlignment="1">
      <alignment horizontal="center" vertical="center"/>
    </xf>
    <xf numFmtId="0" fontId="68" fillId="9" borderId="66" xfId="0" applyNumberFormat="1" applyFont="1" applyFill="1" applyBorder="1" applyAlignment="1">
      <alignment horizontal="center" vertical="center" wrapText="1"/>
    </xf>
    <xf numFmtId="0" fontId="68" fillId="9" borderId="42" xfId="0" applyNumberFormat="1" applyFont="1" applyFill="1" applyBorder="1" applyAlignment="1">
      <alignment horizontal="center" vertical="center"/>
    </xf>
    <xf numFmtId="0" fontId="68" fillId="9" borderId="42" xfId="0" applyNumberFormat="1" applyFont="1" applyFill="1" applyBorder="1" applyAlignment="1">
      <alignment horizontal="center" vertical="center" wrapText="1"/>
    </xf>
    <xf numFmtId="0" fontId="68" fillId="10" borderId="23" xfId="0" applyNumberFormat="1" applyFont="1" applyFill="1" applyBorder="1" applyAlignment="1">
      <alignment horizontal="center" vertical="center"/>
    </xf>
    <xf numFmtId="0" fontId="68" fillId="10" borderId="23" xfId="0" applyNumberFormat="1" applyFont="1" applyFill="1" applyBorder="1" applyAlignment="1">
      <alignment horizontal="center" vertical="center" wrapText="1"/>
    </xf>
    <xf numFmtId="0" fontId="68" fillId="10" borderId="1" xfId="0" applyNumberFormat="1" applyFont="1" applyFill="1" applyBorder="1" applyAlignment="1">
      <alignment horizontal="center" vertical="center"/>
    </xf>
    <xf numFmtId="0" fontId="68" fillId="10" borderId="1" xfId="0" applyNumberFormat="1" applyFont="1" applyFill="1" applyBorder="1" applyAlignment="1">
      <alignment horizontal="center" vertical="center" wrapText="1"/>
    </xf>
    <xf numFmtId="0" fontId="68" fillId="10" borderId="16" xfId="0" applyNumberFormat="1" applyFont="1" applyFill="1" applyBorder="1" applyAlignment="1">
      <alignment horizontal="center" vertical="center"/>
    </xf>
    <xf numFmtId="0" fontId="68" fillId="10" borderId="16" xfId="0" applyNumberFormat="1" applyFont="1" applyFill="1" applyBorder="1" applyAlignment="1">
      <alignment horizontal="center" vertical="center" wrapText="1"/>
    </xf>
    <xf numFmtId="1" fontId="68" fillId="2" borderId="23" xfId="0" applyNumberFormat="1" applyFont="1" applyFill="1" applyBorder="1" applyAlignment="1">
      <alignment horizontal="center" vertical="center"/>
    </xf>
    <xf numFmtId="1" fontId="68" fillId="2" borderId="1" xfId="0" applyNumberFormat="1" applyFont="1" applyFill="1" applyBorder="1" applyAlignment="1">
      <alignment horizontal="center" vertical="center"/>
    </xf>
    <xf numFmtId="1" fontId="68" fillId="2" borderId="16" xfId="0" applyNumberFormat="1" applyFont="1" applyFill="1" applyBorder="1" applyAlignment="1">
      <alignment horizontal="center" vertical="center"/>
    </xf>
    <xf numFmtId="1" fontId="68" fillId="2" borderId="66" xfId="0" applyNumberFormat="1" applyFont="1" applyFill="1" applyBorder="1" applyAlignment="1">
      <alignment horizontal="center" vertical="center"/>
    </xf>
    <xf numFmtId="165" fontId="68" fillId="2" borderId="42" xfId="0" applyNumberFormat="1" applyFont="1" applyFill="1" applyBorder="1" applyAlignment="1">
      <alignment horizontal="center" vertical="center"/>
    </xf>
    <xf numFmtId="1" fontId="68" fillId="2" borderId="42" xfId="0" applyNumberFormat="1" applyFont="1" applyFill="1" applyBorder="1" applyAlignment="1">
      <alignment horizontal="center" vertical="center"/>
    </xf>
    <xf numFmtId="165" fontId="68" fillId="2" borderId="23" xfId="0" applyNumberFormat="1" applyFont="1" applyFill="1" applyBorder="1" applyAlignment="1">
      <alignment horizontal="center" vertical="center"/>
    </xf>
    <xf numFmtId="165" fontId="68" fillId="3" borderId="1" xfId="0" applyNumberFormat="1" applyFont="1" applyFill="1" applyBorder="1" applyAlignment="1">
      <alignment horizontal="center" vertical="center"/>
    </xf>
    <xf numFmtId="1" fontId="68" fillId="3" borderId="1" xfId="0" applyNumberFormat="1" applyFont="1" applyFill="1" applyBorder="1" applyAlignment="1">
      <alignment horizontal="center" vertical="center"/>
    </xf>
    <xf numFmtId="165" fontId="68" fillId="3" borderId="16" xfId="0" applyNumberFormat="1" applyFont="1" applyFill="1" applyBorder="1" applyAlignment="1">
      <alignment horizontal="center" vertical="center"/>
    </xf>
    <xf numFmtId="1" fontId="68" fillId="3" borderId="16" xfId="0" applyNumberFormat="1" applyFont="1" applyFill="1" applyBorder="1" applyAlignment="1">
      <alignment horizontal="center" vertical="center"/>
    </xf>
    <xf numFmtId="165" fontId="68" fillId="3" borderId="66" xfId="0" applyNumberFormat="1" applyFont="1" applyFill="1" applyBorder="1" applyAlignment="1">
      <alignment horizontal="center" vertical="center"/>
    </xf>
    <xf numFmtId="1" fontId="68" fillId="3" borderId="66" xfId="0" applyNumberFormat="1" applyFont="1" applyFill="1" applyBorder="1" applyAlignment="1">
      <alignment horizontal="center" vertical="center"/>
    </xf>
    <xf numFmtId="165" fontId="68" fillId="3" borderId="42" xfId="0" applyNumberFormat="1" applyFont="1" applyFill="1" applyBorder="1" applyAlignment="1">
      <alignment horizontal="center" vertical="center"/>
    </xf>
    <xf numFmtId="1" fontId="68" fillId="3" borderId="42" xfId="0" applyNumberFormat="1" applyFont="1" applyFill="1" applyBorder="1" applyAlignment="1">
      <alignment horizontal="center" vertical="center"/>
    </xf>
    <xf numFmtId="1" fontId="68" fillId="3" borderId="23" xfId="0" applyNumberFormat="1" applyFont="1" applyFill="1" applyBorder="1" applyAlignment="1">
      <alignment horizontal="center" vertical="center"/>
    </xf>
    <xf numFmtId="1" fontId="68" fillId="9" borderId="1" xfId="0" applyNumberFormat="1" applyFont="1" applyFill="1" applyBorder="1" applyAlignment="1">
      <alignment horizontal="center" vertical="center"/>
    </xf>
    <xf numFmtId="1" fontId="68" fillId="9" borderId="16" xfId="0" applyNumberFormat="1" applyFont="1" applyFill="1" applyBorder="1" applyAlignment="1">
      <alignment horizontal="center" vertical="center"/>
    </xf>
    <xf numFmtId="1" fontId="68" fillId="9" borderId="66" xfId="0" applyNumberFormat="1" applyFont="1" applyFill="1" applyBorder="1" applyAlignment="1">
      <alignment horizontal="center" vertical="center"/>
    </xf>
    <xf numFmtId="1" fontId="68" fillId="9" borderId="42" xfId="0" applyNumberFormat="1" applyFont="1" applyFill="1" applyBorder="1" applyAlignment="1">
      <alignment horizontal="center" vertical="center"/>
    </xf>
    <xf numFmtId="1" fontId="68" fillId="9" borderId="23" xfId="0" applyNumberFormat="1" applyFont="1" applyFill="1" applyBorder="1" applyAlignment="1">
      <alignment horizontal="center" vertical="center"/>
    </xf>
    <xf numFmtId="1" fontId="68" fillId="10" borderId="1" xfId="0" applyNumberFormat="1" applyFont="1" applyFill="1" applyBorder="1" applyAlignment="1">
      <alignment horizontal="center" vertical="center"/>
    </xf>
    <xf numFmtId="1" fontId="80" fillId="9" borderId="1" xfId="0" applyNumberFormat="1" applyFont="1" applyFill="1" applyBorder="1" applyAlignment="1">
      <alignment horizontal="center" vertical="center"/>
    </xf>
    <xf numFmtId="0" fontId="80" fillId="9" borderId="1" xfId="0" applyFont="1" applyFill="1" applyBorder="1" applyAlignment="1">
      <alignment horizontal="center" vertical="center"/>
    </xf>
    <xf numFmtId="0" fontId="65" fillId="3" borderId="1" xfId="0" applyFont="1" applyFill="1" applyBorder="1" applyAlignment="1">
      <alignment horizontal="center" vertical="center"/>
    </xf>
    <xf numFmtId="0" fontId="80" fillId="2" borderId="1" xfId="0" applyFont="1" applyFill="1" applyBorder="1" applyAlignment="1">
      <alignment horizontal="center" vertical="center"/>
    </xf>
    <xf numFmtId="0" fontId="80" fillId="2" borderId="16" xfId="0" applyFont="1" applyFill="1" applyBorder="1" applyAlignment="1">
      <alignment horizontal="center" vertical="center"/>
    </xf>
    <xf numFmtId="0" fontId="80" fillId="2" borderId="66" xfId="0" applyFont="1" applyFill="1" applyBorder="1" applyAlignment="1">
      <alignment horizontal="center" vertical="center"/>
    </xf>
    <xf numFmtId="0" fontId="80" fillId="2" borderId="42" xfId="0" applyFont="1" applyFill="1" applyBorder="1" applyAlignment="1">
      <alignment horizontal="center" vertical="center"/>
    </xf>
    <xf numFmtId="0" fontId="80" fillId="2" borderId="23" xfId="0" applyFont="1" applyFill="1" applyBorder="1" applyAlignment="1">
      <alignment horizontal="center" vertical="center"/>
    </xf>
    <xf numFmtId="0" fontId="80" fillId="3" borderId="1" xfId="0" applyFont="1" applyFill="1" applyBorder="1" applyAlignment="1">
      <alignment horizontal="center" vertical="center"/>
    </xf>
    <xf numFmtId="0" fontId="67" fillId="3" borderId="16" xfId="0" applyFont="1" applyFill="1" applyBorder="1" applyAlignment="1">
      <alignment horizontal="center" vertical="center"/>
    </xf>
    <xf numFmtId="0" fontId="80" fillId="3" borderId="66" xfId="0" applyFont="1" applyFill="1" applyBorder="1" applyAlignment="1">
      <alignment horizontal="center" vertical="center"/>
    </xf>
    <xf numFmtId="0" fontId="80" fillId="3" borderId="42" xfId="0" applyFont="1" applyFill="1" applyBorder="1" applyAlignment="1">
      <alignment horizontal="center" vertical="center"/>
    </xf>
    <xf numFmtId="0" fontId="80" fillId="3" borderId="23" xfId="0" applyFont="1" applyFill="1" applyBorder="1" applyAlignment="1">
      <alignment horizontal="center" vertical="center"/>
    </xf>
    <xf numFmtId="0" fontId="63" fillId="9" borderId="16" xfId="0" applyFont="1" applyFill="1" applyBorder="1"/>
    <xf numFmtId="0" fontId="67" fillId="9" borderId="1" xfId="0" applyFont="1" applyFill="1" applyBorder="1" applyAlignment="1">
      <alignment horizontal="center" vertical="center"/>
    </xf>
    <xf numFmtId="0" fontId="67" fillId="9" borderId="42" xfId="0" applyFont="1" applyFill="1" applyBorder="1" applyAlignment="1">
      <alignment horizontal="center" vertical="center"/>
    </xf>
    <xf numFmtId="0" fontId="67" fillId="9" borderId="23" xfId="0" applyFont="1" applyFill="1" applyBorder="1" applyAlignment="1">
      <alignment horizontal="center" vertical="center"/>
    </xf>
    <xf numFmtId="0" fontId="67" fillId="10" borderId="1" xfId="0" applyFont="1" applyFill="1" applyBorder="1" applyAlignment="1">
      <alignment horizontal="center" vertical="center"/>
    </xf>
    <xf numFmtId="0" fontId="80" fillId="10" borderId="1" xfId="0" applyFont="1" applyFill="1" applyBorder="1" applyAlignment="1">
      <alignment horizontal="center" vertical="center"/>
    </xf>
    <xf numFmtId="0" fontId="80" fillId="3" borderId="1" xfId="0" applyFont="1" applyFill="1" applyBorder="1"/>
    <xf numFmtId="0" fontId="66" fillId="3" borderId="16" xfId="0" applyFont="1" applyFill="1" applyBorder="1" applyAlignment="1">
      <alignment horizontal="center" vertical="center"/>
    </xf>
    <xf numFmtId="0" fontId="80" fillId="9" borderId="16" xfId="0" applyFont="1" applyFill="1" applyBorder="1" applyAlignment="1">
      <alignment horizontal="center" vertical="center"/>
    </xf>
    <xf numFmtId="0" fontId="80" fillId="9" borderId="66" xfId="0" applyFont="1" applyFill="1" applyBorder="1" applyAlignment="1">
      <alignment horizontal="center" vertical="center"/>
    </xf>
    <xf numFmtId="0" fontId="80" fillId="9" borderId="42" xfId="0" applyFont="1" applyFill="1" applyBorder="1" applyAlignment="1">
      <alignment horizontal="center" vertical="center"/>
    </xf>
    <xf numFmtId="0" fontId="80" fillId="9" borderId="23" xfId="0" applyFont="1" applyFill="1" applyBorder="1" applyAlignment="1">
      <alignment horizontal="center" vertical="center"/>
    </xf>
    <xf numFmtId="0" fontId="80" fillId="3" borderId="16" xfId="0" applyFont="1" applyFill="1" applyBorder="1" applyAlignment="1">
      <alignment horizontal="center" vertical="center"/>
    </xf>
    <xf numFmtId="0" fontId="67" fillId="3" borderId="66" xfId="0" applyFont="1" applyFill="1" applyBorder="1" applyAlignment="1">
      <alignment horizontal="center" vertical="center"/>
    </xf>
    <xf numFmtId="0" fontId="67" fillId="3" borderId="1" xfId="0" applyFont="1" applyFill="1" applyBorder="1" applyAlignment="1">
      <alignment horizontal="center" vertical="center"/>
    </xf>
    <xf numFmtId="0" fontId="67" fillId="3" borderId="42" xfId="0" applyFont="1" applyFill="1" applyBorder="1" applyAlignment="1">
      <alignment horizontal="center" vertical="center"/>
    </xf>
    <xf numFmtId="0" fontId="67" fillId="3" borderId="23" xfId="0" applyFont="1" applyFill="1" applyBorder="1" applyAlignment="1">
      <alignment horizontal="center" vertical="center"/>
    </xf>
    <xf numFmtId="0" fontId="67" fillId="9" borderId="16" xfId="0" applyFont="1" applyFill="1" applyBorder="1" applyAlignment="1">
      <alignment horizontal="center" vertical="center"/>
    </xf>
    <xf numFmtId="0" fontId="30" fillId="0" borderId="10" xfId="0" applyFont="1" applyFill="1" applyBorder="1" applyAlignment="1">
      <alignment vertical="center"/>
    </xf>
    <xf numFmtId="0" fontId="41" fillId="0" borderId="31" xfId="0" applyFont="1" applyFill="1" applyBorder="1" applyAlignment="1">
      <alignment horizontal="center" vertical="center" textRotation="90" wrapText="1"/>
    </xf>
    <xf numFmtId="0" fontId="42" fillId="2" borderId="35" xfId="0" applyFont="1" applyFill="1" applyBorder="1" applyAlignment="1">
      <alignment horizontal="center" vertical="center"/>
    </xf>
    <xf numFmtId="0" fontId="42" fillId="2" borderId="2" xfId="0" applyFont="1" applyFill="1" applyBorder="1" applyAlignment="1">
      <alignment horizontal="center" vertical="center"/>
    </xf>
    <xf numFmtId="0" fontId="42" fillId="2" borderId="17" xfId="0" applyFont="1" applyFill="1" applyBorder="1" applyAlignment="1">
      <alignment horizontal="center" vertical="center"/>
    </xf>
    <xf numFmtId="0" fontId="42" fillId="2" borderId="69" xfId="0" applyFont="1" applyFill="1" applyBorder="1" applyAlignment="1">
      <alignment horizontal="center" vertical="center"/>
    </xf>
    <xf numFmtId="0" fontId="42" fillId="2" borderId="20" xfId="0" applyFont="1" applyFill="1" applyBorder="1" applyAlignment="1">
      <alignment horizontal="center" vertical="center"/>
    </xf>
    <xf numFmtId="0" fontId="42" fillId="3" borderId="20" xfId="0" applyFont="1" applyFill="1" applyBorder="1" applyAlignment="1">
      <alignment horizontal="center" vertical="center"/>
    </xf>
    <xf numFmtId="0" fontId="42" fillId="3" borderId="2" xfId="0" applyFont="1" applyFill="1" applyBorder="1" applyAlignment="1">
      <alignment horizontal="center" vertical="center"/>
    </xf>
    <xf numFmtId="0" fontId="42" fillId="3" borderId="17" xfId="0" applyFont="1" applyFill="1" applyBorder="1" applyAlignment="1">
      <alignment horizontal="center" vertical="center"/>
    </xf>
    <xf numFmtId="0" fontId="42" fillId="3" borderId="35" xfId="0" applyFont="1" applyFill="1" applyBorder="1" applyAlignment="1">
      <alignment horizontal="center" vertical="center"/>
    </xf>
    <xf numFmtId="0" fontId="42" fillId="3" borderId="69" xfId="0" applyFont="1" applyFill="1" applyBorder="1" applyAlignment="1">
      <alignment horizontal="center" vertical="center"/>
    </xf>
    <xf numFmtId="0" fontId="30" fillId="3" borderId="42" xfId="0" applyFont="1" applyFill="1" applyBorder="1"/>
    <xf numFmtId="0" fontId="30" fillId="3" borderId="69" xfId="0" applyFont="1" applyFill="1" applyBorder="1"/>
    <xf numFmtId="0" fontId="30" fillId="3" borderId="23" xfId="0" applyFont="1" applyFill="1" applyBorder="1"/>
    <xf numFmtId="0" fontId="30" fillId="3" borderId="20" xfId="0" applyFont="1" applyFill="1" applyBorder="1"/>
    <xf numFmtId="0" fontId="30" fillId="3" borderId="1" xfId="0" applyFont="1" applyFill="1" applyBorder="1"/>
    <xf numFmtId="0" fontId="30" fillId="3" borderId="2" xfId="0" applyFont="1" applyFill="1" applyBorder="1"/>
    <xf numFmtId="0" fontId="42" fillId="3" borderId="16" xfId="0" applyNumberFormat="1" applyFont="1" applyFill="1" applyBorder="1" applyAlignment="1">
      <alignment horizontal="center" vertical="center"/>
    </xf>
    <xf numFmtId="0" fontId="42" fillId="9" borderId="20" xfId="0" applyFont="1" applyFill="1" applyBorder="1" applyAlignment="1">
      <alignment horizontal="center" vertical="center"/>
    </xf>
    <xf numFmtId="0" fontId="42" fillId="9" borderId="2" xfId="0" applyFont="1" applyFill="1" applyBorder="1" applyAlignment="1">
      <alignment horizontal="center" vertical="center"/>
    </xf>
    <xf numFmtId="0" fontId="42" fillId="9" borderId="17" xfId="0" applyFont="1" applyFill="1" applyBorder="1" applyAlignment="1">
      <alignment horizontal="center" vertical="center"/>
    </xf>
    <xf numFmtId="0" fontId="42" fillId="9" borderId="35" xfId="0" applyFont="1" applyFill="1" applyBorder="1" applyAlignment="1">
      <alignment horizontal="center" vertical="center"/>
    </xf>
    <xf numFmtId="0" fontId="42" fillId="9" borderId="69" xfId="0" applyFont="1" applyFill="1" applyBorder="1" applyAlignment="1">
      <alignment horizontal="center" vertical="center"/>
    </xf>
    <xf numFmtId="0" fontId="42" fillId="10" borderId="20" xfId="0" applyFont="1" applyFill="1" applyBorder="1" applyAlignment="1">
      <alignment horizontal="center" vertical="center"/>
    </xf>
    <xf numFmtId="0" fontId="42" fillId="10" borderId="2" xfId="0" applyFont="1" applyFill="1" applyBorder="1" applyAlignment="1">
      <alignment horizontal="center" vertical="center"/>
    </xf>
    <xf numFmtId="0" fontId="42" fillId="10" borderId="17" xfId="0" applyFont="1" applyFill="1" applyBorder="1" applyAlignment="1">
      <alignment horizontal="center" vertical="center"/>
    </xf>
    <xf numFmtId="0" fontId="42" fillId="5" borderId="26" xfId="0" applyFont="1" applyFill="1" applyBorder="1" applyAlignment="1">
      <alignment horizontal="center" vertical="center"/>
    </xf>
    <xf numFmtId="0" fontId="42" fillId="3" borderId="1" xfId="0" applyNumberFormat="1" applyFont="1" applyFill="1" applyBorder="1" applyAlignment="1">
      <alignment horizontal="center" vertical="center"/>
    </xf>
    <xf numFmtId="0" fontId="42" fillId="3" borderId="66" xfId="0" applyNumberFormat="1" applyFont="1" applyFill="1" applyBorder="1" applyAlignment="1">
      <alignment horizontal="center" vertical="center"/>
    </xf>
    <xf numFmtId="0" fontId="42" fillId="3" borderId="42" xfId="0" applyNumberFormat="1" applyFont="1" applyFill="1" applyBorder="1" applyAlignment="1">
      <alignment horizontal="center" vertical="center"/>
    </xf>
    <xf numFmtId="0" fontId="42" fillId="3" borderId="23" xfId="0" applyNumberFormat="1" applyFont="1" applyFill="1" applyBorder="1" applyAlignment="1">
      <alignment horizontal="center" vertical="center"/>
    </xf>
    <xf numFmtId="0" fontId="42" fillId="9" borderId="1" xfId="0" applyNumberFormat="1" applyFont="1" applyFill="1" applyBorder="1" applyAlignment="1">
      <alignment horizontal="center" vertical="center"/>
    </xf>
    <xf numFmtId="0" fontId="42" fillId="9" borderId="16" xfId="0" applyNumberFormat="1" applyFont="1" applyFill="1" applyBorder="1" applyAlignment="1">
      <alignment horizontal="center" vertical="center"/>
    </xf>
    <xf numFmtId="0" fontId="42" fillId="9" borderId="66" xfId="0" applyNumberFormat="1" applyFont="1" applyFill="1" applyBorder="1" applyAlignment="1">
      <alignment horizontal="center" vertical="center"/>
    </xf>
    <xf numFmtId="0" fontId="42" fillId="9" borderId="42" xfId="0" applyNumberFormat="1" applyFont="1" applyFill="1" applyBorder="1" applyAlignment="1">
      <alignment horizontal="center" vertical="center"/>
    </xf>
    <xf numFmtId="0" fontId="42" fillId="9" borderId="23" xfId="0" applyNumberFormat="1" applyFont="1" applyFill="1" applyBorder="1" applyAlignment="1">
      <alignment horizontal="center" vertical="center"/>
    </xf>
    <xf numFmtId="0" fontId="42" fillId="10" borderId="1" xfId="0" applyNumberFormat="1" applyFont="1" applyFill="1" applyBorder="1" applyAlignment="1">
      <alignment horizontal="center" vertical="center"/>
    </xf>
    <xf numFmtId="0" fontId="40" fillId="3" borderId="1" xfId="0" applyFont="1" applyFill="1" applyBorder="1" applyAlignment="1">
      <alignment horizontal="center" vertical="center"/>
    </xf>
    <xf numFmtId="0" fontId="82" fillId="9" borderId="1" xfId="0" applyFont="1" applyFill="1" applyBorder="1" applyAlignment="1">
      <alignment horizontal="center" vertical="center"/>
    </xf>
    <xf numFmtId="0" fontId="82" fillId="9" borderId="2" xfId="0" applyFont="1" applyFill="1" applyBorder="1" applyAlignment="1">
      <alignment horizontal="center" vertical="center"/>
    </xf>
    <xf numFmtId="0" fontId="82" fillId="2" borderId="1" xfId="0" applyFont="1" applyFill="1" applyBorder="1" applyAlignment="1">
      <alignment horizontal="center" vertical="center"/>
    </xf>
    <xf numFmtId="0" fontId="82" fillId="2" borderId="16" xfId="0" applyFont="1" applyFill="1" applyBorder="1" applyAlignment="1">
      <alignment horizontal="center" vertical="center"/>
    </xf>
    <xf numFmtId="0" fontId="82" fillId="2" borderId="66" xfId="0" applyFont="1" applyFill="1" applyBorder="1" applyAlignment="1">
      <alignment horizontal="center" vertical="center"/>
    </xf>
    <xf numFmtId="0" fontId="82" fillId="2" borderId="42" xfId="0" applyFont="1" applyFill="1" applyBorder="1" applyAlignment="1">
      <alignment horizontal="center" vertical="center"/>
    </xf>
    <xf numFmtId="0" fontId="82" fillId="2" borderId="23" xfId="0" applyFont="1" applyFill="1" applyBorder="1" applyAlignment="1">
      <alignment horizontal="center" vertical="center"/>
    </xf>
    <xf numFmtId="0" fontId="82" fillId="3" borderId="1" xfId="0" applyFont="1" applyFill="1" applyBorder="1" applyAlignment="1">
      <alignment horizontal="center" vertical="center"/>
    </xf>
    <xf numFmtId="0" fontId="30" fillId="3" borderId="16" xfId="0" applyFont="1" applyFill="1" applyBorder="1" applyAlignment="1">
      <alignment horizontal="center" vertical="center"/>
    </xf>
    <xf numFmtId="0" fontId="82" fillId="3" borderId="66" xfId="0" applyFont="1" applyFill="1" applyBorder="1" applyAlignment="1">
      <alignment horizontal="center" vertical="center"/>
    </xf>
    <xf numFmtId="0" fontId="82" fillId="3" borderId="42" xfId="0" applyFont="1" applyFill="1" applyBorder="1" applyAlignment="1">
      <alignment horizontal="center" vertical="center"/>
    </xf>
    <xf numFmtId="0" fontId="82" fillId="3" borderId="23" xfId="0" applyFont="1" applyFill="1" applyBorder="1" applyAlignment="1">
      <alignment horizontal="center" vertical="center"/>
    </xf>
    <xf numFmtId="0" fontId="15" fillId="9" borderId="16" xfId="0" applyFont="1" applyFill="1" applyBorder="1"/>
    <xf numFmtId="0" fontId="15" fillId="9" borderId="17" xfId="0" applyFont="1" applyFill="1" applyBorder="1"/>
    <xf numFmtId="0" fontId="30" fillId="9" borderId="1" xfId="0" applyFont="1" applyFill="1" applyBorder="1" applyAlignment="1">
      <alignment horizontal="center" vertical="center"/>
    </xf>
    <xf numFmtId="0" fontId="30" fillId="9" borderId="42" xfId="0" applyFont="1" applyFill="1" applyBorder="1" applyAlignment="1">
      <alignment horizontal="center" vertical="center"/>
    </xf>
    <xf numFmtId="0" fontId="30" fillId="9" borderId="23" xfId="0" applyFont="1" applyFill="1" applyBorder="1" applyAlignment="1">
      <alignment horizontal="center" vertical="center"/>
    </xf>
    <xf numFmtId="0" fontId="30" fillId="10" borderId="1" xfId="0" applyFont="1" applyFill="1" applyBorder="1" applyAlignment="1">
      <alignment horizontal="center" vertical="center"/>
    </xf>
    <xf numFmtId="0" fontId="82" fillId="10" borderId="1" xfId="0" applyFont="1" applyFill="1" applyBorder="1" applyAlignment="1">
      <alignment horizontal="center" vertical="center"/>
    </xf>
    <xf numFmtId="0" fontId="30" fillId="9" borderId="2" xfId="0" applyFont="1" applyFill="1" applyBorder="1" applyAlignment="1">
      <alignment horizontal="center" vertical="center"/>
    </xf>
    <xf numFmtId="0" fontId="82" fillId="9" borderId="16" xfId="0" applyFont="1" applyFill="1" applyBorder="1" applyAlignment="1">
      <alignment horizontal="center" vertical="center"/>
    </xf>
    <xf numFmtId="0" fontId="82" fillId="9" borderId="66" xfId="0" applyFont="1" applyFill="1" applyBorder="1" applyAlignment="1">
      <alignment horizontal="center" vertical="center"/>
    </xf>
    <xf numFmtId="0" fontId="82" fillId="9" borderId="42" xfId="0" applyFont="1" applyFill="1" applyBorder="1" applyAlignment="1">
      <alignment horizontal="center" vertical="center"/>
    </xf>
    <xf numFmtId="0" fontId="82" fillId="9" borderId="23" xfId="0" applyFont="1" applyFill="1" applyBorder="1" applyAlignment="1">
      <alignment horizontal="center" vertical="center"/>
    </xf>
    <xf numFmtId="0" fontId="82" fillId="3" borderId="16" xfId="0" applyFont="1" applyFill="1" applyBorder="1" applyAlignment="1">
      <alignment horizontal="center" vertical="center"/>
    </xf>
    <xf numFmtId="0" fontId="30" fillId="3" borderId="66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3" borderId="42" xfId="0" applyFont="1" applyFill="1" applyBorder="1" applyAlignment="1">
      <alignment horizontal="center" vertical="center"/>
    </xf>
    <xf numFmtId="0" fontId="30" fillId="3" borderId="23" xfId="0" applyFont="1" applyFill="1" applyBorder="1" applyAlignment="1">
      <alignment horizontal="center" vertical="center"/>
    </xf>
    <xf numFmtId="0" fontId="30" fillId="9" borderId="16" xfId="0" applyFont="1" applyFill="1" applyBorder="1" applyAlignment="1">
      <alignment horizontal="center" vertical="center"/>
    </xf>
    <xf numFmtId="0" fontId="42" fillId="5" borderId="30" xfId="0" applyFont="1" applyFill="1" applyBorder="1" applyAlignment="1">
      <alignment horizontal="center" vertical="center"/>
    </xf>
    <xf numFmtId="0" fontId="42" fillId="6" borderId="7" xfId="0" applyFont="1" applyFill="1" applyBorder="1" applyAlignment="1">
      <alignment horizontal="center" vertical="center"/>
    </xf>
    <xf numFmtId="0" fontId="83" fillId="8" borderId="0" xfId="0" applyFont="1" applyFill="1"/>
    <xf numFmtId="0" fontId="84" fillId="8" borderId="0" xfId="0" applyFont="1" applyFill="1"/>
    <xf numFmtId="0" fontId="41" fillId="9" borderId="25" xfId="0" applyFont="1" applyFill="1" applyBorder="1" applyAlignment="1">
      <alignment horizontal="center" vertical="center" textRotation="90" wrapText="1"/>
    </xf>
    <xf numFmtId="0" fontId="72" fillId="5" borderId="27" xfId="0" applyFont="1" applyFill="1" applyBorder="1" applyAlignment="1">
      <alignment horizontal="center" vertical="center"/>
    </xf>
    <xf numFmtId="164" fontId="76" fillId="0" borderId="1" xfId="0" applyNumberFormat="1" applyFont="1" applyBorder="1" applyAlignment="1">
      <alignment vertical="center" wrapText="1"/>
    </xf>
    <xf numFmtId="0" fontId="85" fillId="0" borderId="1" xfId="0" applyFont="1" applyBorder="1" applyAlignment="1">
      <alignment horizontal="center" vertical="center"/>
    </xf>
    <xf numFmtId="0" fontId="86" fillId="0" borderId="0" xfId="0" applyFont="1" applyBorder="1"/>
    <xf numFmtId="0" fontId="87" fillId="8" borderId="0" xfId="0" applyFont="1" applyFill="1"/>
    <xf numFmtId="0" fontId="87" fillId="0" borderId="0" xfId="0" applyFont="1"/>
    <xf numFmtId="0" fontId="87" fillId="8" borderId="0" xfId="0" applyFont="1" applyFill="1" applyAlignment="1">
      <alignment vertical="center"/>
    </xf>
    <xf numFmtId="0" fontId="11" fillId="0" borderId="33" xfId="0" applyFont="1" applyFill="1" applyBorder="1" applyAlignment="1">
      <alignment horizontal="center" vertical="center"/>
    </xf>
    <xf numFmtId="0" fontId="13" fillId="0" borderId="66" xfId="0" applyFont="1" applyFill="1" applyBorder="1" applyAlignment="1">
      <alignment horizontal="left" vertical="center"/>
    </xf>
    <xf numFmtId="0" fontId="13" fillId="0" borderId="66" xfId="0" applyFont="1" applyFill="1" applyBorder="1" applyAlignment="1">
      <alignment horizontal="center" vertical="center"/>
    </xf>
    <xf numFmtId="2" fontId="13" fillId="0" borderId="66" xfId="0" applyNumberFormat="1" applyFont="1" applyFill="1" applyBorder="1" applyAlignment="1">
      <alignment horizontal="center" vertical="center"/>
    </xf>
    <xf numFmtId="164" fontId="13" fillId="0" borderId="66" xfId="0" applyNumberFormat="1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76" fillId="2" borderId="1" xfId="0" applyFont="1" applyFill="1" applyBorder="1" applyAlignment="1">
      <alignment horizontal="center" vertical="center"/>
    </xf>
    <xf numFmtId="14" fontId="76" fillId="2" borderId="1" xfId="0" applyNumberFormat="1" applyFont="1" applyFill="1" applyBorder="1" applyAlignment="1">
      <alignment horizontal="center" vertical="center"/>
    </xf>
    <xf numFmtId="14" fontId="20" fillId="2" borderId="70" xfId="0" applyNumberFormat="1" applyFont="1" applyFill="1" applyBorder="1" applyAlignment="1">
      <alignment horizontal="center" vertical="center"/>
    </xf>
    <xf numFmtId="0" fontId="20" fillId="2" borderId="71" xfId="0" applyFont="1" applyFill="1" applyBorder="1" applyAlignment="1">
      <alignment horizontal="center" vertical="center"/>
    </xf>
    <xf numFmtId="14" fontId="20" fillId="2" borderId="1" xfId="0" applyNumberFormat="1" applyFont="1" applyFill="1" applyBorder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 textRotation="90"/>
    </xf>
    <xf numFmtId="0" fontId="27" fillId="2" borderId="8" xfId="0" applyFont="1" applyFill="1" applyBorder="1" applyAlignment="1">
      <alignment horizontal="center" vertical="center" textRotation="90"/>
    </xf>
    <xf numFmtId="0" fontId="27" fillId="2" borderId="13" xfId="0" applyFont="1" applyFill="1" applyBorder="1" applyAlignment="1">
      <alignment horizontal="center" vertical="center" textRotation="90"/>
    </xf>
    <xf numFmtId="0" fontId="27" fillId="2" borderId="50" xfId="0" applyFont="1" applyFill="1" applyBorder="1" applyAlignment="1">
      <alignment horizontal="center" vertical="center" textRotation="90"/>
    </xf>
    <xf numFmtId="0" fontId="24" fillId="2" borderId="9" xfId="0" applyFont="1" applyFill="1" applyBorder="1" applyAlignment="1">
      <alignment horizontal="center" vertical="center" textRotation="90" wrapText="1"/>
    </xf>
    <xf numFmtId="0" fontId="24" fillId="2" borderId="14" xfId="0" applyFont="1" applyFill="1" applyBorder="1" applyAlignment="1">
      <alignment horizontal="center" vertical="center" textRotation="90" wrapText="1"/>
    </xf>
    <xf numFmtId="0" fontId="24" fillId="2" borderId="32" xfId="0" applyFont="1" applyFill="1" applyBorder="1" applyAlignment="1">
      <alignment horizontal="center" vertical="center" textRotation="90" wrapText="1"/>
    </xf>
    <xf numFmtId="0" fontId="53" fillId="3" borderId="35" xfId="0" applyFont="1" applyFill="1" applyBorder="1" applyAlignment="1">
      <alignment horizontal="center"/>
    </xf>
    <xf numFmtId="0" fontId="53" fillId="3" borderId="57" xfId="0" applyFont="1" applyFill="1" applyBorder="1" applyAlignment="1">
      <alignment horizontal="center"/>
    </xf>
    <xf numFmtId="0" fontId="53" fillId="3" borderId="34" xfId="0" applyFont="1" applyFill="1" applyBorder="1" applyAlignment="1">
      <alignment horizontal="center"/>
    </xf>
    <xf numFmtId="0" fontId="41" fillId="9" borderId="11" xfId="0" applyFont="1" applyFill="1" applyBorder="1" applyAlignment="1">
      <alignment horizontal="center"/>
    </xf>
    <xf numFmtId="0" fontId="41" fillId="9" borderId="57" xfId="0" applyFont="1" applyFill="1" applyBorder="1" applyAlignment="1">
      <alignment horizontal="center"/>
    </xf>
    <xf numFmtId="0" fontId="41" fillId="9" borderId="34" xfId="0" applyFont="1" applyFill="1" applyBorder="1" applyAlignment="1">
      <alignment horizontal="center"/>
    </xf>
    <xf numFmtId="0" fontId="66" fillId="2" borderId="35" xfId="0" applyFont="1" applyFill="1" applyBorder="1" applyAlignment="1">
      <alignment horizontal="center"/>
    </xf>
    <xf numFmtId="0" fontId="66" fillId="2" borderId="57" xfId="0" applyFont="1" applyFill="1" applyBorder="1" applyAlignment="1">
      <alignment horizontal="center"/>
    </xf>
    <xf numFmtId="0" fontId="30" fillId="0" borderId="57" xfId="0" applyFont="1" applyFill="1" applyBorder="1" applyAlignment="1">
      <alignment horizontal="center" vertical="center"/>
    </xf>
    <xf numFmtId="0" fontId="27" fillId="2" borderId="59" xfId="0" applyFont="1" applyFill="1" applyBorder="1" applyAlignment="1">
      <alignment horizontal="center" vertical="center" textRotation="90" wrapText="1"/>
    </xf>
    <xf numFmtId="0" fontId="27" fillId="2" borderId="56" xfId="0" applyFont="1" applyFill="1" applyBorder="1" applyAlignment="1">
      <alignment horizontal="center" vertical="center" textRotation="90" wrapText="1"/>
    </xf>
    <xf numFmtId="0" fontId="27" fillId="2" borderId="25" xfId="0" applyFont="1" applyFill="1" applyBorder="1" applyAlignment="1">
      <alignment horizontal="center" vertical="center" textRotation="90" wrapText="1"/>
    </xf>
    <xf numFmtId="166" fontId="25" fillId="0" borderId="0" xfId="0" applyNumberFormat="1" applyFont="1" applyFill="1" applyAlignment="1">
      <alignment horizontal="center"/>
    </xf>
    <xf numFmtId="0" fontId="24" fillId="0" borderId="9" xfId="0" applyFont="1" applyFill="1" applyBorder="1" applyAlignment="1">
      <alignment horizontal="center" vertical="center" wrapText="1"/>
    </xf>
    <xf numFmtId="0" fontId="24" fillId="0" borderId="8" xfId="0" applyFont="1" applyFill="1" applyBorder="1" applyAlignment="1">
      <alignment horizontal="center" vertical="center" wrapText="1"/>
    </xf>
    <xf numFmtId="0" fontId="24" fillId="0" borderId="14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wrapText="1"/>
    </xf>
    <xf numFmtId="0" fontId="24" fillId="0" borderId="32" xfId="0" applyFont="1" applyFill="1" applyBorder="1" applyAlignment="1">
      <alignment horizontal="center" vertical="center" wrapText="1"/>
    </xf>
    <xf numFmtId="0" fontId="24" fillId="0" borderId="50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center" vertical="center" wrapText="1"/>
    </xf>
    <xf numFmtId="0" fontId="28" fillId="0" borderId="14" xfId="0" applyFont="1" applyFill="1" applyBorder="1" applyAlignment="1">
      <alignment horizontal="center" vertical="center" wrapText="1"/>
    </xf>
    <xf numFmtId="0" fontId="28" fillId="0" borderId="32" xfId="0" applyFont="1" applyFill="1" applyBorder="1" applyAlignment="1">
      <alignment horizontal="center" vertical="center" wrapText="1"/>
    </xf>
    <xf numFmtId="0" fontId="27" fillId="2" borderId="66" xfId="0" applyFont="1" applyFill="1" applyBorder="1" applyAlignment="1">
      <alignment horizontal="center" vertical="center" textRotation="90" wrapText="1"/>
    </xf>
    <xf numFmtId="0" fontId="27" fillId="2" borderId="1" xfId="0" applyFont="1" applyFill="1" applyBorder="1" applyAlignment="1">
      <alignment horizontal="center" vertical="center" textRotation="90" wrapText="1"/>
    </xf>
    <xf numFmtId="0" fontId="27" fillId="2" borderId="42" xfId="0" applyFont="1" applyFill="1" applyBorder="1" applyAlignment="1">
      <alignment horizontal="center" vertical="center" textRotation="90" wrapText="1"/>
    </xf>
    <xf numFmtId="0" fontId="29" fillId="11" borderId="57" xfId="0" applyFont="1" applyFill="1" applyBorder="1" applyAlignment="1">
      <alignment horizontal="center"/>
    </xf>
    <xf numFmtId="0" fontId="29" fillId="11" borderId="34" xfId="0" applyFont="1" applyFill="1" applyBorder="1" applyAlignment="1">
      <alignment horizontal="center"/>
    </xf>
    <xf numFmtId="0" fontId="41" fillId="9" borderId="35" xfId="0" applyFont="1" applyFill="1" applyBorder="1" applyAlignment="1">
      <alignment horizontal="center"/>
    </xf>
    <xf numFmtId="0" fontId="47" fillId="10" borderId="35" xfId="0" applyFont="1" applyFill="1" applyBorder="1" applyAlignment="1">
      <alignment horizontal="center"/>
    </xf>
    <xf numFmtId="0" fontId="47" fillId="10" borderId="57" xfId="0" applyFont="1" applyFill="1" applyBorder="1" applyAlignment="1">
      <alignment horizontal="center"/>
    </xf>
    <xf numFmtId="0" fontId="47" fillId="10" borderId="34" xfId="0" applyFont="1" applyFill="1" applyBorder="1" applyAlignment="1">
      <alignment horizontal="center"/>
    </xf>
    <xf numFmtId="0" fontId="53" fillId="12" borderId="35" xfId="0" applyFont="1" applyFill="1" applyBorder="1" applyAlignment="1">
      <alignment horizontal="center"/>
    </xf>
    <xf numFmtId="0" fontId="53" fillId="12" borderId="57" xfId="0" applyFont="1" applyFill="1" applyBorder="1" applyAlignment="1">
      <alignment horizontal="center"/>
    </xf>
    <xf numFmtId="0" fontId="53" fillId="12" borderId="34" xfId="0" applyFont="1" applyFill="1" applyBorder="1" applyAlignment="1">
      <alignment horizontal="center"/>
    </xf>
    <xf numFmtId="0" fontId="66" fillId="3" borderId="35" xfId="0" applyFont="1" applyFill="1" applyBorder="1" applyAlignment="1">
      <alignment horizontal="center"/>
    </xf>
    <xf numFmtId="0" fontId="66" fillId="3" borderId="57" xfId="0" applyFont="1" applyFill="1" applyBorder="1" applyAlignment="1">
      <alignment horizontal="center"/>
    </xf>
    <xf numFmtId="0" fontId="66" fillId="3" borderId="34" xfId="0" applyFont="1" applyFill="1" applyBorder="1" applyAlignment="1">
      <alignment horizontal="center"/>
    </xf>
    <xf numFmtId="0" fontId="60" fillId="13" borderId="35" xfId="0" applyFont="1" applyFill="1" applyBorder="1" applyAlignment="1">
      <alignment horizontal="center"/>
    </xf>
    <xf numFmtId="0" fontId="60" fillId="13" borderId="57" xfId="0" applyFont="1" applyFill="1" applyBorder="1" applyAlignment="1">
      <alignment horizontal="center"/>
    </xf>
    <xf numFmtId="0" fontId="60" fillId="13" borderId="34" xfId="0" applyFont="1" applyFill="1" applyBorder="1" applyAlignment="1">
      <alignment horizontal="center"/>
    </xf>
    <xf numFmtId="0" fontId="14" fillId="0" borderId="60" xfId="0" applyFont="1" applyFill="1" applyBorder="1" applyAlignment="1">
      <alignment horizontal="center" vertical="center" wrapText="1"/>
    </xf>
    <xf numFmtId="0" fontId="14" fillId="0" borderId="27" xfId="0" applyFont="1" applyFill="1" applyBorder="1" applyAlignment="1">
      <alignment horizontal="center" vertical="center" wrapText="1"/>
    </xf>
    <xf numFmtId="0" fontId="14" fillId="0" borderId="59" xfId="0" applyFont="1" applyFill="1" applyBorder="1" applyAlignment="1">
      <alignment horizontal="center" vertical="center" wrapText="1"/>
    </xf>
    <xf numFmtId="0" fontId="14" fillId="0" borderId="25" xfId="0" applyFont="1" applyFill="1" applyBorder="1" applyAlignment="1">
      <alignment horizontal="center" vertical="center" wrapText="1"/>
    </xf>
    <xf numFmtId="0" fontId="14" fillId="0" borderId="53" xfId="0" applyFont="1" applyFill="1" applyBorder="1" applyAlignment="1">
      <alignment horizontal="center" vertical="center" wrapText="1"/>
    </xf>
    <xf numFmtId="0" fontId="14" fillId="0" borderId="48" xfId="0" applyFont="1" applyFill="1" applyBorder="1" applyAlignment="1">
      <alignment horizontal="center" vertical="center" wrapText="1"/>
    </xf>
    <xf numFmtId="0" fontId="14" fillId="0" borderId="35" xfId="0" applyFont="1" applyFill="1" applyBorder="1" applyAlignment="1">
      <alignment horizontal="center" vertical="center"/>
    </xf>
    <xf numFmtId="0" fontId="14" fillId="0" borderId="57" xfId="0" applyFont="1" applyFill="1" applyBorder="1" applyAlignment="1">
      <alignment horizontal="center" vertical="center"/>
    </xf>
    <xf numFmtId="0" fontId="14" fillId="0" borderId="34" xfId="0" applyFont="1" applyFill="1" applyBorder="1" applyAlignment="1">
      <alignment horizontal="center" vertical="center"/>
    </xf>
    <xf numFmtId="167" fontId="38" fillId="0" borderId="24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4" fillId="0" borderId="59" xfId="0" applyFont="1" applyFill="1" applyBorder="1" applyAlignment="1">
      <alignment horizontal="center" vertical="center" wrapText="1" shrinkToFit="1"/>
    </xf>
    <xf numFmtId="0" fontId="14" fillId="0" borderId="25" xfId="0" applyFont="1" applyFill="1" applyBorder="1" applyAlignment="1">
      <alignment horizontal="center" vertical="center" wrapText="1" shrinkToFit="1"/>
    </xf>
    <xf numFmtId="164" fontId="11" fillId="0" borderId="59" xfId="0" applyNumberFormat="1" applyFont="1" applyFill="1" applyBorder="1" applyAlignment="1">
      <alignment horizontal="center" vertical="center" wrapText="1"/>
    </xf>
    <xf numFmtId="164" fontId="11" fillId="0" borderId="25" xfId="0" applyNumberFormat="1" applyFont="1" applyFill="1" applyBorder="1" applyAlignment="1">
      <alignment horizontal="center" vertical="center" wrapText="1"/>
    </xf>
    <xf numFmtId="0" fontId="11" fillId="0" borderId="59" xfId="0" applyFont="1" applyFill="1" applyBorder="1" applyAlignment="1">
      <alignment horizontal="center" vertical="center" wrapText="1"/>
    </xf>
    <xf numFmtId="0" fontId="11" fillId="0" borderId="25" xfId="0" applyFont="1" applyFill="1" applyBorder="1" applyAlignment="1">
      <alignment horizontal="center" vertical="center" wrapText="1"/>
    </xf>
    <xf numFmtId="0" fontId="33" fillId="7" borderId="5" xfId="0" applyFont="1" applyFill="1" applyBorder="1" applyAlignment="1">
      <alignment horizontal="center" vertical="center"/>
    </xf>
    <xf numFmtId="0" fontId="33" fillId="7" borderId="6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 textRotation="90" wrapText="1"/>
    </xf>
    <xf numFmtId="0" fontId="7" fillId="0" borderId="1" xfId="1" applyFont="1" applyBorder="1" applyAlignment="1">
      <alignment horizontal="center" vertical="center" wrapText="1"/>
    </xf>
    <xf numFmtId="0" fontId="7" fillId="0" borderId="2" xfId="1" applyFont="1" applyBorder="1" applyAlignment="1">
      <alignment horizontal="center" vertical="center" wrapText="1"/>
    </xf>
    <xf numFmtId="0" fontId="7" fillId="0" borderId="3" xfId="1" applyFont="1" applyBorder="1" applyAlignment="1">
      <alignment horizontal="center" vertical="center" wrapText="1"/>
    </xf>
    <xf numFmtId="0" fontId="7" fillId="0" borderId="4" xfId="1" applyFont="1" applyBorder="1" applyAlignment="1">
      <alignment horizontal="center" vertical="center" wrapText="1"/>
    </xf>
    <xf numFmtId="0" fontId="27" fillId="2" borderId="38" xfId="0" applyFont="1" applyFill="1" applyBorder="1" applyAlignment="1">
      <alignment horizontal="center" vertical="center"/>
    </xf>
    <xf numFmtId="0" fontId="27" fillId="2" borderId="5" xfId="0" applyFont="1" applyFill="1" applyBorder="1" applyAlignment="1">
      <alignment horizontal="center" vertical="center"/>
    </xf>
    <xf numFmtId="0" fontId="27" fillId="2" borderId="49" xfId="0" applyFont="1" applyFill="1" applyBorder="1" applyAlignment="1">
      <alignment horizontal="center" vertical="center"/>
    </xf>
    <xf numFmtId="0" fontId="27" fillId="3" borderId="49" xfId="0" applyFont="1" applyFill="1" applyBorder="1" applyAlignment="1">
      <alignment horizontal="center" vertical="center"/>
    </xf>
    <xf numFmtId="0" fontId="27" fillId="3" borderId="38" xfId="0" applyFont="1" applyFill="1" applyBorder="1" applyAlignment="1">
      <alignment horizontal="center" vertical="center"/>
    </xf>
    <xf numFmtId="0" fontId="27" fillId="3" borderId="5" xfId="0" applyFont="1" applyFill="1" applyBorder="1" applyAlignment="1">
      <alignment horizontal="center" vertical="center"/>
    </xf>
    <xf numFmtId="0" fontId="27" fillId="9" borderId="49" xfId="0" applyFont="1" applyFill="1" applyBorder="1" applyAlignment="1">
      <alignment horizontal="center" vertical="center"/>
    </xf>
    <xf numFmtId="0" fontId="27" fillId="9" borderId="38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0" borderId="49" xfId="0" applyFont="1" applyFill="1" applyBorder="1" applyAlignment="1">
      <alignment horizontal="center" vertical="center" wrapText="1"/>
    </xf>
    <xf numFmtId="0" fontId="27" fillId="10" borderId="38" xfId="0" applyFont="1" applyFill="1" applyBorder="1" applyAlignment="1">
      <alignment horizontal="center" vertical="center" wrapText="1"/>
    </xf>
    <xf numFmtId="0" fontId="27" fillId="10" borderId="5" xfId="0" applyFont="1" applyFill="1" applyBorder="1" applyAlignment="1">
      <alignment horizontal="center" vertical="center" wrapText="1"/>
    </xf>
    <xf numFmtId="0" fontId="27" fillId="5" borderId="55" xfId="0" applyFont="1" applyFill="1" applyBorder="1" applyAlignment="1">
      <alignment horizontal="center" vertical="center"/>
    </xf>
    <xf numFmtId="0" fontId="27" fillId="9" borderId="6" xfId="0" applyFont="1" applyFill="1" applyBorder="1" applyAlignment="1">
      <alignment horizontal="center" vertical="center"/>
    </xf>
    <xf numFmtId="0" fontId="27" fillId="10" borderId="38" xfId="0" applyFont="1" applyFill="1" applyBorder="1" applyAlignment="1">
      <alignment horizontal="center" vertical="center"/>
    </xf>
    <xf numFmtId="0" fontId="27" fillId="10" borderId="5" xfId="0" applyFont="1" applyFill="1" applyBorder="1" applyAlignment="1">
      <alignment horizontal="center" vertical="center"/>
    </xf>
    <xf numFmtId="0" fontId="27" fillId="6" borderId="69" xfId="0" applyFont="1" applyFill="1" applyBorder="1" applyAlignment="1"/>
    <xf numFmtId="0" fontId="88" fillId="0" borderId="0" xfId="0" applyFont="1"/>
    <xf numFmtId="0" fontId="26" fillId="0" borderId="0" xfId="0" applyFont="1" applyFill="1" applyAlignment="1">
      <alignment wrapText="1"/>
    </xf>
    <xf numFmtId="0" fontId="26" fillId="0" borderId="7" xfId="0" applyFont="1" applyFill="1" applyBorder="1" applyAlignment="1">
      <alignment wrapText="1"/>
    </xf>
    <xf numFmtId="0" fontId="24" fillId="2" borderId="38" xfId="0" applyFont="1" applyFill="1" applyBorder="1" applyAlignment="1">
      <alignment horizontal="center" vertical="center" textRotation="90" wrapText="1"/>
    </xf>
    <xf numFmtId="0" fontId="24" fillId="2" borderId="5" xfId="0" applyFont="1" applyFill="1" applyBorder="1" applyAlignment="1">
      <alignment horizontal="center" vertical="center" textRotation="90" wrapText="1"/>
    </xf>
    <xf numFmtId="0" fontId="24" fillId="3" borderId="49" xfId="0" applyFont="1" applyFill="1" applyBorder="1" applyAlignment="1">
      <alignment horizontal="center" vertical="center" textRotation="90" wrapText="1"/>
    </xf>
    <xf numFmtId="0" fontId="24" fillId="3" borderId="38" xfId="0" applyFont="1" applyFill="1" applyBorder="1" applyAlignment="1">
      <alignment horizontal="center" vertical="center" textRotation="90" wrapText="1"/>
    </xf>
    <xf numFmtId="0" fontId="24" fillId="3" borderId="5" xfId="0" applyFont="1" applyFill="1" applyBorder="1" applyAlignment="1">
      <alignment horizontal="center" vertical="center" textRotation="90" wrapText="1"/>
    </xf>
    <xf numFmtId="0" fontId="24" fillId="9" borderId="49" xfId="0" applyFont="1" applyFill="1" applyBorder="1" applyAlignment="1">
      <alignment horizontal="center" vertical="center" textRotation="90" wrapText="1"/>
    </xf>
    <xf numFmtId="0" fontId="24" fillId="9" borderId="38" xfId="0" applyFont="1" applyFill="1" applyBorder="1" applyAlignment="1">
      <alignment horizontal="center" vertical="center" textRotation="90" wrapText="1"/>
    </xf>
    <xf numFmtId="0" fontId="24" fillId="9" borderId="5" xfId="0" applyFont="1" applyFill="1" applyBorder="1" applyAlignment="1">
      <alignment horizontal="center" vertical="center" textRotation="90" wrapText="1"/>
    </xf>
    <xf numFmtId="0" fontId="24" fillId="10" borderId="49" xfId="0" applyFont="1" applyFill="1" applyBorder="1" applyAlignment="1">
      <alignment horizontal="center" vertical="center" textRotation="90" wrapText="1"/>
    </xf>
    <xf numFmtId="0" fontId="24" fillId="10" borderId="38" xfId="0" applyFont="1" applyFill="1" applyBorder="1" applyAlignment="1">
      <alignment horizontal="center" vertical="center" textRotation="90" wrapText="1"/>
    </xf>
    <xf numFmtId="0" fontId="24" fillId="10" borderId="5" xfId="0" applyFont="1" applyFill="1" applyBorder="1" applyAlignment="1">
      <alignment horizontal="center" vertical="center" textRotation="90" wrapText="1"/>
    </xf>
    <xf numFmtId="0" fontId="24" fillId="2" borderId="49" xfId="0" applyFont="1" applyFill="1" applyBorder="1" applyAlignment="1">
      <alignment horizontal="center" vertical="center" textRotation="90" wrapText="1"/>
    </xf>
    <xf numFmtId="0" fontId="24" fillId="3" borderId="6" xfId="0" applyFont="1" applyFill="1" applyBorder="1" applyAlignment="1">
      <alignment horizontal="center" vertical="center" textRotation="90" wrapText="1"/>
    </xf>
    <xf numFmtId="0" fontId="24" fillId="9" borderId="6" xfId="0" applyFont="1" applyFill="1" applyBorder="1" applyAlignment="1">
      <alignment horizontal="center" vertical="center" textRotation="90" wrapText="1"/>
    </xf>
    <xf numFmtId="0" fontId="89" fillId="0" borderId="0" xfId="0" applyFont="1" applyAlignment="1">
      <alignment wrapText="1"/>
    </xf>
    <xf numFmtId="0" fontId="81" fillId="0" borderId="0" xfId="0" applyFont="1" applyFill="1"/>
    <xf numFmtId="0" fontId="71" fillId="0" borderId="0" xfId="0" applyFont="1" applyFill="1"/>
    <xf numFmtId="0" fontId="81" fillId="0" borderId="7" xfId="0" applyFont="1" applyFill="1" applyBorder="1"/>
    <xf numFmtId="0" fontId="71" fillId="0" borderId="7" xfId="0" applyFont="1" applyFill="1" applyBorder="1"/>
    <xf numFmtId="168" fontId="90" fillId="0" borderId="9" xfId="0" applyNumberFormat="1" applyFont="1" applyFill="1" applyBorder="1" applyAlignment="1">
      <alignment horizontal="center" vertical="center" textRotation="90"/>
    </xf>
    <xf numFmtId="167" fontId="91" fillId="0" borderId="8" xfId="0" applyNumberFormat="1" applyFont="1" applyFill="1" applyBorder="1" applyAlignment="1">
      <alignment horizontal="center" vertical="center" textRotation="90"/>
    </xf>
    <xf numFmtId="168" fontId="90" fillId="0" borderId="14" xfId="0" applyNumberFormat="1" applyFont="1" applyFill="1" applyBorder="1" applyAlignment="1">
      <alignment horizontal="center" vertical="center" textRotation="90"/>
    </xf>
    <xf numFmtId="167" fontId="91" fillId="0" borderId="13" xfId="0" applyNumberFormat="1" applyFont="1" applyFill="1" applyBorder="1" applyAlignment="1">
      <alignment horizontal="center" vertical="center" textRotation="90"/>
    </xf>
    <xf numFmtId="0" fontId="90" fillId="0" borderId="9" xfId="0" applyFont="1" applyFill="1" applyBorder="1" applyAlignment="1">
      <alignment horizontal="center" vertical="center" textRotation="90"/>
    </xf>
    <xf numFmtId="0" fontId="90" fillId="0" borderId="14" xfId="0" applyFont="1" applyFill="1" applyBorder="1" applyAlignment="1">
      <alignment horizontal="center" vertical="center" textRotation="90"/>
    </xf>
    <xf numFmtId="0" fontId="81" fillId="0" borderId="0" xfId="0" applyFont="1"/>
    <xf numFmtId="0" fontId="71" fillId="0" borderId="0" xfId="0" applyFont="1"/>
    <xf numFmtId="0" fontId="92" fillId="0" borderId="38" xfId="0" applyFont="1" applyFill="1" applyBorder="1" applyAlignment="1">
      <alignment horizontal="center" vertical="center" textRotation="90" wrapText="1"/>
    </xf>
    <xf numFmtId="0" fontId="92" fillId="0" borderId="38" xfId="0" applyFont="1" applyFill="1" applyBorder="1" applyAlignment="1">
      <alignment horizontal="center" vertical="center"/>
    </xf>
    <xf numFmtId="0" fontId="32" fillId="0" borderId="28" xfId="0" applyFont="1" applyFill="1" applyBorder="1" applyAlignment="1">
      <alignment horizontal="center" vertical="center"/>
    </xf>
    <xf numFmtId="0" fontId="32" fillId="0" borderId="30" xfId="0" applyFont="1" applyFill="1" applyBorder="1" applyAlignment="1">
      <alignment horizontal="center" vertical="center"/>
    </xf>
    <xf numFmtId="0" fontId="92" fillId="0" borderId="55" xfId="0" applyFont="1" applyFill="1" applyBorder="1" applyAlignment="1">
      <alignment horizontal="center" vertical="center"/>
    </xf>
    <xf numFmtId="0" fontId="40" fillId="0" borderId="29" xfId="0" applyFont="1" applyFill="1" applyBorder="1" applyAlignment="1">
      <alignment horizontal="center" vertical="center"/>
    </xf>
    <xf numFmtId="0" fontId="46" fillId="0" borderId="29" xfId="0" applyFont="1" applyFill="1" applyBorder="1" applyAlignment="1">
      <alignment horizontal="center" vertical="center"/>
    </xf>
    <xf numFmtId="0" fontId="52" fillId="0" borderId="29" xfId="0" applyFont="1" applyFill="1" applyBorder="1" applyAlignment="1">
      <alignment horizontal="center" vertical="center"/>
    </xf>
    <xf numFmtId="0" fontId="65" fillId="0" borderId="29" xfId="0" applyFont="1" applyFill="1" applyBorder="1" applyAlignment="1">
      <alignment horizontal="center" vertical="center"/>
    </xf>
    <xf numFmtId="0" fontId="59" fillId="0" borderId="29" xfId="0" applyFont="1" applyFill="1" applyBorder="1" applyAlignment="1">
      <alignment horizontal="center" vertical="center"/>
    </xf>
    <xf numFmtId="0" fontId="40" fillId="0" borderId="30" xfId="0" applyFont="1" applyFill="1" applyBorder="1" applyAlignment="1">
      <alignment horizontal="center" vertical="center"/>
    </xf>
    <xf numFmtId="0" fontId="92" fillId="0" borderId="28" xfId="0" applyFont="1" applyFill="1" applyBorder="1" applyAlignment="1">
      <alignment horizontal="center" vertical="center"/>
    </xf>
    <xf numFmtId="0" fontId="92" fillId="0" borderId="29" xfId="0" applyFont="1" applyFill="1" applyBorder="1" applyAlignment="1">
      <alignment horizontal="center" vertical="center"/>
    </xf>
    <xf numFmtId="0" fontId="92" fillId="0" borderId="52" xfId="0" applyFont="1" applyFill="1" applyBorder="1" applyAlignment="1">
      <alignment horizontal="center" vertical="center"/>
    </xf>
    <xf numFmtId="0" fontId="32" fillId="0" borderId="0" xfId="0" applyFont="1"/>
    <xf numFmtId="0" fontId="93" fillId="0" borderId="0" xfId="0" applyFont="1"/>
    <xf numFmtId="0" fontId="92" fillId="0" borderId="5" xfId="0" applyFont="1" applyFill="1" applyBorder="1" applyAlignment="1">
      <alignment horizontal="center" vertical="center" textRotation="90" wrapText="1"/>
    </xf>
    <xf numFmtId="0" fontId="92" fillId="0" borderId="5" xfId="0" applyFont="1" applyFill="1" applyBorder="1" applyAlignment="1">
      <alignment horizontal="center" vertical="center"/>
    </xf>
    <xf numFmtId="0" fontId="32" fillId="0" borderId="53" xfId="0" applyFont="1" applyFill="1" applyBorder="1" applyAlignment="1">
      <alignment horizontal="center" vertical="center"/>
    </xf>
    <xf numFmtId="0" fontId="32" fillId="0" borderId="80" xfId="0" applyFont="1" applyFill="1" applyBorder="1" applyAlignment="1">
      <alignment horizontal="center" vertical="center"/>
    </xf>
    <xf numFmtId="0" fontId="92" fillId="0" borderId="10" xfId="0" applyFont="1" applyFill="1" applyBorder="1" applyAlignment="1">
      <alignment horizontal="center" vertical="center"/>
    </xf>
    <xf numFmtId="0" fontId="55" fillId="5" borderId="55" xfId="0" applyFont="1" applyFill="1" applyBorder="1" applyAlignment="1">
      <alignment vertical="center"/>
    </xf>
    <xf numFmtId="0" fontId="27" fillId="5" borderId="55" xfId="0" applyFont="1" applyFill="1" applyBorder="1" applyAlignment="1">
      <alignment vertical="center" wrapText="1"/>
    </xf>
    <xf numFmtId="0" fontId="27" fillId="5" borderId="51" xfId="0" applyFont="1" applyFill="1" applyBorder="1" applyAlignment="1">
      <alignment vertical="center"/>
    </xf>
    <xf numFmtId="0" fontId="27" fillId="5" borderId="30" xfId="0" applyFont="1" applyFill="1" applyBorder="1" applyAlignment="1">
      <alignment vertical="center"/>
    </xf>
    <xf numFmtId="0" fontId="22" fillId="0" borderId="0" xfId="0" applyFont="1"/>
    <xf numFmtId="0" fontId="40" fillId="0" borderId="59" xfId="0" applyFont="1" applyFill="1" applyBorder="1" applyAlignment="1">
      <alignment horizontal="center" vertical="center"/>
    </xf>
    <xf numFmtId="0" fontId="46" fillId="0" borderId="59" xfId="0" applyFont="1" applyFill="1" applyBorder="1" applyAlignment="1">
      <alignment horizontal="center" vertical="center"/>
    </xf>
    <xf numFmtId="0" fontId="52" fillId="0" borderId="59" xfId="0" applyFont="1" applyFill="1" applyBorder="1" applyAlignment="1">
      <alignment horizontal="center" vertical="center"/>
    </xf>
    <xf numFmtId="0" fontId="65" fillId="0" borderId="59" xfId="0" applyFont="1" applyFill="1" applyBorder="1" applyAlignment="1">
      <alignment horizontal="center" vertical="center"/>
    </xf>
    <xf numFmtId="0" fontId="59" fillId="0" borderId="59" xfId="0" applyFont="1" applyFill="1" applyBorder="1" applyAlignment="1">
      <alignment horizontal="center" vertical="center"/>
    </xf>
    <xf numFmtId="0" fontId="40" fillId="0" borderId="80" xfId="0" applyFont="1" applyFill="1" applyBorder="1" applyAlignment="1">
      <alignment horizontal="center" vertical="center"/>
    </xf>
    <xf numFmtId="0" fontId="68" fillId="6" borderId="43" xfId="0" applyFont="1" applyFill="1" applyBorder="1" applyAlignment="1"/>
    <xf numFmtId="0" fontId="55" fillId="6" borderId="42" xfId="0" applyFont="1" applyFill="1" applyBorder="1" applyAlignment="1"/>
    <xf numFmtId="0" fontId="27" fillId="6" borderId="41" xfId="0" applyFont="1" applyFill="1" applyBorder="1" applyAlignment="1"/>
    <xf numFmtId="0" fontId="27" fillId="6" borderId="42" xfId="0" applyFont="1" applyFill="1" applyBorder="1" applyAlignment="1"/>
    <xf numFmtId="0" fontId="27" fillId="6" borderId="51" xfId="0" applyFont="1" applyFill="1" applyBorder="1" applyAlignment="1"/>
    <xf numFmtId="0" fontId="94" fillId="6" borderId="67" xfId="0" applyFont="1" applyFill="1" applyBorder="1" applyAlignment="1">
      <alignment horizontal="center" vertical="center"/>
    </xf>
    <xf numFmtId="0" fontId="94" fillId="6" borderId="50" xfId="0" applyFont="1" applyFill="1" applyBorder="1" applyAlignment="1">
      <alignment horizontal="center" vertical="center"/>
    </xf>
    <xf numFmtId="0" fontId="27" fillId="6" borderId="31" xfId="0" applyFont="1" applyFill="1" applyBorder="1" applyAlignment="1"/>
    <xf numFmtId="0" fontId="27" fillId="6" borderId="30" xfId="0" applyFont="1" applyFill="1" applyBorder="1" applyAlignment="1">
      <alignment wrapText="1"/>
    </xf>
    <xf numFmtId="0" fontId="73" fillId="0" borderId="0" xfId="0" applyFont="1" applyAlignment="1">
      <alignment horizontal="center"/>
    </xf>
    <xf numFmtId="0" fontId="95" fillId="0" borderId="14" xfId="0" applyFont="1" applyFill="1" applyBorder="1" applyAlignment="1">
      <alignment horizontal="center" vertical="center" wrapText="1"/>
    </xf>
    <xf numFmtId="0" fontId="95" fillId="0" borderId="0" xfId="0" applyFont="1" applyFill="1" applyBorder="1" applyAlignment="1">
      <alignment horizontal="center" vertical="center" wrapText="1"/>
    </xf>
    <xf numFmtId="0" fontId="95" fillId="0" borderId="13" xfId="0" applyFont="1" applyFill="1" applyBorder="1" applyAlignment="1">
      <alignment horizontal="center" vertical="center" wrapText="1"/>
    </xf>
    <xf numFmtId="0" fontId="73" fillId="0" borderId="81" xfId="0" applyFont="1" applyFill="1" applyBorder="1" applyAlignment="1">
      <alignment horizontal="left" vertical="center" wrapText="1"/>
    </xf>
    <xf numFmtId="0" fontId="73" fillId="0" borderId="4" xfId="0" applyFont="1" applyFill="1" applyBorder="1" applyAlignment="1">
      <alignment horizontal="center" vertical="center" wrapText="1"/>
    </xf>
    <xf numFmtId="0" fontId="73" fillId="0" borderId="1" xfId="0" applyFont="1" applyFill="1" applyBorder="1" applyAlignment="1">
      <alignment horizontal="center" vertical="center" wrapText="1"/>
    </xf>
    <xf numFmtId="171" fontId="73" fillId="0" borderId="1" xfId="0" applyNumberFormat="1" applyFont="1" applyFill="1" applyBorder="1" applyAlignment="1">
      <alignment horizontal="center" vertical="center" wrapText="1"/>
    </xf>
    <xf numFmtId="0" fontId="73" fillId="0" borderId="18" xfId="0" applyFont="1" applyFill="1" applyBorder="1" applyAlignment="1">
      <alignment horizontal="center" vertical="center" wrapText="1"/>
    </xf>
    <xf numFmtId="0" fontId="73" fillId="2" borderId="46" xfId="0" applyFont="1" applyFill="1" applyBorder="1" applyAlignment="1">
      <alignment horizontal="center" vertical="center" wrapText="1"/>
    </xf>
    <xf numFmtId="0" fontId="73" fillId="2" borderId="56" xfId="0" applyFont="1" applyFill="1" applyBorder="1" applyAlignment="1">
      <alignment horizontal="center" vertical="center" wrapText="1"/>
    </xf>
    <xf numFmtId="0" fontId="73" fillId="2" borderId="58" xfId="0" applyFont="1" applyFill="1" applyBorder="1" applyAlignment="1">
      <alignment horizontal="center" vertical="center"/>
    </xf>
    <xf numFmtId="1" fontId="95" fillId="0" borderId="11" xfId="0" applyNumberFormat="1" applyFont="1" applyFill="1" applyBorder="1" applyAlignment="1">
      <alignment horizontal="center" vertical="center" wrapText="1"/>
    </xf>
    <xf numFmtId="1" fontId="95" fillId="0" borderId="57" xfId="0" applyNumberFormat="1" applyFont="1" applyFill="1" applyBorder="1" applyAlignment="1">
      <alignment horizontal="center" vertical="center" wrapText="1"/>
    </xf>
    <xf numFmtId="1" fontId="95" fillId="0" borderId="37" xfId="0" applyNumberFormat="1" applyFont="1" applyFill="1" applyBorder="1" applyAlignment="1">
      <alignment horizontal="center" vertical="center" wrapText="1"/>
    </xf>
    <xf numFmtId="1" fontId="92" fillId="0" borderId="37" xfId="0" applyNumberFormat="1" applyFont="1" applyFill="1" applyBorder="1" applyAlignment="1">
      <alignment horizontal="left" vertical="center" wrapText="1"/>
    </xf>
    <xf numFmtId="1" fontId="73" fillId="0" borderId="34" xfId="0" applyNumberFormat="1" applyFont="1" applyFill="1" applyBorder="1" applyAlignment="1">
      <alignment horizontal="center" vertical="center" wrapText="1"/>
    </xf>
    <xf numFmtId="1" fontId="73" fillId="0" borderId="66" xfId="0" applyNumberFormat="1" applyFont="1" applyFill="1" applyBorder="1" applyAlignment="1">
      <alignment horizontal="center" vertical="center" wrapText="1"/>
    </xf>
    <xf numFmtId="1" fontId="73" fillId="0" borderId="35" xfId="0" applyNumberFormat="1" applyFont="1" applyFill="1" applyBorder="1" applyAlignment="1">
      <alignment horizontal="center" vertical="center" wrapText="1"/>
    </xf>
    <xf numFmtId="1" fontId="73" fillId="2" borderId="33" xfId="0" applyNumberFormat="1" applyFont="1" applyFill="1" applyBorder="1" applyAlignment="1">
      <alignment horizontal="center" vertical="center" wrapText="1"/>
    </xf>
    <xf numFmtId="1" fontId="73" fillId="2" borderId="66" xfId="0" applyNumberFormat="1" applyFont="1" applyFill="1" applyBorder="1" applyAlignment="1">
      <alignment horizontal="center" vertical="center" wrapText="1"/>
    </xf>
    <xf numFmtId="1" fontId="73" fillId="2" borderId="36" xfId="0" applyNumberFormat="1" applyFont="1" applyFill="1" applyBorder="1" applyAlignment="1">
      <alignment horizontal="center" vertical="center"/>
    </xf>
    <xf numFmtId="1" fontId="73" fillId="0" borderId="0" xfId="0" applyNumberFormat="1" applyFont="1" applyAlignment="1">
      <alignment horizontal="center"/>
    </xf>
    <xf numFmtId="1" fontId="95" fillId="0" borderId="45" xfId="0" applyNumberFormat="1" applyFont="1" applyFill="1" applyBorder="1" applyAlignment="1">
      <alignment horizontal="center" vertical="center" wrapText="1"/>
    </xf>
    <xf numFmtId="1" fontId="95" fillId="0" borderId="31" xfId="0" applyNumberFormat="1" applyFont="1" applyFill="1" applyBorder="1" applyAlignment="1">
      <alignment horizontal="center" vertical="center" wrapText="1"/>
    </xf>
    <xf numFmtId="1" fontId="95" fillId="0" borderId="44" xfId="0" applyNumberFormat="1" applyFont="1" applyFill="1" applyBorder="1" applyAlignment="1">
      <alignment horizontal="center" vertical="center" wrapText="1"/>
    </xf>
    <xf numFmtId="1" fontId="92" fillId="0" borderId="44" xfId="0" applyNumberFormat="1" applyFont="1" applyFill="1" applyBorder="1" applyAlignment="1">
      <alignment horizontal="left" vertical="center" wrapText="1"/>
    </xf>
    <xf numFmtId="1" fontId="73" fillId="0" borderId="41" xfId="0" applyNumberFormat="1" applyFont="1" applyFill="1" applyBorder="1" applyAlignment="1">
      <alignment horizontal="center" vertical="center" wrapText="1"/>
    </xf>
    <xf numFmtId="1" fontId="73" fillId="0" borderId="42" xfId="0" applyNumberFormat="1" applyFont="1" applyFill="1" applyBorder="1" applyAlignment="1">
      <alignment horizontal="center" vertical="center" wrapText="1"/>
    </xf>
    <xf numFmtId="1" fontId="73" fillId="0" borderId="42" xfId="0" applyNumberFormat="1" applyFont="1" applyFill="1" applyBorder="1" applyAlignment="1">
      <alignment horizontal="center" vertical="center" shrinkToFit="1"/>
    </xf>
    <xf numFmtId="1" fontId="73" fillId="0" borderId="42" xfId="0" applyNumberFormat="1" applyFont="1" applyFill="1" applyBorder="1" applyAlignment="1">
      <alignment horizontal="center" vertical="center" wrapText="1" shrinkToFit="1"/>
    </xf>
    <xf numFmtId="1" fontId="73" fillId="0" borderId="42" xfId="0" applyNumberFormat="1" applyFont="1" applyFill="1" applyBorder="1" applyAlignment="1">
      <alignment horizontal="center" vertical="center"/>
    </xf>
    <xf numFmtId="1" fontId="73" fillId="0" borderId="69" xfId="0" applyNumberFormat="1" applyFont="1" applyFill="1" applyBorder="1" applyAlignment="1">
      <alignment horizontal="center" vertical="center" wrapText="1"/>
    </xf>
    <xf numFmtId="1" fontId="73" fillId="2" borderId="43" xfId="0" applyNumberFormat="1" applyFont="1" applyFill="1" applyBorder="1" applyAlignment="1">
      <alignment horizontal="center" vertical="center" wrapText="1"/>
    </xf>
    <xf numFmtId="1" fontId="73" fillId="2" borderId="42" xfId="0" applyNumberFormat="1" applyFont="1" applyFill="1" applyBorder="1" applyAlignment="1">
      <alignment horizontal="center" vertical="center" wrapText="1"/>
    </xf>
    <xf numFmtId="1" fontId="73" fillId="2" borderId="68" xfId="0" applyNumberFormat="1" applyFont="1" applyFill="1" applyBorder="1" applyAlignment="1">
      <alignment horizontal="center" vertical="center"/>
    </xf>
    <xf numFmtId="0" fontId="27" fillId="2" borderId="57" xfId="0" applyFont="1" applyFill="1" applyBorder="1" applyAlignment="1">
      <alignment horizontal="left" vertical="center" wrapText="1"/>
    </xf>
    <xf numFmtId="0" fontId="27" fillId="2" borderId="3" xfId="0" applyFont="1" applyFill="1" applyBorder="1" applyAlignment="1">
      <alignment horizontal="left" vertical="center" wrapText="1"/>
    </xf>
    <xf numFmtId="0" fontId="27" fillId="2" borderId="61" xfId="0" applyFont="1" applyFill="1" applyBorder="1" applyAlignment="1">
      <alignment horizontal="left" vertical="center" wrapText="1"/>
    </xf>
    <xf numFmtId="0" fontId="27" fillId="2" borderId="3" xfId="0" applyFont="1" applyFill="1" applyBorder="1" applyAlignment="1">
      <alignment horizontal="left" vertical="center" wrapText="1" shrinkToFit="1"/>
    </xf>
    <xf numFmtId="0" fontId="27" fillId="2" borderId="31" xfId="0" applyFont="1" applyFill="1" applyBorder="1" applyAlignment="1">
      <alignment horizontal="left" vertical="center" wrapText="1" shrinkToFit="1"/>
    </xf>
    <xf numFmtId="0" fontId="27" fillId="2" borderId="24" xfId="0" applyFont="1" applyFill="1" applyBorder="1" applyAlignment="1">
      <alignment horizontal="left" vertical="center" wrapText="1" shrinkToFit="1"/>
    </xf>
    <xf numFmtId="0" fontId="27" fillId="2" borderId="61" xfId="0" applyFont="1" applyFill="1" applyBorder="1" applyAlignment="1">
      <alignment horizontal="left" vertical="center" wrapText="1" shrinkToFit="1"/>
    </xf>
    <xf numFmtId="0" fontId="27" fillId="0" borderId="55" xfId="0" applyFont="1" applyFill="1" applyBorder="1" applyAlignment="1">
      <alignment horizontal="left" vertical="center" wrapText="1" shrinkToFit="1"/>
    </xf>
    <xf numFmtId="0" fontId="27" fillId="3" borderId="24" xfId="0" applyFont="1" applyFill="1" applyBorder="1" applyAlignment="1">
      <alignment horizontal="left" vertical="center" wrapText="1" shrinkToFit="1"/>
    </xf>
    <xf numFmtId="0" fontId="27" fillId="3" borderId="61" xfId="0" applyFont="1" applyFill="1" applyBorder="1" applyAlignment="1">
      <alignment horizontal="left" vertical="center" wrapText="1" shrinkToFit="1"/>
    </xf>
    <xf numFmtId="0" fontId="27" fillId="3" borderId="57" xfId="0" applyFont="1" applyFill="1" applyBorder="1" applyAlignment="1">
      <alignment horizontal="left" vertical="center" wrapText="1" shrinkToFit="1"/>
    </xf>
    <xf numFmtId="0" fontId="27" fillId="3" borderId="3" xfId="0" applyFont="1" applyFill="1" applyBorder="1" applyAlignment="1">
      <alignment horizontal="left" vertical="center" wrapText="1" shrinkToFit="1"/>
    </xf>
    <xf numFmtId="0" fontId="27" fillId="3" borderId="31" xfId="0" applyFont="1" applyFill="1" applyBorder="1" applyAlignment="1">
      <alignment horizontal="left" vertical="center" wrapText="1" shrinkToFit="1"/>
    </xf>
    <xf numFmtId="0" fontId="27" fillId="3" borderId="61" xfId="0" applyFont="1" applyFill="1" applyBorder="1" applyAlignment="1">
      <alignment horizontal="left" vertical="center" wrapText="1"/>
    </xf>
    <xf numFmtId="0" fontId="27" fillId="9" borderId="24" xfId="0" applyFont="1" applyFill="1" applyBorder="1" applyAlignment="1">
      <alignment horizontal="left" vertical="center" wrapText="1" shrinkToFit="1"/>
    </xf>
    <xf numFmtId="0" fontId="27" fillId="9" borderId="3" xfId="0" applyFont="1" applyFill="1" applyBorder="1" applyAlignment="1">
      <alignment horizontal="left" vertical="center" wrapText="1" shrinkToFit="1"/>
    </xf>
    <xf numFmtId="0" fontId="27" fillId="9" borderId="61" xfId="0" applyFont="1" applyFill="1" applyBorder="1" applyAlignment="1">
      <alignment horizontal="left" vertical="center" wrapText="1" shrinkToFit="1"/>
    </xf>
    <xf numFmtId="0" fontId="27" fillId="9" borderId="57" xfId="0" applyFont="1" applyFill="1" applyBorder="1" applyAlignment="1">
      <alignment horizontal="left" vertical="center" wrapText="1" shrinkToFit="1"/>
    </xf>
    <xf numFmtId="0" fontId="27" fillId="9" borderId="31" xfId="0" applyFont="1" applyFill="1" applyBorder="1" applyAlignment="1">
      <alignment horizontal="left" vertical="center" wrapText="1" shrinkToFit="1"/>
    </xf>
    <xf numFmtId="0" fontId="27" fillId="10" borderId="24" xfId="0" applyFont="1" applyFill="1" applyBorder="1" applyAlignment="1">
      <alignment horizontal="left" vertical="center" wrapText="1" shrinkToFit="1"/>
    </xf>
    <xf numFmtId="0" fontId="27" fillId="10" borderId="3" xfId="0" applyFont="1" applyFill="1" applyBorder="1" applyAlignment="1">
      <alignment horizontal="left" vertical="center" wrapText="1" shrinkToFit="1"/>
    </xf>
    <xf numFmtId="0" fontId="27" fillId="10" borderId="61" xfId="0" applyFont="1" applyFill="1" applyBorder="1" applyAlignment="1">
      <alignment horizontal="left" vertical="center" wrapText="1" shrinkToFit="1"/>
    </xf>
    <xf numFmtId="0" fontId="27" fillId="0" borderId="10" xfId="0" applyFont="1" applyFill="1" applyBorder="1" applyAlignment="1">
      <alignment horizontal="left" vertical="center" wrapText="1" shrinkToFit="1"/>
    </xf>
    <xf numFmtId="0" fontId="27" fillId="2" borderId="57" xfId="0" applyFont="1" applyFill="1" applyBorder="1" applyAlignment="1">
      <alignment horizontal="left" vertical="center" wrapText="1" shrinkToFit="1"/>
    </xf>
    <xf numFmtId="0" fontId="27" fillId="3" borderId="0" xfId="0" applyFont="1" applyFill="1" applyBorder="1" applyAlignment="1">
      <alignment horizontal="left" vertical="center" wrapText="1"/>
    </xf>
    <xf numFmtId="0" fontId="27" fillId="3" borderId="4" xfId="0" applyFont="1" applyFill="1" applyBorder="1" applyAlignment="1">
      <alignment horizontal="left" vertical="center" wrapText="1"/>
    </xf>
    <xf numFmtId="0" fontId="27" fillId="3" borderId="35" xfId="0" applyFont="1" applyFill="1" applyBorder="1" applyAlignment="1">
      <alignment horizontal="left" vertical="center" wrapText="1" shrinkToFit="1"/>
    </xf>
    <xf numFmtId="0" fontId="27" fillId="3" borderId="7" xfId="0" applyFont="1" applyFill="1" applyBorder="1" applyAlignment="1">
      <alignment horizontal="left" vertical="center" wrapText="1"/>
    </xf>
    <xf numFmtId="0" fontId="27" fillId="3" borderId="10" xfId="0" applyFont="1" applyFill="1" applyBorder="1" applyAlignment="1">
      <alignment horizontal="left" vertical="center" wrapText="1"/>
    </xf>
    <xf numFmtId="0" fontId="27" fillId="3" borderId="17" xfId="0" applyFont="1" applyFill="1" applyBorder="1" applyAlignment="1">
      <alignment horizontal="left" vertical="center" wrapText="1" shrinkToFit="1"/>
    </xf>
    <xf numFmtId="0" fontId="27" fillId="3" borderId="19" xfId="0" applyFont="1" applyFill="1" applyBorder="1" applyAlignment="1">
      <alignment horizontal="left" vertical="center" wrapText="1" shrinkToFit="1"/>
    </xf>
    <xf numFmtId="0" fontId="27" fillId="3" borderId="26" xfId="0" applyFont="1" applyFill="1" applyBorder="1" applyAlignment="1">
      <alignment horizontal="left" vertical="center" wrapText="1" shrinkToFit="1"/>
    </xf>
    <xf numFmtId="0" fontId="27" fillId="3" borderId="20" xfId="0" applyFont="1" applyFill="1" applyBorder="1" applyAlignment="1">
      <alignment horizontal="left" vertical="center" wrapText="1" shrinkToFit="1"/>
    </xf>
    <xf numFmtId="0" fontId="27" fillId="3" borderId="2" xfId="0" applyFont="1" applyFill="1" applyBorder="1" applyAlignment="1">
      <alignment horizontal="left" vertical="center" wrapText="1" shrinkToFit="1"/>
    </xf>
    <xf numFmtId="0" fontId="27" fillId="3" borderId="45" xfId="0" applyFont="1" applyFill="1" applyBorder="1" applyAlignment="1">
      <alignment horizontal="left" vertical="center" wrapText="1"/>
    </xf>
    <xf numFmtId="0" fontId="27" fillId="9" borderId="2" xfId="0" applyFont="1" applyFill="1" applyBorder="1" applyAlignment="1">
      <alignment horizontal="left" vertical="center" wrapText="1" shrinkToFit="1"/>
    </xf>
    <xf numFmtId="0" fontId="27" fillId="9" borderId="20" xfId="0" applyFont="1" applyFill="1" applyBorder="1" applyAlignment="1">
      <alignment horizontal="left" vertical="center" wrapText="1" shrinkToFit="1"/>
    </xf>
    <xf numFmtId="0" fontId="27" fillId="9" borderId="12" xfId="0" applyFont="1" applyFill="1" applyBorder="1" applyAlignment="1">
      <alignment horizontal="left" vertical="center" wrapText="1" shrinkToFit="1"/>
    </xf>
    <xf numFmtId="0" fontId="27" fillId="9" borderId="35" xfId="0" applyFont="1" applyFill="1" applyBorder="1" applyAlignment="1">
      <alignment horizontal="left" vertical="center" wrapText="1" shrinkToFit="1"/>
    </xf>
    <xf numFmtId="0" fontId="27" fillId="9" borderId="69" xfId="0" applyFont="1" applyFill="1" applyBorder="1" applyAlignment="1">
      <alignment horizontal="left" vertical="center" wrapText="1" shrinkToFit="1"/>
    </xf>
    <xf numFmtId="0" fontId="27" fillId="10" borderId="2" xfId="0" applyFont="1" applyFill="1" applyBorder="1" applyAlignment="1">
      <alignment horizontal="left" vertical="center" wrapText="1" shrinkToFit="1"/>
    </xf>
    <xf numFmtId="0" fontId="27" fillId="10" borderId="20" xfId="0" applyFont="1" applyFill="1" applyBorder="1" applyAlignment="1">
      <alignment horizontal="left" vertical="center" wrapText="1" shrinkToFit="1"/>
    </xf>
    <xf numFmtId="0" fontId="27" fillId="2" borderId="2" xfId="0" applyFont="1" applyFill="1" applyBorder="1" applyAlignment="1">
      <alignment horizontal="left" vertical="center" wrapText="1"/>
    </xf>
    <xf numFmtId="0" fontId="27" fillId="2" borderId="19" xfId="0" applyFont="1" applyFill="1" applyBorder="1" applyAlignment="1">
      <alignment horizontal="left" vertical="center" wrapText="1"/>
    </xf>
    <xf numFmtId="0" fontId="27" fillId="2" borderId="63" xfId="0" applyFont="1" applyFill="1" applyBorder="1" applyAlignment="1">
      <alignment horizontal="left" vertical="center" wrapText="1"/>
    </xf>
    <xf numFmtId="0" fontId="27" fillId="2" borderId="11" xfId="0" applyFont="1" applyFill="1" applyBorder="1" applyAlignment="1">
      <alignment horizontal="left" vertical="center" wrapText="1"/>
    </xf>
    <xf numFmtId="0" fontId="27" fillId="2" borderId="45" xfId="0" applyFont="1" applyFill="1" applyBorder="1" applyAlignment="1">
      <alignment horizontal="left" vertical="center" wrapText="1"/>
    </xf>
    <xf numFmtId="0" fontId="27" fillId="2" borderId="21" xfId="0" applyFont="1" applyFill="1" applyBorder="1" applyAlignment="1">
      <alignment horizontal="left" vertical="center" wrapText="1"/>
    </xf>
    <xf numFmtId="0" fontId="27" fillId="3" borderId="2" xfId="0" applyFont="1" applyFill="1" applyBorder="1" applyAlignment="1">
      <alignment horizontal="left" vertical="center" wrapText="1"/>
    </xf>
    <xf numFmtId="0" fontId="27" fillId="3" borderId="17" xfId="0" applyFont="1" applyFill="1" applyBorder="1" applyAlignment="1">
      <alignment horizontal="left" vertical="center" wrapText="1"/>
    </xf>
    <xf numFmtId="0" fontId="27" fillId="3" borderId="35" xfId="0" applyFont="1" applyFill="1" applyBorder="1" applyAlignment="1">
      <alignment horizontal="left" vertical="center" wrapText="1"/>
    </xf>
    <xf numFmtId="0" fontId="27" fillId="3" borderId="69" xfId="0" applyFont="1" applyFill="1" applyBorder="1" applyAlignment="1">
      <alignment horizontal="left" vertical="center" wrapText="1"/>
    </xf>
    <xf numFmtId="0" fontId="27" fillId="3" borderId="20" xfId="0" applyFont="1" applyFill="1" applyBorder="1" applyAlignment="1">
      <alignment horizontal="left" vertical="center" wrapText="1"/>
    </xf>
    <xf numFmtId="0" fontId="27" fillId="9" borderId="2" xfId="0" applyFont="1" applyFill="1" applyBorder="1" applyAlignment="1">
      <alignment horizontal="left" vertical="center" wrapText="1"/>
    </xf>
    <xf numFmtId="0" fontId="27" fillId="9" borderId="19" xfId="0" applyFont="1" applyFill="1" applyBorder="1" applyAlignment="1">
      <alignment horizontal="left" vertical="center" wrapText="1"/>
    </xf>
    <xf numFmtId="0" fontId="27" fillId="9" borderId="17" xfId="0" applyFont="1" applyFill="1" applyBorder="1" applyAlignment="1">
      <alignment horizontal="left" vertical="center" wrapText="1"/>
    </xf>
    <xf numFmtId="0" fontId="27" fillId="9" borderId="35" xfId="0" applyFont="1" applyFill="1" applyBorder="1" applyAlignment="1">
      <alignment horizontal="left" vertical="center" wrapText="1"/>
    </xf>
    <xf numFmtId="0" fontId="27" fillId="9" borderId="69" xfId="0" applyFont="1" applyFill="1" applyBorder="1" applyAlignment="1">
      <alignment horizontal="left" vertical="center" wrapText="1"/>
    </xf>
    <xf numFmtId="0" fontId="27" fillId="9" borderId="20" xfId="0" applyFont="1" applyFill="1" applyBorder="1" applyAlignment="1">
      <alignment horizontal="left" vertical="center" wrapText="1"/>
    </xf>
    <xf numFmtId="0" fontId="27" fillId="2" borderId="19" xfId="0" applyFont="1" applyFill="1" applyBorder="1" applyAlignment="1">
      <alignment horizontal="left" vertical="center" wrapText="1" shrinkToFit="1"/>
    </xf>
    <xf numFmtId="0" fontId="27" fillId="2" borderId="63" xfId="0" applyFont="1" applyFill="1" applyBorder="1" applyAlignment="1">
      <alignment horizontal="left" vertical="center" wrapText="1" shrinkToFit="1"/>
    </xf>
    <xf numFmtId="0" fontId="27" fillId="2" borderId="11" xfId="0" applyFont="1" applyFill="1" applyBorder="1" applyAlignment="1">
      <alignment horizontal="left" vertical="center" wrapText="1" shrinkToFit="1"/>
    </xf>
    <xf numFmtId="0" fontId="27" fillId="2" borderId="45" xfId="0" applyFont="1" applyFill="1" applyBorder="1" applyAlignment="1">
      <alignment horizontal="left" vertical="center" wrapText="1" shrinkToFit="1"/>
    </xf>
    <xf numFmtId="0" fontId="27" fillId="2" borderId="21" xfId="0" applyFont="1" applyFill="1" applyBorder="1" applyAlignment="1">
      <alignment horizontal="left" vertical="center" wrapText="1" shrinkToFit="1"/>
    </xf>
    <xf numFmtId="0" fontId="27" fillId="3" borderId="45" xfId="0" applyFont="1" applyFill="1" applyBorder="1" applyAlignment="1">
      <alignment horizontal="left" vertical="center" wrapText="1" shrinkToFit="1"/>
    </xf>
    <xf numFmtId="0" fontId="27" fillId="3" borderId="69" xfId="0" applyFont="1" applyFill="1" applyBorder="1" applyAlignment="1">
      <alignment horizontal="left" vertical="center" wrapText="1" shrinkToFit="1"/>
    </xf>
    <xf numFmtId="0" fontId="27" fillId="3" borderId="21" xfId="0" applyFont="1" applyFill="1" applyBorder="1" applyAlignment="1">
      <alignment horizontal="left" vertical="center" wrapText="1"/>
    </xf>
    <xf numFmtId="0" fontId="27" fillId="9" borderId="21" xfId="0" applyFont="1" applyFill="1" applyBorder="1" applyAlignment="1">
      <alignment horizontal="left" vertical="center" wrapText="1"/>
    </xf>
    <xf numFmtId="0" fontId="27" fillId="9" borderId="19" xfId="0" applyFont="1" applyFill="1" applyBorder="1" applyAlignment="1">
      <alignment horizontal="left" vertical="center" wrapText="1" shrinkToFit="1"/>
    </xf>
    <xf numFmtId="0" fontId="27" fillId="9" borderId="14" xfId="0" applyFont="1" applyFill="1" applyBorder="1" applyAlignment="1">
      <alignment horizontal="left" vertical="center" wrapText="1"/>
    </xf>
    <xf numFmtId="0" fontId="27" fillId="9" borderId="11" xfId="0" applyFont="1" applyFill="1" applyBorder="1" applyAlignment="1">
      <alignment horizontal="left" vertical="center" wrapText="1" shrinkToFit="1"/>
    </xf>
    <xf numFmtId="0" fontId="27" fillId="9" borderId="32" xfId="0" applyFont="1" applyFill="1" applyBorder="1" applyAlignment="1">
      <alignment horizontal="left" vertical="center" wrapText="1"/>
    </xf>
    <xf numFmtId="0" fontId="27" fillId="9" borderId="21" xfId="0" applyFont="1" applyFill="1" applyBorder="1" applyAlignment="1">
      <alignment horizontal="left" vertical="center" wrapText="1" shrinkToFit="1"/>
    </xf>
    <xf numFmtId="0" fontId="27" fillId="2" borderId="2" xfId="0" applyFont="1" applyFill="1" applyBorder="1" applyAlignment="1">
      <alignment horizontal="left" vertical="center" wrapText="1" shrinkToFit="1"/>
    </xf>
    <xf numFmtId="0" fontId="27" fillId="2" borderId="17" xfId="0" applyFont="1" applyFill="1" applyBorder="1" applyAlignment="1">
      <alignment horizontal="left" vertical="center" wrapText="1" shrinkToFit="1"/>
    </xf>
    <xf numFmtId="0" fontId="27" fillId="2" borderId="35" xfId="0" applyFont="1" applyFill="1" applyBorder="1" applyAlignment="1">
      <alignment horizontal="left" vertical="center" wrapText="1" shrinkToFit="1"/>
    </xf>
    <xf numFmtId="0" fontId="27" fillId="2" borderId="20" xfId="0" applyFont="1" applyFill="1" applyBorder="1" applyAlignment="1">
      <alignment horizontal="left" vertical="center" wrapText="1" shrinkToFit="1"/>
    </xf>
    <xf numFmtId="0" fontId="27" fillId="3" borderId="63" xfId="0" applyFont="1" applyFill="1" applyBorder="1" applyAlignment="1">
      <alignment horizontal="left" vertical="center" wrapText="1" shrinkToFit="1"/>
    </xf>
    <xf numFmtId="0" fontId="27" fillId="9" borderId="17" xfId="0" applyFont="1" applyFill="1" applyBorder="1" applyAlignment="1">
      <alignment horizontal="left" vertical="center" wrapText="1" shrinkToFit="1"/>
    </xf>
    <xf numFmtId="0" fontId="27" fillId="2" borderId="69" xfId="0" applyFont="1" applyFill="1" applyBorder="1" applyAlignment="1">
      <alignment horizontal="left" vertical="center" wrapText="1" shrinkToFit="1"/>
    </xf>
    <xf numFmtId="0" fontId="27" fillId="3" borderId="11" xfId="0" applyFont="1" applyFill="1" applyBorder="1" applyAlignment="1">
      <alignment horizontal="left" vertical="center" wrapText="1" shrinkToFit="1"/>
    </xf>
    <xf numFmtId="0" fontId="27" fillId="3" borderId="3" xfId="0" applyFont="1" applyFill="1" applyBorder="1" applyAlignment="1">
      <alignment horizontal="left" vertical="center" wrapText="1"/>
    </xf>
    <xf numFmtId="0" fontId="27" fillId="3" borderId="31" xfId="0" applyFont="1" applyFill="1" applyBorder="1" applyAlignment="1">
      <alignment horizontal="left" vertical="center" wrapText="1"/>
    </xf>
    <xf numFmtId="0" fontId="27" fillId="3" borderId="24" xfId="0" applyFont="1" applyFill="1" applyBorder="1" applyAlignment="1">
      <alignment horizontal="left" vertical="center" wrapText="1"/>
    </xf>
    <xf numFmtId="0" fontId="27" fillId="9" borderId="61" xfId="0" applyFont="1" applyFill="1" applyBorder="1" applyAlignment="1">
      <alignment horizontal="left" vertical="center" wrapText="1"/>
    </xf>
    <xf numFmtId="0" fontId="27" fillId="9" borderId="45" xfId="0" applyFont="1" applyFill="1" applyBorder="1" applyAlignment="1">
      <alignment horizontal="left" vertical="center" wrapText="1"/>
    </xf>
    <xf numFmtId="0" fontId="27" fillId="10" borderId="12" xfId="0" applyFont="1" applyFill="1" applyBorder="1" applyAlignment="1">
      <alignment horizontal="left" vertical="center" wrapText="1" shrinkToFit="1"/>
    </xf>
    <xf numFmtId="0" fontId="21" fillId="0" borderId="0" xfId="0" applyFont="1" applyFill="1" applyAlignment="1">
      <alignment horizontal="left" vertical="center"/>
    </xf>
    <xf numFmtId="0" fontId="52" fillId="5" borderId="55" xfId="0" applyFont="1" applyFill="1" applyBorder="1" applyAlignment="1">
      <alignment vertical="center"/>
    </xf>
    <xf numFmtId="0" fontId="65" fillId="5" borderId="54" xfId="0" applyFont="1" applyFill="1" applyBorder="1" applyAlignment="1">
      <alignment vertical="center"/>
    </xf>
    <xf numFmtId="166" fontId="25" fillId="0" borderId="0" xfId="0" applyNumberFormat="1" applyFont="1" applyFill="1" applyAlignment="1"/>
    <xf numFmtId="0" fontId="23" fillId="0" borderId="0" xfId="0" applyFont="1" applyFill="1" applyAlignment="1">
      <alignment horizontal="center" vertical="center"/>
    </xf>
    <xf numFmtId="167" fontId="21" fillId="0" borderId="0" xfId="0" applyNumberFormat="1" applyFont="1" applyFill="1" applyAlignment="1">
      <alignment vertical="center"/>
    </xf>
    <xf numFmtId="167" fontId="21" fillId="0" borderId="0" xfId="0" applyNumberFormat="1" applyFont="1" applyFill="1" applyAlignment="1">
      <alignment horizontal="left" vertical="center"/>
    </xf>
    <xf numFmtId="0" fontId="21" fillId="0" borderId="24" xfId="0" applyFont="1" applyFill="1" applyBorder="1" applyAlignment="1">
      <alignment horizontal="left" vertical="center" wrapText="1"/>
    </xf>
    <xf numFmtId="0" fontId="81" fillId="0" borderId="0" xfId="0" applyFont="1" applyFill="1" applyAlignment="1">
      <alignment horizontal="center" vertical="center"/>
    </xf>
    <xf numFmtId="0" fontId="71" fillId="0" borderId="0" xfId="0" applyFont="1" applyFill="1" applyAlignment="1">
      <alignment horizontal="center" vertical="center"/>
    </xf>
    <xf numFmtId="0" fontId="26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 wrapText="1"/>
    </xf>
    <xf numFmtId="0" fontId="25" fillId="0" borderId="0" xfId="0" applyFont="1" applyFill="1"/>
    <xf numFmtId="0" fontId="22" fillId="0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2" fillId="0" borderId="0" xfId="0" applyFont="1" applyFill="1" applyAlignment="1">
      <alignment horizontal="right" vertical="center"/>
    </xf>
    <xf numFmtId="0" fontId="22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right" vertical="center"/>
    </xf>
    <xf numFmtId="0" fontId="22" fillId="0" borderId="0" xfId="0" applyFont="1" applyFill="1" applyBorder="1"/>
    <xf numFmtId="166" fontId="22" fillId="0" borderId="0" xfId="0" applyNumberFormat="1" applyFont="1" applyFill="1" applyBorder="1" applyAlignment="1">
      <alignment vertical="center"/>
    </xf>
    <xf numFmtId="166" fontId="22" fillId="0" borderId="0" xfId="0" applyNumberFormat="1" applyFont="1" applyFill="1" applyBorder="1" applyAlignment="1">
      <alignment horizontal="right" vertical="center"/>
    </xf>
    <xf numFmtId="0" fontId="27" fillId="0" borderId="7" xfId="0" applyFont="1" applyFill="1" applyBorder="1" applyAlignment="1">
      <alignment horizontal="center"/>
    </xf>
    <xf numFmtId="0" fontId="22" fillId="0" borderId="7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79" fillId="0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left" vertical="center" wrapText="1"/>
    </xf>
    <xf numFmtId="0" fontId="25" fillId="0" borderId="0" xfId="0" applyFont="1"/>
    <xf numFmtId="166" fontId="25" fillId="0" borderId="0" xfId="0" applyNumberFormat="1" applyFont="1" applyFill="1"/>
    <xf numFmtId="0" fontId="29" fillId="0" borderId="0" xfId="0" applyFont="1" applyFill="1"/>
    <xf numFmtId="166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wrapText="1"/>
    </xf>
    <xf numFmtId="0" fontId="25" fillId="0" borderId="7" xfId="0" applyFont="1" applyFill="1" applyBorder="1" applyAlignment="1">
      <alignment vertical="center"/>
    </xf>
    <xf numFmtId="0" fontId="25" fillId="0" borderId="7" xfId="0" applyFont="1" applyFill="1" applyBorder="1" applyAlignment="1">
      <alignment horizontal="left" vertical="center" wrapText="1"/>
    </xf>
    <xf numFmtId="0" fontId="25" fillId="0" borderId="7" xfId="0" applyFont="1" applyFill="1" applyBorder="1"/>
    <xf numFmtId="0" fontId="29" fillId="0" borderId="7" xfId="0" applyFont="1" applyFill="1" applyBorder="1"/>
    <xf numFmtId="1" fontId="25" fillId="0" borderId="7" xfId="0" applyNumberFormat="1" applyFont="1" applyFill="1" applyBorder="1"/>
    <xf numFmtId="0" fontId="25" fillId="0" borderId="7" xfId="0" applyFont="1" applyFill="1" applyBorder="1" applyAlignment="1">
      <alignment wrapText="1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167" fontId="21" fillId="0" borderId="0" xfId="0" applyNumberFormat="1" applyFont="1" applyFill="1" applyAlignment="1"/>
    <xf numFmtId="0" fontId="21" fillId="0" borderId="0" xfId="0" applyFont="1"/>
    <xf numFmtId="0" fontId="21" fillId="0" borderId="0" xfId="0" applyFont="1" applyFill="1" applyAlignment="1">
      <alignment wrapText="1"/>
    </xf>
    <xf numFmtId="0" fontId="21" fillId="0" borderId="0" xfId="0" applyFont="1" applyFill="1" applyAlignment="1">
      <alignment vertical="center"/>
    </xf>
    <xf numFmtId="0" fontId="21" fillId="0" borderId="0" xfId="0" applyFont="1" applyFill="1" applyAlignment="1">
      <alignment horizontal="center" vertical="center"/>
    </xf>
    <xf numFmtId="166" fontId="21" fillId="0" borderId="0" xfId="0" applyNumberFormat="1" applyFont="1" applyFill="1" applyAlignment="1">
      <alignment horizontal="center"/>
    </xf>
    <xf numFmtId="0" fontId="21" fillId="0" borderId="0" xfId="0" applyFont="1" applyAlignment="1">
      <alignment wrapText="1"/>
    </xf>
    <xf numFmtId="0" fontId="21" fillId="0" borderId="0" xfId="0" applyFont="1" applyFill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Alignment="1">
      <alignment horizontal="left" wrapText="1"/>
    </xf>
    <xf numFmtId="1" fontId="21" fillId="0" borderId="0" xfId="0" applyNumberFormat="1" applyFont="1" applyFill="1" applyAlignment="1">
      <alignment horizontal="left"/>
    </xf>
    <xf numFmtId="0" fontId="28" fillId="0" borderId="0" xfId="0" applyFont="1" applyFill="1" applyAlignment="1">
      <alignment horizontal="left"/>
    </xf>
    <xf numFmtId="166" fontId="21" fillId="0" borderId="0" xfId="0" applyNumberFormat="1" applyFont="1" applyFill="1" applyAlignment="1">
      <alignment horizontal="left"/>
    </xf>
    <xf numFmtId="167" fontId="21" fillId="0" borderId="0" xfId="0" applyNumberFormat="1" applyFont="1" applyFill="1" applyAlignment="1">
      <alignment horizontal="left"/>
    </xf>
    <xf numFmtId="167" fontId="21" fillId="0" borderId="0" xfId="0" applyNumberFormat="1" applyFont="1" applyFill="1" applyAlignment="1">
      <alignment horizontal="left"/>
    </xf>
    <xf numFmtId="0" fontId="21" fillId="0" borderId="0" xfId="0" applyFont="1" applyFill="1" applyAlignment="1">
      <alignment horizontal="left"/>
    </xf>
    <xf numFmtId="0" fontId="13" fillId="0" borderId="23" xfId="0" applyFont="1" applyFill="1" applyBorder="1" applyAlignment="1">
      <alignment horizontal="center" vertical="center"/>
    </xf>
    <xf numFmtId="2" fontId="13" fillId="0" borderId="23" xfId="0" applyNumberFormat="1" applyFont="1" applyFill="1" applyBorder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colors>
    <mruColors>
      <color rgb="FF0000FF"/>
      <color rgb="FF0000CC"/>
      <color rgb="FFFF5050"/>
      <color rgb="FFCCFFFF"/>
      <color rgb="FFFFFFCC"/>
      <color rgb="FFCCFFCC"/>
      <color rgb="FFFFCCFF"/>
      <color rgb="FFCCECFF"/>
      <color rgb="FF00800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455083</xdr:colOff>
      <xdr:row>29</xdr:row>
      <xdr:rowOff>116417</xdr:rowOff>
    </xdr:from>
    <xdr:to>
      <xdr:col>6</xdr:col>
      <xdr:colOff>42333</xdr:colOff>
      <xdr:row>31</xdr:row>
      <xdr:rowOff>63500</xdr:rowOff>
    </xdr:to>
    <xdr:sp macro="[0]!clear_menu_all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76500" y="6593417"/>
          <a:ext cx="687916" cy="349250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неделя</a:t>
          </a:r>
        </a:p>
      </xdr:txBody>
    </xdr:sp>
    <xdr:clientData/>
  </xdr:twoCellAnchor>
  <xdr:twoCellAnchor>
    <xdr:from>
      <xdr:col>4</xdr:col>
      <xdr:colOff>455083</xdr:colOff>
      <xdr:row>27</xdr:row>
      <xdr:rowOff>190501</xdr:rowOff>
    </xdr:from>
    <xdr:to>
      <xdr:col>5</xdr:col>
      <xdr:colOff>285750</xdr:colOff>
      <xdr:row>29</xdr:row>
      <xdr:rowOff>95252</xdr:rowOff>
    </xdr:to>
    <xdr:sp macro="[0]!clear_menu_monday" textlink="">
      <xdr:nvSpPr>
        <xdr:cNvPr id="3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76500" y="6275918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Пн</a:t>
          </a:r>
        </a:p>
      </xdr:txBody>
    </xdr:sp>
    <xdr:clientData/>
  </xdr:twoCellAnchor>
  <xdr:twoCellAnchor>
    <xdr:from>
      <xdr:col>5</xdr:col>
      <xdr:colOff>497416</xdr:colOff>
      <xdr:row>27</xdr:row>
      <xdr:rowOff>190500</xdr:rowOff>
    </xdr:from>
    <xdr:to>
      <xdr:col>6</xdr:col>
      <xdr:colOff>328083</xdr:colOff>
      <xdr:row>29</xdr:row>
      <xdr:rowOff>95251</xdr:rowOff>
    </xdr:to>
    <xdr:sp macro="[0]!clear_menu_tuesday" textlink="">
      <xdr:nvSpPr>
        <xdr:cNvPr id="4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69166" y="6275917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Вт</a:t>
          </a:r>
        </a:p>
      </xdr:txBody>
    </xdr:sp>
    <xdr:clientData/>
  </xdr:twoCellAnchor>
  <xdr:twoCellAnchor>
    <xdr:from>
      <xdr:col>7</xdr:col>
      <xdr:colOff>1</xdr:colOff>
      <xdr:row>27</xdr:row>
      <xdr:rowOff>179917</xdr:rowOff>
    </xdr:from>
    <xdr:to>
      <xdr:col>7</xdr:col>
      <xdr:colOff>381001</xdr:colOff>
      <xdr:row>29</xdr:row>
      <xdr:rowOff>84668</xdr:rowOff>
    </xdr:to>
    <xdr:sp macro="[0]!clear_menu_wensday" textlink="">
      <xdr:nvSpPr>
        <xdr:cNvPr id="6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72418" y="6265334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Ср</a:t>
          </a:r>
        </a:p>
      </xdr:txBody>
    </xdr:sp>
    <xdr:clientData/>
  </xdr:twoCellAnchor>
  <xdr:twoCellAnchor>
    <xdr:from>
      <xdr:col>8</xdr:col>
      <xdr:colOff>42333</xdr:colOff>
      <xdr:row>27</xdr:row>
      <xdr:rowOff>179917</xdr:rowOff>
    </xdr:from>
    <xdr:to>
      <xdr:col>8</xdr:col>
      <xdr:colOff>423333</xdr:colOff>
      <xdr:row>29</xdr:row>
      <xdr:rowOff>84668</xdr:rowOff>
    </xdr:to>
    <xdr:sp macro="[0]!clear_menu_thursday" textlink="">
      <xdr:nvSpPr>
        <xdr:cNvPr id="7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265083" y="6265334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Чт</a:t>
          </a:r>
        </a:p>
      </xdr:txBody>
    </xdr:sp>
    <xdr:clientData/>
  </xdr:twoCellAnchor>
  <xdr:twoCellAnchor>
    <xdr:from>
      <xdr:col>9</xdr:col>
      <xdr:colOff>116419</xdr:colOff>
      <xdr:row>27</xdr:row>
      <xdr:rowOff>179917</xdr:rowOff>
    </xdr:from>
    <xdr:to>
      <xdr:col>9</xdr:col>
      <xdr:colOff>497419</xdr:colOff>
      <xdr:row>29</xdr:row>
      <xdr:rowOff>84668</xdr:rowOff>
    </xdr:to>
    <xdr:sp macro="[0]!clear_menu_friday" textlink="">
      <xdr:nvSpPr>
        <xdr:cNvPr id="8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889502" y="6265334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Пт</a:t>
          </a:r>
        </a:p>
      </xdr:txBody>
    </xdr:sp>
    <xdr:clientData/>
  </xdr:twoCellAnchor>
  <xdr:twoCellAnchor>
    <xdr:from>
      <xdr:col>10</xdr:col>
      <xdr:colOff>158748</xdr:colOff>
      <xdr:row>27</xdr:row>
      <xdr:rowOff>179916</xdr:rowOff>
    </xdr:from>
    <xdr:to>
      <xdr:col>10</xdr:col>
      <xdr:colOff>539748</xdr:colOff>
      <xdr:row>29</xdr:row>
      <xdr:rowOff>84667</xdr:rowOff>
    </xdr:to>
    <xdr:sp macro="[0]!clear_menu_saturday" textlink="">
      <xdr:nvSpPr>
        <xdr:cNvPr id="9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482165" y="6265333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Сб</a:t>
          </a:r>
        </a:p>
      </xdr:txBody>
    </xdr:sp>
    <xdr:clientData/>
  </xdr:twoCellAnchor>
  <xdr:twoCellAnchor>
    <xdr:from>
      <xdr:col>11</xdr:col>
      <xdr:colOff>211667</xdr:colOff>
      <xdr:row>27</xdr:row>
      <xdr:rowOff>179917</xdr:rowOff>
    </xdr:from>
    <xdr:to>
      <xdr:col>12</xdr:col>
      <xdr:colOff>42334</xdr:colOff>
      <xdr:row>29</xdr:row>
      <xdr:rowOff>84668</xdr:rowOff>
    </xdr:to>
    <xdr:sp macro="[0]!clear_menu_sunday" textlink="">
      <xdr:nvSpPr>
        <xdr:cNvPr id="10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85417" y="6265334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Вс</a:t>
          </a:r>
        </a:p>
      </xdr:txBody>
    </xdr:sp>
    <xdr:clientData/>
  </xdr:twoCellAnchor>
  <xdr:twoCellAnchor>
    <xdr:from>
      <xdr:col>6</xdr:col>
      <xdr:colOff>508001</xdr:colOff>
      <xdr:row>4</xdr:row>
      <xdr:rowOff>201083</xdr:rowOff>
    </xdr:from>
    <xdr:to>
      <xdr:col>7</xdr:col>
      <xdr:colOff>338667</xdr:colOff>
      <xdr:row>6</xdr:row>
      <xdr:rowOff>10583</xdr:rowOff>
    </xdr:to>
    <xdr:sp macro="[0]!Nakl_monday_for_print" textlink="">
      <xdr:nvSpPr>
        <xdr:cNvPr id="11" name="Прямоугольник: скругленные углы 1">
          <a:extLst>
            <a:ext uri="{FF2B5EF4-FFF2-40B4-BE49-F238E27FC236}">
              <a16:creationId xmlns:a16="http://schemas.microsoft.com/office/drawing/2014/main" id="{F9B6B1F2-6590-4570-AD50-760D5FEA12E3}"/>
            </a:ext>
          </a:extLst>
        </xdr:cNvPr>
        <xdr:cNvSpPr/>
      </xdr:nvSpPr>
      <xdr:spPr>
        <a:xfrm>
          <a:off x="3630084" y="1058333"/>
          <a:ext cx="381000" cy="306917"/>
        </a:xfrm>
        <a:prstGeom prst="roundRect">
          <a:avLst/>
        </a:prstGeom>
        <a:solidFill>
          <a:srgbClr val="00B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Пн</a:t>
          </a:r>
        </a:p>
      </xdr:txBody>
    </xdr:sp>
    <xdr:clientData/>
  </xdr:twoCellAnchor>
  <xdr:twoCellAnchor>
    <xdr:from>
      <xdr:col>6</xdr:col>
      <xdr:colOff>550333</xdr:colOff>
      <xdr:row>9</xdr:row>
      <xdr:rowOff>0</xdr:rowOff>
    </xdr:from>
    <xdr:to>
      <xdr:col>8</xdr:col>
      <xdr:colOff>95249</xdr:colOff>
      <xdr:row>10</xdr:row>
      <xdr:rowOff>105833</xdr:rowOff>
    </xdr:to>
    <xdr:sp macro="[0]!Menu_for_print" textlink="">
      <xdr:nvSpPr>
        <xdr:cNvPr id="12" name="Прямоугольник: скругленные углы 1">
          <a:extLst>
            <a:ext uri="{FF2B5EF4-FFF2-40B4-BE49-F238E27FC236}">
              <a16:creationId xmlns:a16="http://schemas.microsoft.com/office/drawing/2014/main" id="{0C0D028E-8A2E-4C6C-BBE4-C518B613EBE5}"/>
            </a:ext>
          </a:extLst>
        </xdr:cNvPr>
        <xdr:cNvSpPr/>
      </xdr:nvSpPr>
      <xdr:spPr>
        <a:xfrm>
          <a:off x="3672416" y="2084917"/>
          <a:ext cx="645583" cy="306916"/>
        </a:xfrm>
        <a:prstGeom prst="roundRect">
          <a:avLst/>
        </a:prstGeom>
        <a:solidFill>
          <a:srgbClr val="00B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Menu</a:t>
          </a:r>
          <a:endParaRPr lang="ru-RU" sz="9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U129"/>
  <sheetViews>
    <sheetView showGridLines="0" tabSelected="1" zoomScale="90" zoomScaleNormal="90" workbookViewId="0">
      <selection activeCell="U16" sqref="U16"/>
    </sheetView>
  </sheetViews>
  <sheetFormatPr defaultRowHeight="15" x14ac:dyDescent="0.25"/>
  <cols>
    <col min="1" max="1" width="1.85546875" customWidth="1"/>
    <col min="2" max="2" width="2.28515625" customWidth="1"/>
    <col min="3" max="3" width="17.85546875" customWidth="1"/>
    <col min="4" max="17" width="8.28515625" customWidth="1"/>
    <col min="18" max="18" width="2.28515625" customWidth="1"/>
    <col min="25" max="25" width="11.140625" customWidth="1"/>
  </cols>
  <sheetData>
    <row r="1" spans="1:47" ht="7.5" customHeight="1" thickBot="1" x14ac:dyDescent="0.3">
      <c r="A1" s="191"/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681" t="s">
        <v>295</v>
      </c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</row>
    <row r="2" spans="1:47" ht="16.5" thickBot="1" x14ac:dyDescent="0.3">
      <c r="A2" s="191"/>
      <c r="B2" s="162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4"/>
      <c r="S2" s="191"/>
      <c r="T2" s="680" t="s">
        <v>295</v>
      </c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  <c r="AO2" s="191"/>
      <c r="AP2" s="191"/>
      <c r="AQ2" s="191"/>
      <c r="AR2" s="191"/>
      <c r="AS2" s="191"/>
      <c r="AT2" s="191"/>
      <c r="AU2" s="191"/>
    </row>
    <row r="3" spans="1:47" s="96" customFormat="1" ht="25.5" customHeight="1" thickTop="1" thickBot="1" x14ac:dyDescent="0.3">
      <c r="A3" s="192"/>
      <c r="B3" s="165"/>
      <c r="C3" s="166" t="s">
        <v>273</v>
      </c>
      <c r="D3" s="167"/>
      <c r="E3" s="698">
        <f ca="1">TODAY()</f>
        <v>45121</v>
      </c>
      <c r="F3" s="699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8"/>
      <c r="S3" s="192"/>
      <c r="T3" s="687" t="s">
        <v>454</v>
      </c>
      <c r="U3" s="687"/>
      <c r="V3" s="687"/>
      <c r="W3" s="687"/>
      <c r="X3" s="687"/>
      <c r="Y3" s="687"/>
      <c r="Z3" s="687" t="s">
        <v>455</v>
      </c>
      <c r="AA3" s="687"/>
      <c r="AB3" s="687"/>
      <c r="AC3" s="687"/>
      <c r="AD3" s="687"/>
      <c r="AE3" s="687"/>
      <c r="AF3" s="687"/>
      <c r="AG3" s="687"/>
      <c r="AH3" s="687"/>
      <c r="AI3" s="687"/>
      <c r="AJ3" s="192"/>
      <c r="AK3" s="192"/>
      <c r="AL3" s="192"/>
      <c r="AM3" s="192"/>
      <c r="AN3" s="192"/>
      <c r="AO3" s="192"/>
      <c r="AP3" s="192"/>
      <c r="AQ3" s="192"/>
      <c r="AR3" s="192"/>
      <c r="AS3" s="192"/>
      <c r="AT3" s="192"/>
      <c r="AU3" s="192"/>
    </row>
    <row r="4" spans="1:47" s="160" customFormat="1" ht="16.5" customHeight="1" thickTop="1" x14ac:dyDescent="0.25">
      <c r="A4" s="192"/>
      <c r="B4" s="169"/>
      <c r="C4" s="170"/>
      <c r="D4" s="171"/>
      <c r="E4" s="158"/>
      <c r="F4" s="159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2"/>
      <c r="S4" s="192"/>
      <c r="T4" s="687" t="s">
        <v>454</v>
      </c>
      <c r="U4" s="687"/>
      <c r="V4" s="687"/>
      <c r="W4" s="687"/>
      <c r="X4" s="687"/>
      <c r="Y4" s="687"/>
      <c r="Z4" s="687" t="s">
        <v>456</v>
      </c>
      <c r="AA4" s="687"/>
      <c r="AB4" s="687"/>
      <c r="AC4" s="687"/>
      <c r="AD4" s="687"/>
      <c r="AE4" s="687"/>
      <c r="AF4" s="687"/>
      <c r="AG4" s="687"/>
      <c r="AH4" s="687"/>
      <c r="AI4" s="687"/>
      <c r="AJ4" s="192"/>
      <c r="AK4" s="192"/>
      <c r="AL4" s="192"/>
      <c r="AM4" s="192"/>
      <c r="AN4" s="192"/>
      <c r="AO4" s="192"/>
      <c r="AP4" s="192"/>
      <c r="AQ4" s="192"/>
      <c r="AR4" s="192"/>
      <c r="AS4" s="192"/>
      <c r="AT4" s="192"/>
      <c r="AU4" s="192"/>
    </row>
    <row r="5" spans="1:47" s="161" customFormat="1" ht="23.25" x14ac:dyDescent="0.35">
      <c r="A5" s="193"/>
      <c r="B5" s="173"/>
      <c r="C5" s="174" t="s">
        <v>109</v>
      </c>
      <c r="D5" s="174"/>
      <c r="E5" s="174"/>
      <c r="F5" s="174"/>
      <c r="G5" s="174"/>
      <c r="H5" s="175"/>
      <c r="I5" s="175"/>
      <c r="J5" s="175"/>
      <c r="K5" s="174" t="s">
        <v>269</v>
      </c>
      <c r="L5" s="174"/>
      <c r="M5" s="174"/>
      <c r="N5" s="175"/>
      <c r="O5" s="174"/>
      <c r="P5" s="174"/>
      <c r="Q5" s="174"/>
      <c r="R5" s="176"/>
      <c r="S5" s="193"/>
      <c r="T5" s="687" t="s">
        <v>461</v>
      </c>
      <c r="U5" s="687"/>
      <c r="V5" s="687"/>
      <c r="W5" s="687"/>
      <c r="X5" s="687"/>
      <c r="Y5" s="687"/>
      <c r="Z5" s="687" t="s">
        <v>462</v>
      </c>
      <c r="AA5" s="687"/>
      <c r="AB5" s="687"/>
      <c r="AC5" s="687"/>
      <c r="AD5" s="687"/>
      <c r="AE5" s="687"/>
      <c r="AF5" s="687"/>
      <c r="AG5" s="687"/>
      <c r="AH5" s="687"/>
      <c r="AI5" s="687"/>
      <c r="AJ5" s="193"/>
      <c r="AK5" s="193"/>
      <c r="AL5" s="193"/>
      <c r="AM5" s="193"/>
      <c r="AN5" s="193"/>
      <c r="AO5" s="193"/>
      <c r="AP5" s="193"/>
      <c r="AQ5" s="193"/>
      <c r="AR5" s="193"/>
      <c r="AS5" s="193"/>
      <c r="AT5" s="193"/>
      <c r="AU5" s="193"/>
    </row>
    <row r="6" spans="1:47" s="96" customFormat="1" ht="15.75" x14ac:dyDescent="0.25">
      <c r="A6" s="192"/>
      <c r="B6" s="165"/>
      <c r="C6" s="167"/>
      <c r="D6" s="167"/>
      <c r="E6" s="167" t="s">
        <v>267</v>
      </c>
      <c r="F6" s="167"/>
      <c r="G6" s="167"/>
      <c r="H6" s="177"/>
      <c r="I6" s="177"/>
      <c r="J6" s="177"/>
      <c r="K6" s="177"/>
      <c r="L6" s="167"/>
      <c r="M6" s="167"/>
      <c r="N6" s="167"/>
      <c r="O6" s="167" t="s">
        <v>275</v>
      </c>
      <c r="P6" s="167"/>
      <c r="Q6" s="167"/>
      <c r="R6" s="168"/>
      <c r="S6" s="192"/>
      <c r="T6" s="687"/>
      <c r="U6" s="687"/>
      <c r="V6" s="687"/>
      <c r="W6" s="687"/>
      <c r="X6" s="687"/>
      <c r="Y6" s="687"/>
      <c r="Z6" s="687"/>
      <c r="AA6" s="687"/>
      <c r="AB6" s="687"/>
      <c r="AC6" s="687"/>
      <c r="AD6" s="687"/>
      <c r="AE6" s="687"/>
      <c r="AF6" s="687"/>
      <c r="AG6" s="687"/>
      <c r="AH6" s="687"/>
      <c r="AI6" s="687"/>
      <c r="AJ6" s="192"/>
      <c r="AK6" s="192"/>
      <c r="AL6" s="192"/>
      <c r="AM6" s="192"/>
      <c r="AN6" s="192"/>
      <c r="AO6" s="192"/>
      <c r="AP6" s="192"/>
      <c r="AQ6" s="192"/>
      <c r="AR6" s="192"/>
      <c r="AS6" s="192"/>
      <c r="AT6" s="192"/>
      <c r="AU6" s="192"/>
    </row>
    <row r="7" spans="1:47" s="96" customFormat="1" ht="15.75" x14ac:dyDescent="0.25">
      <c r="A7" s="192"/>
      <c r="B7" s="165"/>
      <c r="C7" s="167"/>
      <c r="D7" s="167"/>
      <c r="E7" s="167" t="s">
        <v>266</v>
      </c>
      <c r="F7" s="167"/>
      <c r="G7" s="167"/>
      <c r="H7" s="177"/>
      <c r="I7" s="177"/>
      <c r="J7" s="177"/>
      <c r="K7" s="167"/>
      <c r="L7" s="167"/>
      <c r="M7" s="167"/>
      <c r="N7" s="167"/>
      <c r="O7" s="167"/>
      <c r="P7" s="167"/>
      <c r="Q7" s="167"/>
      <c r="R7" s="168"/>
      <c r="S7" s="192"/>
      <c r="T7" s="687"/>
      <c r="U7" s="687"/>
      <c r="V7" s="687"/>
      <c r="W7" s="687"/>
      <c r="X7" s="687"/>
      <c r="Y7" s="687"/>
      <c r="Z7" s="687"/>
      <c r="AA7" s="687"/>
      <c r="AB7" s="687"/>
      <c r="AC7" s="687"/>
      <c r="AD7" s="687"/>
      <c r="AE7" s="687"/>
      <c r="AF7" s="687"/>
      <c r="AG7" s="687"/>
      <c r="AH7" s="687"/>
      <c r="AI7" s="687"/>
      <c r="AJ7" s="192"/>
      <c r="AK7" s="192"/>
      <c r="AL7" s="192"/>
      <c r="AM7" s="192"/>
      <c r="AN7" s="192"/>
      <c r="AO7" s="192"/>
      <c r="AP7" s="192"/>
      <c r="AQ7" s="192"/>
      <c r="AR7" s="192"/>
      <c r="AS7" s="192"/>
      <c r="AT7" s="192"/>
      <c r="AU7" s="192"/>
    </row>
    <row r="8" spans="1:47" s="96" customFormat="1" ht="19.5" customHeight="1" x14ac:dyDescent="0.25">
      <c r="A8" s="192"/>
      <c r="B8" s="165"/>
      <c r="C8" s="167"/>
      <c r="D8" s="167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8"/>
      <c r="S8" s="192"/>
      <c r="T8" s="687"/>
      <c r="U8" s="687"/>
      <c r="V8" s="687"/>
      <c r="W8" s="687"/>
      <c r="X8" s="687"/>
      <c r="Y8" s="687"/>
      <c r="Z8" s="687"/>
      <c r="AA8" s="687"/>
      <c r="AB8" s="687"/>
      <c r="AC8" s="687"/>
      <c r="AD8" s="687"/>
      <c r="AE8" s="687"/>
      <c r="AF8" s="687"/>
      <c r="AG8" s="687"/>
      <c r="AH8" s="687"/>
      <c r="AI8" s="687"/>
      <c r="AJ8" s="192"/>
      <c r="AK8" s="192"/>
      <c r="AL8" s="192"/>
      <c r="AM8" s="192"/>
      <c r="AN8" s="192"/>
      <c r="AO8" s="192"/>
      <c r="AP8" s="192"/>
      <c r="AQ8" s="192"/>
      <c r="AR8" s="192"/>
      <c r="AS8" s="192"/>
      <c r="AT8" s="192"/>
      <c r="AU8" s="192"/>
    </row>
    <row r="9" spans="1:47" s="96" customFormat="1" ht="23.25" x14ac:dyDescent="0.25">
      <c r="A9" s="192"/>
      <c r="B9" s="165"/>
      <c r="C9" s="174" t="s">
        <v>274</v>
      </c>
      <c r="D9" s="167"/>
      <c r="E9" s="167"/>
      <c r="F9" s="167"/>
      <c r="G9" s="167"/>
      <c r="H9" s="167"/>
      <c r="I9" s="167"/>
      <c r="J9" s="167"/>
      <c r="K9" s="174" t="s">
        <v>106</v>
      </c>
      <c r="L9" s="174"/>
      <c r="M9" s="174"/>
      <c r="N9" s="167"/>
      <c r="O9" s="167"/>
      <c r="P9" s="167"/>
      <c r="Q9" s="167"/>
      <c r="R9" s="168"/>
      <c r="S9" s="192"/>
      <c r="T9" s="687"/>
      <c r="U9" s="689"/>
      <c r="V9" s="689"/>
      <c r="W9" s="689"/>
      <c r="X9" s="687"/>
      <c r="Y9" s="689"/>
      <c r="Z9" s="687"/>
      <c r="AA9" s="687"/>
      <c r="AB9" s="687"/>
      <c r="AC9" s="687"/>
      <c r="AD9" s="687"/>
      <c r="AE9" s="687"/>
      <c r="AF9" s="687"/>
      <c r="AG9" s="687"/>
      <c r="AH9" s="687"/>
      <c r="AI9" s="687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</row>
    <row r="10" spans="1:47" s="96" customFormat="1" ht="15.75" x14ac:dyDescent="0.25">
      <c r="A10" s="192"/>
      <c r="B10" s="165"/>
      <c r="C10" s="167"/>
      <c r="D10" s="167"/>
      <c r="E10" s="167" t="s">
        <v>268</v>
      </c>
      <c r="F10" s="167"/>
      <c r="G10" s="167"/>
      <c r="H10" s="167"/>
      <c r="I10" s="167"/>
      <c r="J10" s="167"/>
      <c r="K10" s="167"/>
      <c r="L10" s="167" t="s">
        <v>107</v>
      </c>
      <c r="M10" s="167"/>
      <c r="N10" s="167"/>
      <c r="O10" s="167"/>
      <c r="P10" s="167"/>
      <c r="Q10" s="167"/>
      <c r="R10" s="168"/>
      <c r="S10" s="192"/>
      <c r="T10" s="687"/>
      <c r="U10" s="687"/>
      <c r="V10" s="689"/>
      <c r="W10" s="689"/>
      <c r="X10" s="689"/>
      <c r="Y10" s="689"/>
      <c r="Z10" s="687"/>
      <c r="AA10" s="687"/>
      <c r="AB10" s="687"/>
      <c r="AC10" s="687"/>
      <c r="AD10" s="687"/>
      <c r="AE10" s="687"/>
      <c r="AF10" s="687"/>
      <c r="AG10" s="687"/>
      <c r="AH10" s="687"/>
      <c r="AI10" s="687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</row>
    <row r="11" spans="1:47" s="96" customFormat="1" ht="15.75" x14ac:dyDescent="0.25">
      <c r="A11" s="192"/>
      <c r="B11" s="165"/>
      <c r="C11" s="167"/>
      <c r="D11" s="167"/>
      <c r="E11" s="167"/>
      <c r="F11" s="167"/>
      <c r="G11" s="167"/>
      <c r="H11" s="167"/>
      <c r="I11" s="167"/>
      <c r="J11" s="167"/>
      <c r="K11" s="167"/>
      <c r="L11" s="167" t="s">
        <v>108</v>
      </c>
      <c r="M11" s="167"/>
      <c r="N11" s="167"/>
      <c r="O11" s="167"/>
      <c r="P11" s="167"/>
      <c r="Q11" s="167"/>
      <c r="R11" s="168"/>
      <c r="S11" s="192"/>
      <c r="T11" s="687"/>
      <c r="U11" s="687"/>
      <c r="V11" s="687"/>
      <c r="W11" s="687"/>
      <c r="X11" s="687"/>
      <c r="Y11" s="687"/>
      <c r="Z11" s="687"/>
      <c r="AA11" s="687"/>
      <c r="AB11" s="687"/>
      <c r="AC11" s="687"/>
      <c r="AD11" s="687"/>
      <c r="AE11" s="687"/>
      <c r="AF11" s="687"/>
      <c r="AG11" s="687"/>
      <c r="AH11" s="687"/>
      <c r="AI11" s="687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</row>
    <row r="12" spans="1:47" s="96" customFormat="1" ht="15.75" x14ac:dyDescent="0.25">
      <c r="A12" s="192"/>
      <c r="B12" s="165"/>
      <c r="C12" s="167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8"/>
      <c r="S12" s="192"/>
      <c r="T12" s="687"/>
      <c r="U12" s="687"/>
      <c r="V12" s="687"/>
      <c r="W12" s="687"/>
      <c r="X12" s="687"/>
      <c r="Y12" s="687"/>
      <c r="Z12" s="687"/>
      <c r="AA12" s="687"/>
      <c r="AB12" s="687"/>
      <c r="AC12" s="687"/>
      <c r="AD12" s="687"/>
      <c r="AE12" s="687"/>
      <c r="AF12" s="687"/>
      <c r="AG12" s="687"/>
      <c r="AH12" s="687"/>
      <c r="AI12" s="687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</row>
    <row r="13" spans="1:47" s="96" customFormat="1" ht="21" customHeight="1" x14ac:dyDescent="0.25">
      <c r="A13" s="192"/>
      <c r="B13" s="165"/>
      <c r="C13" s="198" t="s">
        <v>0</v>
      </c>
      <c r="D13" s="700">
        <v>45117</v>
      </c>
      <c r="E13" s="700"/>
      <c r="F13" s="167"/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8"/>
      <c r="S13" s="192"/>
      <c r="T13" s="687"/>
      <c r="U13" s="687"/>
      <c r="V13" s="687"/>
      <c r="W13" s="687"/>
      <c r="X13" s="687"/>
      <c r="Y13" s="687"/>
      <c r="Z13" s="687"/>
      <c r="AA13" s="687"/>
      <c r="AB13" s="687"/>
      <c r="AC13" s="687"/>
      <c r="AD13" s="687"/>
      <c r="AE13" s="687"/>
      <c r="AF13" s="687"/>
      <c r="AG13" s="687"/>
      <c r="AH13" s="687"/>
      <c r="AI13" s="687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</row>
    <row r="14" spans="1:47" s="96" customFormat="1" ht="15.75" customHeight="1" x14ac:dyDescent="0.25">
      <c r="A14" s="192"/>
      <c r="B14" s="165"/>
      <c r="C14" s="198"/>
      <c r="D14" s="167"/>
      <c r="E14" s="167"/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  <c r="S14" s="192"/>
      <c r="T14" s="687"/>
      <c r="U14" s="687"/>
      <c r="V14" s="687"/>
      <c r="W14" s="687"/>
      <c r="X14" s="687"/>
      <c r="Y14" s="687"/>
      <c r="Z14" s="687"/>
      <c r="AA14" s="687"/>
      <c r="AB14" s="687"/>
      <c r="AC14" s="687"/>
      <c r="AD14" s="687"/>
      <c r="AE14" s="687"/>
      <c r="AF14" s="687"/>
      <c r="AG14" s="687"/>
      <c r="AH14" s="687"/>
      <c r="AI14" s="687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</row>
    <row r="15" spans="1:47" s="96" customFormat="1" ht="21" customHeight="1" x14ac:dyDescent="0.25">
      <c r="A15" s="192"/>
      <c r="B15" s="165"/>
      <c r="C15" s="198" t="s">
        <v>1</v>
      </c>
      <c r="D15" s="700">
        <f>D13+6</f>
        <v>45123</v>
      </c>
      <c r="E15" s="700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8"/>
      <c r="S15" s="192"/>
      <c r="T15" s="687"/>
      <c r="U15" s="687"/>
      <c r="V15" s="687"/>
      <c r="W15" s="687"/>
      <c r="X15" s="687"/>
      <c r="Y15" s="687"/>
      <c r="Z15" s="687"/>
      <c r="AA15" s="687"/>
      <c r="AB15" s="687"/>
      <c r="AC15" s="687"/>
      <c r="AD15" s="687"/>
      <c r="AE15" s="687"/>
      <c r="AF15" s="687"/>
      <c r="AG15" s="687"/>
      <c r="AH15" s="687"/>
      <c r="AI15" s="687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</row>
    <row r="16" spans="1:47" s="96" customFormat="1" ht="15.75" x14ac:dyDescent="0.25">
      <c r="A16" s="192"/>
      <c r="B16" s="165"/>
      <c r="C16" s="178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8"/>
      <c r="S16" s="192"/>
      <c r="T16" s="687"/>
      <c r="U16" s="687"/>
      <c r="V16" s="687"/>
      <c r="W16" s="687"/>
      <c r="X16" s="687"/>
      <c r="Y16" s="687"/>
      <c r="Z16" s="687"/>
      <c r="AA16" s="687"/>
      <c r="AB16" s="687"/>
      <c r="AC16" s="687"/>
      <c r="AD16" s="687"/>
      <c r="AE16" s="687"/>
      <c r="AF16" s="687"/>
      <c r="AG16" s="687"/>
      <c r="AH16" s="687"/>
      <c r="AI16" s="687"/>
      <c r="AJ16" s="192"/>
      <c r="AK16" s="192"/>
      <c r="AL16" s="192"/>
      <c r="AM16" s="192"/>
      <c r="AN16" s="192"/>
      <c r="AO16" s="192"/>
      <c r="AP16" s="192"/>
      <c r="AQ16" s="192"/>
      <c r="AR16" s="192"/>
      <c r="AS16" s="192"/>
      <c r="AT16" s="192"/>
      <c r="AU16" s="192"/>
    </row>
    <row r="17" spans="1:47" s="96" customFormat="1" ht="15.75" x14ac:dyDescent="0.25">
      <c r="A17" s="192"/>
      <c r="B17" s="165"/>
      <c r="C17" s="198" t="s">
        <v>2</v>
      </c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8"/>
      <c r="S17" s="192"/>
      <c r="T17" s="687"/>
      <c r="U17" s="687"/>
      <c r="V17" s="687"/>
      <c r="W17" s="687"/>
      <c r="X17" s="687"/>
      <c r="Y17" s="687"/>
      <c r="Z17" s="687"/>
      <c r="AA17" s="687"/>
      <c r="AB17" s="687"/>
      <c r="AC17" s="687"/>
      <c r="AD17" s="687"/>
      <c r="AE17" s="687"/>
      <c r="AF17" s="687"/>
      <c r="AG17" s="687"/>
      <c r="AH17" s="687"/>
      <c r="AI17" s="687"/>
      <c r="AJ17" s="192"/>
      <c r="AK17" s="192"/>
      <c r="AL17" s="192"/>
      <c r="AM17" s="192"/>
      <c r="AN17" s="192"/>
      <c r="AO17" s="192"/>
      <c r="AP17" s="192"/>
      <c r="AQ17" s="192"/>
      <c r="AR17" s="192"/>
      <c r="AS17" s="192"/>
      <c r="AT17" s="192"/>
      <c r="AU17" s="192"/>
    </row>
    <row r="18" spans="1:47" s="96" customFormat="1" ht="14.25" customHeight="1" x14ac:dyDescent="0.25">
      <c r="A18" s="192"/>
      <c r="B18" s="165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67"/>
      <c r="O18" s="167"/>
      <c r="P18" s="167"/>
      <c r="Q18" s="167"/>
      <c r="R18" s="168"/>
      <c r="S18" s="192"/>
      <c r="T18" s="687"/>
      <c r="U18" s="687"/>
      <c r="V18" s="687"/>
      <c r="W18" s="687"/>
      <c r="X18" s="687"/>
      <c r="Y18" s="687"/>
      <c r="Z18" s="687"/>
      <c r="AA18" s="687"/>
      <c r="AB18" s="687"/>
      <c r="AC18" s="687"/>
      <c r="AD18" s="687"/>
      <c r="AE18" s="687"/>
      <c r="AF18" s="687"/>
      <c r="AG18" s="687"/>
      <c r="AH18" s="687"/>
      <c r="AI18" s="687"/>
      <c r="AJ18" s="192"/>
      <c r="AK18" s="192"/>
      <c r="AL18" s="192"/>
      <c r="AM18" s="192"/>
      <c r="AN18" s="192"/>
      <c r="AO18" s="192"/>
      <c r="AP18" s="192"/>
      <c r="AQ18" s="192"/>
      <c r="AR18" s="192"/>
      <c r="AS18" s="192"/>
      <c r="AT18" s="192"/>
      <c r="AU18" s="192"/>
    </row>
    <row r="19" spans="1:47" x14ac:dyDescent="0.25">
      <c r="A19" s="191"/>
      <c r="B19" s="179"/>
      <c r="C19" s="180"/>
      <c r="D19" s="696" t="s">
        <v>3</v>
      </c>
      <c r="E19" s="696"/>
      <c r="F19" s="696" t="s">
        <v>4</v>
      </c>
      <c r="G19" s="696"/>
      <c r="H19" s="696" t="s">
        <v>5</v>
      </c>
      <c r="I19" s="696"/>
      <c r="J19" s="696" t="s">
        <v>6</v>
      </c>
      <c r="K19" s="696"/>
      <c r="L19" s="696" t="s">
        <v>7</v>
      </c>
      <c r="M19" s="696"/>
      <c r="N19" s="696" t="s">
        <v>8</v>
      </c>
      <c r="O19" s="696"/>
      <c r="P19" s="696" t="s">
        <v>9</v>
      </c>
      <c r="Q19" s="696"/>
      <c r="R19" s="181"/>
      <c r="S19" s="191"/>
      <c r="T19" s="687"/>
      <c r="U19" s="687"/>
      <c r="V19" s="687"/>
      <c r="W19" s="687"/>
      <c r="X19" s="687"/>
      <c r="Y19" s="687"/>
      <c r="Z19" s="687"/>
      <c r="AA19" s="687"/>
      <c r="AB19" s="687"/>
      <c r="AC19" s="687"/>
      <c r="AD19" s="687"/>
      <c r="AE19" s="687"/>
      <c r="AF19" s="687"/>
      <c r="AG19" s="687"/>
      <c r="AH19" s="687"/>
      <c r="AI19" s="687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  <c r="AU19" s="191"/>
    </row>
    <row r="20" spans="1:47" x14ac:dyDescent="0.25">
      <c r="A20" s="191"/>
      <c r="B20" s="179"/>
      <c r="C20" s="180"/>
      <c r="D20" s="697">
        <f>D13</f>
        <v>45117</v>
      </c>
      <c r="E20" s="697"/>
      <c r="F20" s="697">
        <f>D20+1</f>
        <v>45118</v>
      </c>
      <c r="G20" s="697"/>
      <c r="H20" s="697">
        <f t="shared" ref="H20" si="0">F20+1</f>
        <v>45119</v>
      </c>
      <c r="I20" s="697"/>
      <c r="J20" s="697">
        <f t="shared" ref="J20" si="1">H20+1</f>
        <v>45120</v>
      </c>
      <c r="K20" s="697"/>
      <c r="L20" s="697">
        <f t="shared" ref="L20" si="2">J20+1</f>
        <v>45121</v>
      </c>
      <c r="M20" s="697"/>
      <c r="N20" s="697">
        <f t="shared" ref="N20" si="3">L20+1</f>
        <v>45122</v>
      </c>
      <c r="O20" s="697"/>
      <c r="P20" s="697">
        <f t="shared" ref="P20" si="4">N20+1</f>
        <v>45123</v>
      </c>
      <c r="Q20" s="697"/>
      <c r="R20" s="181"/>
      <c r="S20" s="191"/>
      <c r="T20" s="687"/>
      <c r="U20" s="687"/>
      <c r="V20" s="687"/>
      <c r="W20" s="687"/>
      <c r="X20" s="687"/>
      <c r="Y20" s="687"/>
      <c r="Z20" s="687"/>
      <c r="AA20" s="687"/>
      <c r="AB20" s="687"/>
      <c r="AC20" s="687"/>
      <c r="AD20" s="687"/>
      <c r="AE20" s="687"/>
      <c r="AF20" s="687"/>
      <c r="AG20" s="687"/>
      <c r="AH20" s="687"/>
      <c r="AI20" s="687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  <c r="AU20" s="191"/>
    </row>
    <row r="21" spans="1:47" ht="24" x14ac:dyDescent="0.25">
      <c r="A21" s="191"/>
      <c r="B21" s="179"/>
      <c r="C21" s="182"/>
      <c r="D21" s="1" t="s">
        <v>10</v>
      </c>
      <c r="E21" s="1" t="s">
        <v>11</v>
      </c>
      <c r="F21" s="1" t="s">
        <v>10</v>
      </c>
      <c r="G21" s="1" t="s">
        <v>11</v>
      </c>
      <c r="H21" s="1" t="s">
        <v>10</v>
      </c>
      <c r="I21" s="1" t="s">
        <v>11</v>
      </c>
      <c r="J21" s="1" t="s">
        <v>10</v>
      </c>
      <c r="K21" s="1" t="s">
        <v>11</v>
      </c>
      <c r="L21" s="1" t="s">
        <v>10</v>
      </c>
      <c r="M21" s="1" t="s">
        <v>11</v>
      </c>
      <c r="N21" s="1" t="s">
        <v>10</v>
      </c>
      <c r="O21" s="1" t="s">
        <v>11</v>
      </c>
      <c r="P21" s="1" t="s">
        <v>10</v>
      </c>
      <c r="Q21" s="1" t="s">
        <v>11</v>
      </c>
      <c r="R21" s="181"/>
      <c r="S21" s="191"/>
      <c r="T21" s="687"/>
      <c r="U21" s="687"/>
      <c r="V21" s="687"/>
      <c r="W21" s="687"/>
      <c r="X21" s="687"/>
      <c r="Y21" s="687"/>
      <c r="Z21" s="687"/>
      <c r="AA21" s="687"/>
      <c r="AB21" s="687"/>
      <c r="AC21" s="687"/>
      <c r="AD21" s="687"/>
      <c r="AE21" s="687"/>
      <c r="AF21" s="687"/>
      <c r="AG21" s="687"/>
      <c r="AH21" s="687"/>
      <c r="AI21" s="687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  <c r="AU21" s="191"/>
    </row>
    <row r="22" spans="1:47" ht="23.25" customHeight="1" x14ac:dyDescent="0.25">
      <c r="A22" s="191"/>
      <c r="B22" s="179"/>
      <c r="C22" s="684" t="s">
        <v>12</v>
      </c>
      <c r="D22" s="685">
        <v>122</v>
      </c>
      <c r="E22" s="685">
        <v>24</v>
      </c>
      <c r="F22" s="685">
        <v>128</v>
      </c>
      <c r="G22" s="685">
        <v>23</v>
      </c>
      <c r="H22" s="685">
        <v>115</v>
      </c>
      <c r="I22" s="685">
        <v>20</v>
      </c>
      <c r="J22" s="685">
        <v>105</v>
      </c>
      <c r="K22" s="685">
        <v>3</v>
      </c>
      <c r="L22" s="685">
        <v>140</v>
      </c>
      <c r="M22" s="685">
        <v>24</v>
      </c>
      <c r="N22" s="685">
        <v>45</v>
      </c>
      <c r="O22" s="685">
        <v>5</v>
      </c>
      <c r="P22" s="685">
        <v>2</v>
      </c>
      <c r="Q22" s="685">
        <v>0</v>
      </c>
      <c r="R22" s="181"/>
      <c r="S22" s="191"/>
      <c r="T22" s="687"/>
      <c r="U22" s="687"/>
      <c r="V22" s="687"/>
      <c r="W22" s="687"/>
      <c r="X22" s="687"/>
      <c r="Y22" s="687"/>
      <c r="Z22" s="687"/>
      <c r="AA22" s="687"/>
      <c r="AB22" s="687"/>
      <c r="AC22" s="687"/>
      <c r="AD22" s="687"/>
      <c r="AE22" s="687"/>
      <c r="AF22" s="687"/>
      <c r="AG22" s="687"/>
      <c r="AH22" s="687"/>
      <c r="AI22" s="687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  <c r="AU22" s="191"/>
    </row>
    <row r="23" spans="1:47" ht="23.25" customHeight="1" x14ac:dyDescent="0.25">
      <c r="A23" s="191"/>
      <c r="B23" s="179"/>
      <c r="C23" s="684" t="s">
        <v>13</v>
      </c>
      <c r="D23" s="685">
        <v>122</v>
      </c>
      <c r="E23" s="685">
        <v>24</v>
      </c>
      <c r="F23" s="685">
        <v>122</v>
      </c>
      <c r="G23" s="685">
        <v>22</v>
      </c>
      <c r="H23" s="685">
        <v>115</v>
      </c>
      <c r="I23" s="685">
        <v>20</v>
      </c>
      <c r="J23" s="685">
        <v>100</v>
      </c>
      <c r="K23" s="685">
        <v>3</v>
      </c>
      <c r="L23" s="685">
        <v>140</v>
      </c>
      <c r="M23" s="685">
        <v>24</v>
      </c>
      <c r="N23" s="685">
        <v>45</v>
      </c>
      <c r="O23" s="685">
        <v>5</v>
      </c>
      <c r="P23" s="685">
        <v>2</v>
      </c>
      <c r="Q23" s="685">
        <v>0</v>
      </c>
      <c r="R23" s="181"/>
      <c r="S23" s="191"/>
      <c r="T23" s="687"/>
      <c r="U23" s="687"/>
      <c r="V23" s="687"/>
      <c r="W23" s="687"/>
      <c r="X23" s="687"/>
      <c r="Y23" s="687"/>
      <c r="Z23" s="687"/>
      <c r="AA23" s="687"/>
      <c r="AB23" s="687"/>
      <c r="AC23" s="687"/>
      <c r="AD23" s="687"/>
      <c r="AE23" s="687"/>
      <c r="AF23" s="687"/>
      <c r="AG23" s="687"/>
      <c r="AH23" s="687"/>
      <c r="AI23" s="687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  <c r="AU23" s="191"/>
    </row>
    <row r="24" spans="1:47" ht="23.25" customHeight="1" x14ac:dyDescent="0.25">
      <c r="A24" s="191"/>
      <c r="B24" s="179"/>
      <c r="C24" s="684" t="s">
        <v>165</v>
      </c>
      <c r="D24" s="685">
        <v>122</v>
      </c>
      <c r="E24" s="685">
        <v>24</v>
      </c>
      <c r="F24" s="685">
        <v>130</v>
      </c>
      <c r="G24" s="685">
        <v>22</v>
      </c>
      <c r="H24" s="685">
        <v>115</v>
      </c>
      <c r="I24" s="685">
        <v>20</v>
      </c>
      <c r="J24" s="685">
        <v>98</v>
      </c>
      <c r="K24" s="685">
        <v>3</v>
      </c>
      <c r="L24" s="685">
        <v>35</v>
      </c>
      <c r="M24" s="685">
        <v>10</v>
      </c>
      <c r="N24" s="685">
        <v>45</v>
      </c>
      <c r="O24" s="685">
        <v>5</v>
      </c>
      <c r="P24" s="685">
        <v>2</v>
      </c>
      <c r="Q24" s="685">
        <v>0</v>
      </c>
      <c r="R24" s="181"/>
      <c r="S24" s="191"/>
      <c r="T24" s="687"/>
      <c r="U24" s="687"/>
      <c r="V24" s="687"/>
      <c r="W24" s="687"/>
      <c r="X24" s="687"/>
      <c r="Y24" s="687"/>
      <c r="Z24" s="687"/>
      <c r="AA24" s="687"/>
      <c r="AB24" s="687"/>
      <c r="AC24" s="687"/>
      <c r="AD24" s="687"/>
      <c r="AE24" s="687"/>
      <c r="AF24" s="687"/>
      <c r="AG24" s="687"/>
      <c r="AH24" s="687"/>
      <c r="AI24" s="687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  <c r="AU24" s="191"/>
    </row>
    <row r="25" spans="1:47" ht="23.25" customHeight="1" x14ac:dyDescent="0.25">
      <c r="A25" s="191"/>
      <c r="B25" s="179"/>
      <c r="C25" s="684" t="s">
        <v>217</v>
      </c>
      <c r="D25" s="685">
        <v>122</v>
      </c>
      <c r="E25" s="685">
        <v>24</v>
      </c>
      <c r="F25" s="685">
        <v>130</v>
      </c>
      <c r="G25" s="685">
        <v>22</v>
      </c>
      <c r="H25" s="685">
        <v>115</v>
      </c>
      <c r="I25" s="685">
        <v>20</v>
      </c>
      <c r="J25" s="685">
        <v>98</v>
      </c>
      <c r="K25" s="685">
        <v>3</v>
      </c>
      <c r="L25" s="685">
        <v>35</v>
      </c>
      <c r="M25" s="685">
        <v>10</v>
      </c>
      <c r="N25" s="685">
        <v>45</v>
      </c>
      <c r="O25" s="685">
        <v>5</v>
      </c>
      <c r="P25" s="685">
        <v>2</v>
      </c>
      <c r="Q25" s="685">
        <v>0</v>
      </c>
      <c r="R25" s="181"/>
      <c r="S25" s="191"/>
      <c r="T25" s="687"/>
      <c r="U25" s="687"/>
      <c r="V25" s="687"/>
      <c r="W25" s="687"/>
      <c r="X25" s="687"/>
      <c r="Y25" s="687"/>
      <c r="Z25" s="687"/>
      <c r="AA25" s="687"/>
      <c r="AB25" s="687"/>
      <c r="AC25" s="687"/>
      <c r="AD25" s="687"/>
      <c r="AE25" s="687"/>
      <c r="AF25" s="687"/>
      <c r="AG25" s="687"/>
      <c r="AH25" s="687"/>
      <c r="AI25" s="687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  <c r="AT25" s="191"/>
      <c r="AU25" s="191"/>
    </row>
    <row r="26" spans="1:47" ht="21" customHeight="1" x14ac:dyDescent="0.25">
      <c r="A26" s="191"/>
      <c r="B26" s="179"/>
      <c r="C26" s="194" t="s">
        <v>14</v>
      </c>
      <c r="D26" s="2">
        <f>AVERAGE(D22:D25)</f>
        <v>122</v>
      </c>
      <c r="E26" s="2">
        <f t="shared" ref="E26:Q26" si="5">AVERAGE(E22:E25)</f>
        <v>24</v>
      </c>
      <c r="F26" s="2">
        <f t="shared" si="5"/>
        <v>127.5</v>
      </c>
      <c r="G26" s="2">
        <f t="shared" si="5"/>
        <v>22.25</v>
      </c>
      <c r="H26" s="2">
        <f t="shared" si="5"/>
        <v>115</v>
      </c>
      <c r="I26" s="2">
        <f t="shared" si="5"/>
        <v>20</v>
      </c>
      <c r="J26" s="2">
        <f t="shared" si="5"/>
        <v>100.25</v>
      </c>
      <c r="K26" s="2">
        <f t="shared" si="5"/>
        <v>3</v>
      </c>
      <c r="L26" s="2">
        <f t="shared" si="5"/>
        <v>87.5</v>
      </c>
      <c r="M26" s="2">
        <f t="shared" si="5"/>
        <v>17</v>
      </c>
      <c r="N26" s="2">
        <f t="shared" si="5"/>
        <v>45</v>
      </c>
      <c r="O26" s="2">
        <f t="shared" si="5"/>
        <v>5</v>
      </c>
      <c r="P26" s="2">
        <f t="shared" si="5"/>
        <v>2</v>
      </c>
      <c r="Q26" s="2">
        <f t="shared" si="5"/>
        <v>0</v>
      </c>
      <c r="R26" s="181"/>
      <c r="S26" s="191"/>
      <c r="T26" s="687"/>
      <c r="U26" s="687"/>
      <c r="V26" s="687"/>
      <c r="W26" s="687"/>
      <c r="X26" s="687"/>
      <c r="Y26" s="687"/>
      <c r="Z26" s="687"/>
      <c r="AA26" s="687"/>
      <c r="AB26" s="687"/>
      <c r="AC26" s="687"/>
      <c r="AD26" s="687"/>
      <c r="AE26" s="687"/>
      <c r="AF26" s="687"/>
      <c r="AG26" s="687"/>
      <c r="AH26" s="687"/>
      <c r="AI26" s="687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  <c r="AU26" s="191"/>
    </row>
    <row r="27" spans="1:47" ht="21" customHeight="1" x14ac:dyDescent="0.25">
      <c r="A27" s="191"/>
      <c r="B27" s="179"/>
      <c r="C27" s="197" t="s">
        <v>15</v>
      </c>
      <c r="D27" s="195"/>
      <c r="E27" s="195"/>
      <c r="F27" s="195"/>
      <c r="G27" s="195"/>
      <c r="H27" s="195"/>
      <c r="I27" s="195"/>
      <c r="J27" s="195"/>
      <c r="K27" s="195"/>
      <c r="L27" s="195"/>
      <c r="M27" s="195"/>
      <c r="N27" s="195"/>
      <c r="O27" s="196"/>
      <c r="P27" s="3">
        <f>SUM(D22:D25,F22:F25,H22:H25,J22:J25,L22:L25,N22:N25,P22:P25)</f>
        <v>2397</v>
      </c>
      <c r="Q27" s="3">
        <f>SUM(E22:E25,G22:G25,I22:I25,K22:K25,M22:M25,O22:O25,Q22:Q25)</f>
        <v>365</v>
      </c>
      <c r="R27" s="181"/>
      <c r="S27" s="191"/>
      <c r="T27" s="687"/>
      <c r="U27" s="687"/>
      <c r="V27" s="687"/>
      <c r="W27" s="687"/>
      <c r="X27" s="687"/>
      <c r="Y27" s="687"/>
      <c r="Z27" s="687"/>
      <c r="AA27" s="687"/>
      <c r="AB27" s="687"/>
      <c r="AC27" s="687"/>
      <c r="AD27" s="687"/>
      <c r="AE27" s="687"/>
      <c r="AF27" s="687"/>
      <c r="AG27" s="687"/>
      <c r="AH27" s="687"/>
      <c r="AI27" s="687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</row>
    <row r="28" spans="1:47" s="96" customFormat="1" ht="15.75" x14ac:dyDescent="0.25">
      <c r="A28" s="192"/>
      <c r="B28" s="165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8"/>
      <c r="S28" s="192"/>
      <c r="T28" s="687"/>
      <c r="U28" s="687"/>
      <c r="V28" s="687"/>
      <c r="W28" s="687"/>
      <c r="X28" s="687"/>
      <c r="Y28" s="687"/>
      <c r="Z28" s="687"/>
      <c r="AA28" s="687"/>
      <c r="AB28" s="687"/>
      <c r="AC28" s="687"/>
      <c r="AD28" s="687"/>
      <c r="AE28" s="687"/>
      <c r="AF28" s="687"/>
      <c r="AG28" s="687"/>
      <c r="AH28" s="687"/>
      <c r="AI28" s="687"/>
      <c r="AJ28" s="192"/>
      <c r="AK28" s="192"/>
      <c r="AL28" s="192"/>
      <c r="AM28" s="192"/>
      <c r="AN28" s="192"/>
      <c r="AO28" s="192"/>
      <c r="AP28" s="192"/>
      <c r="AQ28" s="192"/>
      <c r="AR28" s="192"/>
      <c r="AS28" s="192"/>
      <c r="AT28" s="192"/>
      <c r="AU28" s="192"/>
    </row>
    <row r="29" spans="1:47" s="96" customFormat="1" ht="15.75" x14ac:dyDescent="0.25">
      <c r="A29" s="192"/>
      <c r="B29" s="183"/>
      <c r="C29" s="198" t="s">
        <v>270</v>
      </c>
      <c r="D29" s="177" t="s">
        <v>271</v>
      </c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  <c r="R29" s="184"/>
      <c r="S29" s="192"/>
      <c r="T29" s="687"/>
      <c r="U29" s="687"/>
      <c r="V29" s="687"/>
      <c r="W29" s="687"/>
      <c r="X29" s="687"/>
      <c r="Y29" s="687"/>
      <c r="Z29" s="687"/>
      <c r="AA29" s="687"/>
      <c r="AB29" s="687"/>
      <c r="AC29" s="687"/>
      <c r="AD29" s="687"/>
      <c r="AE29" s="687"/>
      <c r="AF29" s="687"/>
      <c r="AG29" s="687"/>
      <c r="AH29" s="687"/>
      <c r="AI29" s="687"/>
      <c r="AJ29" s="192"/>
      <c r="AK29" s="192"/>
      <c r="AL29" s="192"/>
      <c r="AM29" s="192"/>
      <c r="AN29" s="192"/>
      <c r="AO29" s="192"/>
      <c r="AP29" s="192"/>
      <c r="AQ29" s="192"/>
      <c r="AR29" s="192"/>
      <c r="AS29" s="192"/>
      <c r="AT29" s="192"/>
      <c r="AU29" s="192"/>
    </row>
    <row r="30" spans="1:47" s="96" customFormat="1" ht="15.75" x14ac:dyDescent="0.25">
      <c r="A30" s="192"/>
      <c r="B30" s="183"/>
      <c r="C30" s="178"/>
      <c r="D30" s="177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  <c r="R30" s="184"/>
      <c r="S30" s="192"/>
      <c r="T30" s="687"/>
      <c r="U30" s="687"/>
      <c r="V30" s="687"/>
      <c r="W30" s="687"/>
      <c r="X30" s="687"/>
      <c r="Y30" s="687"/>
      <c r="Z30" s="687"/>
      <c r="AA30" s="687"/>
      <c r="AB30" s="687"/>
      <c r="AC30" s="687"/>
      <c r="AD30" s="687"/>
      <c r="AE30" s="687"/>
      <c r="AF30" s="687"/>
      <c r="AG30" s="687"/>
      <c r="AH30" s="687"/>
      <c r="AI30" s="687"/>
      <c r="AJ30" s="192"/>
      <c r="AK30" s="192"/>
      <c r="AL30" s="192"/>
      <c r="AM30" s="192"/>
      <c r="AN30" s="192"/>
      <c r="AO30" s="192"/>
      <c r="AP30" s="192"/>
      <c r="AQ30" s="192"/>
      <c r="AR30" s="192"/>
      <c r="AS30" s="192"/>
      <c r="AT30" s="192"/>
      <c r="AU30" s="192"/>
    </row>
    <row r="31" spans="1:47" s="96" customFormat="1" ht="15.75" x14ac:dyDescent="0.25">
      <c r="A31" s="192"/>
      <c r="B31" s="183"/>
      <c r="C31" s="177"/>
      <c r="D31" s="177" t="s">
        <v>272</v>
      </c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  <c r="R31" s="184"/>
      <c r="S31" s="192"/>
      <c r="T31" s="687"/>
      <c r="U31" s="687"/>
      <c r="V31" s="687"/>
      <c r="W31" s="687"/>
      <c r="X31" s="687"/>
      <c r="Y31" s="687"/>
      <c r="Z31" s="687"/>
      <c r="AA31" s="687"/>
      <c r="AB31" s="687"/>
      <c r="AC31" s="687"/>
      <c r="AD31" s="687"/>
      <c r="AE31" s="687"/>
      <c r="AF31" s="687"/>
      <c r="AG31" s="687"/>
      <c r="AH31" s="687"/>
      <c r="AI31" s="687"/>
      <c r="AJ31" s="192"/>
      <c r="AK31" s="192"/>
      <c r="AL31" s="192"/>
      <c r="AM31" s="192"/>
      <c r="AN31" s="192"/>
      <c r="AO31" s="192"/>
      <c r="AP31" s="192"/>
      <c r="AQ31" s="192"/>
      <c r="AR31" s="192"/>
      <c r="AS31" s="192"/>
      <c r="AT31" s="192"/>
      <c r="AU31" s="192"/>
    </row>
    <row r="32" spans="1:47" s="96" customFormat="1" ht="15.75" x14ac:dyDescent="0.25">
      <c r="A32" s="192"/>
      <c r="B32" s="183"/>
      <c r="C32" s="177"/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84"/>
      <c r="S32" s="192"/>
      <c r="T32" s="687"/>
      <c r="U32" s="687"/>
      <c r="V32" s="687"/>
      <c r="W32" s="687"/>
      <c r="X32" s="687"/>
      <c r="Y32" s="687"/>
      <c r="Z32" s="687"/>
      <c r="AA32" s="687"/>
      <c r="AB32" s="687"/>
      <c r="AC32" s="687"/>
      <c r="AD32" s="687"/>
      <c r="AE32" s="687"/>
      <c r="AF32" s="687"/>
      <c r="AG32" s="687"/>
      <c r="AH32" s="687"/>
      <c r="AI32" s="687"/>
      <c r="AJ32" s="192"/>
      <c r="AK32" s="192"/>
      <c r="AL32" s="192"/>
      <c r="AM32" s="192"/>
      <c r="AN32" s="192"/>
      <c r="AO32" s="192"/>
      <c r="AP32" s="192"/>
      <c r="AQ32" s="192"/>
      <c r="AR32" s="192"/>
      <c r="AS32" s="192"/>
      <c r="AT32" s="192"/>
      <c r="AU32" s="192"/>
    </row>
    <row r="33" spans="1:47" s="96" customFormat="1" ht="15.75" x14ac:dyDescent="0.25">
      <c r="A33" s="192"/>
      <c r="B33" s="183"/>
      <c r="C33" s="177"/>
      <c r="D33" s="177"/>
      <c r="E33" s="686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  <c r="R33" s="184"/>
      <c r="S33" s="192"/>
      <c r="T33" s="687"/>
      <c r="U33" s="687"/>
      <c r="V33" s="687"/>
      <c r="W33" s="687"/>
      <c r="X33" s="687"/>
      <c r="Y33" s="687"/>
      <c r="Z33" s="687"/>
      <c r="AA33" s="687"/>
      <c r="AB33" s="687"/>
      <c r="AC33" s="687"/>
      <c r="AD33" s="687"/>
      <c r="AE33" s="687"/>
      <c r="AF33" s="687"/>
      <c r="AG33" s="687"/>
      <c r="AH33" s="687"/>
      <c r="AI33" s="687"/>
      <c r="AJ33" s="192"/>
      <c r="AK33" s="192"/>
      <c r="AL33" s="192"/>
      <c r="AM33" s="192"/>
      <c r="AN33" s="192"/>
      <c r="AO33" s="192"/>
      <c r="AP33" s="192"/>
      <c r="AQ33" s="192"/>
      <c r="AR33" s="192"/>
      <c r="AS33" s="192"/>
      <c r="AT33" s="192"/>
      <c r="AU33" s="192"/>
    </row>
    <row r="34" spans="1:47" ht="15.75" x14ac:dyDescent="0.25">
      <c r="A34" s="191"/>
      <c r="B34" s="185"/>
      <c r="C34" s="186"/>
      <c r="D34" s="186"/>
      <c r="E34" s="6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7"/>
      <c r="S34" s="191"/>
      <c r="T34" s="687"/>
      <c r="U34" s="687"/>
      <c r="V34" s="687"/>
      <c r="W34" s="687"/>
      <c r="X34" s="687"/>
      <c r="Y34" s="687"/>
      <c r="Z34" s="687"/>
      <c r="AA34" s="687"/>
      <c r="AB34" s="687"/>
      <c r="AC34" s="687"/>
      <c r="AD34" s="687"/>
      <c r="AE34" s="687"/>
      <c r="AF34" s="687"/>
      <c r="AG34" s="687"/>
      <c r="AH34" s="687"/>
      <c r="AI34" s="687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  <c r="AU34" s="191"/>
    </row>
    <row r="35" spans="1:47" x14ac:dyDescent="0.25">
      <c r="A35" s="191"/>
      <c r="B35" s="185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7"/>
      <c r="S35" s="191"/>
      <c r="T35" s="687"/>
      <c r="U35" s="687"/>
      <c r="V35" s="687"/>
      <c r="W35" s="687"/>
      <c r="X35" s="687"/>
      <c r="Y35" s="687"/>
      <c r="Z35" s="687"/>
      <c r="AA35" s="687"/>
      <c r="AB35" s="687"/>
      <c r="AC35" s="687"/>
      <c r="AD35" s="687"/>
      <c r="AE35" s="687"/>
      <c r="AF35" s="687"/>
      <c r="AG35" s="687"/>
      <c r="AH35" s="687"/>
      <c r="AI35" s="687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</row>
    <row r="36" spans="1:47" ht="15.75" thickBot="1" x14ac:dyDescent="0.3">
      <c r="A36" s="191"/>
      <c r="B36" s="188"/>
      <c r="C36" s="189"/>
      <c r="D36" s="189"/>
      <c r="E36" s="189"/>
      <c r="F36" s="189"/>
      <c r="G36" s="189"/>
      <c r="H36" s="189"/>
      <c r="I36" s="189"/>
      <c r="J36" s="189"/>
      <c r="K36" s="189"/>
      <c r="L36" s="189"/>
      <c r="M36" s="189"/>
      <c r="N36" s="189"/>
      <c r="O36" s="189"/>
      <c r="P36" s="189"/>
      <c r="Q36" s="189"/>
      <c r="R36" s="190"/>
      <c r="S36" s="191"/>
      <c r="T36" s="687"/>
      <c r="U36" s="687"/>
      <c r="V36" s="687"/>
      <c r="W36" s="687"/>
      <c r="X36" s="687"/>
      <c r="Y36" s="687"/>
      <c r="Z36" s="687"/>
      <c r="AA36" s="687"/>
      <c r="AB36" s="687"/>
      <c r="AC36" s="687"/>
      <c r="AD36" s="687"/>
      <c r="AE36" s="687"/>
      <c r="AF36" s="687"/>
      <c r="AG36" s="687"/>
      <c r="AH36" s="687"/>
      <c r="AI36" s="687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  <c r="AU36" s="191"/>
    </row>
    <row r="37" spans="1:47" x14ac:dyDescent="0.25">
      <c r="A37" s="191"/>
      <c r="B37" s="191"/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  <c r="Q37" s="191"/>
      <c r="R37" s="191"/>
      <c r="S37" s="191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</row>
    <row r="38" spans="1:47" x14ac:dyDescent="0.25">
      <c r="A38" s="191"/>
      <c r="B38" s="191"/>
      <c r="C38" s="191"/>
      <c r="D38" s="191"/>
      <c r="E38" s="191"/>
      <c r="F38" s="191"/>
      <c r="G38" s="191"/>
      <c r="H38" s="191"/>
      <c r="I38" s="191"/>
      <c r="J38" s="191"/>
      <c r="K38" s="191"/>
      <c r="L38" s="191"/>
      <c r="M38" s="191"/>
      <c r="N38" s="191"/>
      <c r="O38" s="191"/>
      <c r="P38" s="191"/>
      <c r="Q38" s="191"/>
      <c r="R38" s="191"/>
      <c r="S38" s="191"/>
      <c r="T38" s="687"/>
      <c r="U38" s="687"/>
      <c r="V38" s="687"/>
      <c r="W38" s="687"/>
      <c r="X38" s="687"/>
      <c r="Y38" s="687"/>
      <c r="Z38" s="687"/>
      <c r="AA38" s="687"/>
      <c r="AB38" s="687"/>
      <c r="AC38" s="687"/>
      <c r="AD38" s="687"/>
      <c r="AE38" s="687"/>
      <c r="AF38" s="687"/>
      <c r="AG38" s="687"/>
      <c r="AH38" s="687"/>
      <c r="AI38" s="687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  <c r="AU38" s="191"/>
    </row>
    <row r="39" spans="1:47" x14ac:dyDescent="0.25">
      <c r="A39" s="191"/>
      <c r="B39" s="191"/>
      <c r="C39" s="191"/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1"/>
      <c r="S39" s="191"/>
      <c r="T39" s="687"/>
      <c r="U39" s="687"/>
      <c r="V39" s="687"/>
      <c r="W39" s="687"/>
      <c r="X39" s="687"/>
      <c r="Y39" s="687"/>
      <c r="Z39" s="687"/>
      <c r="AA39" s="687"/>
      <c r="AB39" s="687"/>
      <c r="AC39" s="687"/>
      <c r="AD39" s="687"/>
      <c r="AE39" s="687"/>
      <c r="AF39" s="687"/>
      <c r="AG39" s="687"/>
      <c r="AH39" s="687"/>
      <c r="AI39" s="687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  <c r="AU39" s="191"/>
    </row>
    <row r="40" spans="1:47" x14ac:dyDescent="0.25">
      <c r="A40" s="191"/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1"/>
      <c r="P40" s="191"/>
      <c r="Q40" s="191"/>
      <c r="R40" s="191"/>
      <c r="S40" s="191"/>
      <c r="T40" s="687"/>
      <c r="U40" s="687"/>
      <c r="V40" s="687"/>
      <c r="W40" s="687"/>
      <c r="X40" s="687"/>
      <c r="Y40" s="687"/>
      <c r="Z40" s="687"/>
      <c r="AA40" s="687"/>
      <c r="AB40" s="687"/>
      <c r="AC40" s="687"/>
      <c r="AD40" s="687"/>
      <c r="AE40" s="687"/>
      <c r="AF40" s="687"/>
      <c r="AG40" s="687"/>
      <c r="AH40" s="687"/>
      <c r="AI40" s="687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  <c r="AU40" s="191"/>
    </row>
    <row r="41" spans="1:47" x14ac:dyDescent="0.25">
      <c r="A41" s="191"/>
      <c r="B41" s="191"/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  <c r="Q41" s="191"/>
      <c r="R41" s="191"/>
      <c r="S41" s="191"/>
      <c r="T41" s="687"/>
      <c r="U41" s="687"/>
      <c r="V41" s="687"/>
      <c r="W41" s="687"/>
      <c r="X41" s="687"/>
      <c r="Y41" s="687"/>
      <c r="Z41" s="687"/>
      <c r="AA41" s="687"/>
      <c r="AB41" s="687"/>
      <c r="AC41" s="687"/>
      <c r="AD41" s="687"/>
      <c r="AE41" s="687"/>
      <c r="AF41" s="687"/>
      <c r="AG41" s="687"/>
      <c r="AH41" s="687"/>
      <c r="AI41" s="687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</row>
    <row r="42" spans="1:47" x14ac:dyDescent="0.25">
      <c r="A42" s="191"/>
      <c r="B42" s="191"/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  <c r="R42" s="191"/>
      <c r="S42" s="191"/>
      <c r="T42" s="687"/>
      <c r="U42" s="687"/>
      <c r="V42" s="687"/>
      <c r="W42" s="687"/>
      <c r="X42" s="687"/>
      <c r="Y42" s="687"/>
      <c r="Z42" s="687"/>
      <c r="AA42" s="687"/>
      <c r="AB42" s="687"/>
      <c r="AC42" s="687"/>
      <c r="AD42" s="687"/>
      <c r="AE42" s="687"/>
      <c r="AF42" s="687"/>
      <c r="AG42" s="687"/>
      <c r="AH42" s="687"/>
      <c r="AI42" s="687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</row>
    <row r="43" spans="1:47" x14ac:dyDescent="0.25">
      <c r="A43" s="191"/>
      <c r="B43" s="191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687"/>
      <c r="U43" s="687"/>
      <c r="V43" s="687"/>
      <c r="W43" s="687"/>
      <c r="X43" s="687"/>
      <c r="Y43" s="687"/>
      <c r="Z43" s="687"/>
      <c r="AA43" s="687"/>
      <c r="AB43" s="687"/>
      <c r="AC43" s="687"/>
      <c r="AD43" s="687"/>
      <c r="AE43" s="687"/>
      <c r="AF43" s="687"/>
      <c r="AG43" s="687"/>
      <c r="AH43" s="687"/>
      <c r="AI43" s="687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</row>
    <row r="44" spans="1:47" x14ac:dyDescent="0.25">
      <c r="A44" s="191"/>
      <c r="B44" s="191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  <c r="R44" s="191"/>
      <c r="S44" s="191"/>
      <c r="T44" s="687"/>
      <c r="U44" s="687"/>
      <c r="V44" s="687"/>
      <c r="W44" s="687"/>
      <c r="X44" s="687"/>
      <c r="Y44" s="687"/>
      <c r="Z44" s="687"/>
      <c r="AA44" s="687"/>
      <c r="AB44" s="687"/>
      <c r="AC44" s="687"/>
      <c r="AD44" s="687"/>
      <c r="AE44" s="687"/>
      <c r="AF44" s="687"/>
      <c r="AG44" s="687"/>
      <c r="AH44" s="687"/>
      <c r="AI44" s="687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  <c r="AU44" s="191"/>
    </row>
    <row r="45" spans="1:47" x14ac:dyDescent="0.25">
      <c r="A45" s="191"/>
      <c r="B45" s="191"/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191"/>
      <c r="R45" s="191"/>
      <c r="S45" s="191"/>
      <c r="T45" s="687"/>
      <c r="U45" s="687"/>
      <c r="V45" s="687"/>
      <c r="W45" s="687"/>
      <c r="X45" s="687"/>
      <c r="Y45" s="687"/>
      <c r="Z45" s="687"/>
      <c r="AA45" s="687"/>
      <c r="AB45" s="687"/>
      <c r="AC45" s="687"/>
      <c r="AD45" s="687"/>
      <c r="AE45" s="687"/>
      <c r="AF45" s="687"/>
      <c r="AG45" s="687"/>
      <c r="AH45" s="687"/>
      <c r="AI45" s="687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  <c r="AU45" s="191"/>
    </row>
    <row r="46" spans="1:47" x14ac:dyDescent="0.25">
      <c r="A46" s="191"/>
      <c r="B46" s="191"/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687"/>
      <c r="U46" s="687"/>
      <c r="V46" s="687"/>
      <c r="W46" s="687"/>
      <c r="X46" s="687"/>
      <c r="Y46" s="687"/>
      <c r="Z46" s="687"/>
      <c r="AA46" s="687"/>
      <c r="AB46" s="687"/>
      <c r="AC46" s="687"/>
      <c r="AD46" s="687"/>
      <c r="AE46" s="687"/>
      <c r="AF46" s="687"/>
      <c r="AG46" s="687"/>
      <c r="AH46" s="687"/>
      <c r="AI46" s="687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</row>
    <row r="47" spans="1:47" x14ac:dyDescent="0.25">
      <c r="A47" s="191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T47" s="687"/>
      <c r="U47" s="687"/>
      <c r="V47" s="687"/>
      <c r="W47" s="687"/>
      <c r="X47" s="687"/>
      <c r="Y47" s="687"/>
      <c r="Z47" s="687"/>
      <c r="AA47" s="687"/>
      <c r="AB47" s="687"/>
      <c r="AC47" s="687"/>
      <c r="AD47" s="687"/>
      <c r="AE47" s="687"/>
      <c r="AF47" s="687"/>
      <c r="AG47" s="687"/>
      <c r="AH47" s="687"/>
      <c r="AI47" s="687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</row>
    <row r="48" spans="1:47" x14ac:dyDescent="0.25">
      <c r="A48" s="191"/>
      <c r="B48" s="191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  <c r="Q48" s="191"/>
      <c r="R48" s="191"/>
      <c r="S48" s="191"/>
      <c r="T48" s="687"/>
      <c r="U48" s="687"/>
      <c r="V48" s="687"/>
      <c r="W48" s="687"/>
      <c r="X48" s="687"/>
      <c r="Y48" s="687"/>
      <c r="Z48" s="687"/>
      <c r="AA48" s="687"/>
      <c r="AB48" s="687"/>
      <c r="AC48" s="687"/>
      <c r="AD48" s="687"/>
      <c r="AE48" s="687"/>
      <c r="AF48" s="687"/>
      <c r="AG48" s="687"/>
      <c r="AH48" s="687"/>
      <c r="AI48" s="687"/>
      <c r="AJ48" s="191"/>
      <c r="AK48" s="191"/>
      <c r="AL48" s="191"/>
      <c r="AM48" s="191"/>
      <c r="AN48" s="191"/>
      <c r="AO48" s="191"/>
      <c r="AP48" s="191"/>
      <c r="AQ48" s="191"/>
      <c r="AR48" s="191"/>
      <c r="AS48" s="191"/>
      <c r="AT48" s="191"/>
      <c r="AU48" s="191"/>
    </row>
    <row r="49" spans="1:47" x14ac:dyDescent="0.25">
      <c r="A49" s="191"/>
      <c r="B49" s="191"/>
      <c r="C49" s="191"/>
      <c r="D49" s="191"/>
      <c r="E49" s="191"/>
      <c r="F49" s="191"/>
      <c r="G49" s="191"/>
      <c r="H49" s="191"/>
      <c r="I49" s="191"/>
      <c r="J49" s="191"/>
      <c r="K49" s="191"/>
      <c r="L49" s="191"/>
      <c r="M49" s="191"/>
      <c r="N49" s="191"/>
      <c r="O49" s="191"/>
      <c r="P49" s="191"/>
      <c r="Q49" s="191"/>
      <c r="R49" s="191"/>
      <c r="S49" s="191"/>
      <c r="T49" s="687"/>
      <c r="U49" s="687"/>
      <c r="V49" s="687"/>
      <c r="W49" s="687"/>
      <c r="X49" s="687"/>
      <c r="Y49" s="687"/>
      <c r="Z49" s="687"/>
      <c r="AA49" s="687"/>
      <c r="AB49" s="687"/>
      <c r="AC49" s="687"/>
      <c r="AD49" s="687"/>
      <c r="AE49" s="687"/>
      <c r="AF49" s="687"/>
      <c r="AG49" s="687"/>
      <c r="AH49" s="687"/>
      <c r="AI49" s="687"/>
      <c r="AJ49" s="191"/>
      <c r="AK49" s="191"/>
      <c r="AL49" s="191"/>
      <c r="AM49" s="191"/>
      <c r="AN49" s="191"/>
      <c r="AO49" s="191"/>
      <c r="AP49" s="191"/>
      <c r="AQ49" s="191"/>
      <c r="AR49" s="191"/>
      <c r="AS49" s="191"/>
      <c r="AT49" s="191"/>
      <c r="AU49" s="191"/>
    </row>
    <row r="50" spans="1:47" x14ac:dyDescent="0.25">
      <c r="A50" s="191"/>
      <c r="B50" s="191"/>
      <c r="C50" s="191"/>
      <c r="D50" s="191"/>
      <c r="E50" s="191"/>
      <c r="F50" s="191"/>
      <c r="G50" s="191"/>
      <c r="H50" s="191"/>
      <c r="I50" s="191"/>
      <c r="J50" s="191"/>
      <c r="K50" s="191"/>
      <c r="L50" s="191"/>
      <c r="M50" s="191"/>
      <c r="N50" s="191"/>
      <c r="O50" s="191"/>
      <c r="P50" s="191"/>
      <c r="Q50" s="191"/>
      <c r="R50" s="191"/>
      <c r="S50" s="191"/>
      <c r="T50" s="687"/>
      <c r="U50" s="687"/>
      <c r="V50" s="687"/>
      <c r="W50" s="687"/>
      <c r="X50" s="687"/>
      <c r="Y50" s="687"/>
      <c r="Z50" s="687"/>
      <c r="AA50" s="687"/>
      <c r="AB50" s="687"/>
      <c r="AC50" s="687"/>
      <c r="AD50" s="687"/>
      <c r="AE50" s="687"/>
      <c r="AF50" s="687"/>
      <c r="AG50" s="687"/>
      <c r="AH50" s="687"/>
      <c r="AI50" s="687"/>
      <c r="AJ50" s="191"/>
      <c r="AK50" s="191"/>
      <c r="AL50" s="191"/>
      <c r="AM50" s="191"/>
      <c r="AN50" s="191"/>
      <c r="AO50" s="191"/>
      <c r="AP50" s="191"/>
      <c r="AQ50" s="191"/>
      <c r="AR50" s="191"/>
      <c r="AS50" s="191"/>
      <c r="AT50" s="191"/>
      <c r="AU50" s="191"/>
    </row>
    <row r="51" spans="1:47" x14ac:dyDescent="0.25">
      <c r="A51" s="191"/>
      <c r="B51" s="191"/>
      <c r="C51" s="191"/>
      <c r="D51" s="191"/>
      <c r="E51" s="191"/>
      <c r="F51" s="191"/>
      <c r="G51" s="191"/>
      <c r="H51" s="191"/>
      <c r="I51" s="191"/>
      <c r="J51" s="191"/>
      <c r="K51" s="191"/>
      <c r="L51" s="191"/>
      <c r="M51" s="191"/>
      <c r="N51" s="191"/>
      <c r="O51" s="191"/>
      <c r="P51" s="191"/>
      <c r="Q51" s="191"/>
      <c r="R51" s="191"/>
      <c r="S51" s="191"/>
      <c r="T51" s="687"/>
      <c r="U51" s="687"/>
      <c r="V51" s="687"/>
      <c r="W51" s="687"/>
      <c r="X51" s="687"/>
      <c r="Y51" s="687"/>
      <c r="Z51" s="687"/>
      <c r="AA51" s="687"/>
      <c r="AB51" s="687"/>
      <c r="AC51" s="687"/>
      <c r="AD51" s="687"/>
      <c r="AE51" s="687"/>
      <c r="AF51" s="687"/>
      <c r="AG51" s="687"/>
      <c r="AH51" s="687"/>
      <c r="AI51" s="687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  <c r="AU51" s="191"/>
    </row>
    <row r="52" spans="1:47" x14ac:dyDescent="0.25">
      <c r="A52" s="191"/>
      <c r="B52" s="191"/>
      <c r="C52" s="191"/>
      <c r="D52" s="191"/>
      <c r="E52" s="191"/>
      <c r="F52" s="191"/>
      <c r="G52" s="191"/>
      <c r="H52" s="191"/>
      <c r="I52" s="191"/>
      <c r="J52" s="191"/>
      <c r="K52" s="191"/>
      <c r="L52" s="191"/>
      <c r="M52" s="191"/>
      <c r="N52" s="191"/>
      <c r="O52" s="191"/>
      <c r="P52" s="191"/>
      <c r="Q52" s="191"/>
      <c r="R52" s="191"/>
      <c r="S52" s="191"/>
      <c r="T52" s="687"/>
      <c r="U52" s="687"/>
      <c r="V52" s="687"/>
      <c r="W52" s="687"/>
      <c r="X52" s="687"/>
      <c r="Y52" s="687"/>
      <c r="Z52" s="687"/>
      <c r="AA52" s="687"/>
      <c r="AB52" s="687"/>
      <c r="AC52" s="687"/>
      <c r="AD52" s="687"/>
      <c r="AE52" s="687"/>
      <c r="AF52" s="687"/>
      <c r="AG52" s="687"/>
      <c r="AH52" s="687"/>
      <c r="AI52" s="687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  <c r="AU52" s="191"/>
    </row>
    <row r="53" spans="1:47" x14ac:dyDescent="0.25">
      <c r="A53" s="191"/>
      <c r="B53" s="191"/>
      <c r="C53" s="191"/>
      <c r="D53" s="191"/>
      <c r="E53" s="191"/>
      <c r="F53" s="191"/>
      <c r="G53" s="191"/>
      <c r="H53" s="191"/>
      <c r="I53" s="191"/>
      <c r="J53" s="191"/>
      <c r="K53" s="191"/>
      <c r="L53" s="191"/>
      <c r="M53" s="191"/>
      <c r="N53" s="191"/>
      <c r="O53" s="191"/>
      <c r="P53" s="191"/>
      <c r="Q53" s="191"/>
      <c r="R53" s="191"/>
      <c r="S53" s="191"/>
      <c r="T53" s="687"/>
      <c r="U53" s="687"/>
      <c r="V53" s="687"/>
      <c r="W53" s="687"/>
      <c r="X53" s="687"/>
      <c r="Y53" s="687"/>
      <c r="Z53" s="687"/>
      <c r="AA53" s="687"/>
      <c r="AB53" s="687"/>
      <c r="AC53" s="687"/>
      <c r="AD53" s="687"/>
      <c r="AE53" s="687"/>
      <c r="AF53" s="687"/>
      <c r="AG53" s="687"/>
      <c r="AH53" s="687"/>
      <c r="AI53" s="687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  <c r="AU53" s="191"/>
    </row>
    <row r="54" spans="1:47" x14ac:dyDescent="0.25">
      <c r="A54" s="191"/>
      <c r="B54" s="191"/>
      <c r="C54" s="191"/>
      <c r="D54" s="191"/>
      <c r="E54" s="191"/>
      <c r="F54" s="191"/>
      <c r="G54" s="191"/>
      <c r="H54" s="191"/>
      <c r="I54" s="191"/>
      <c r="J54" s="191"/>
      <c r="K54" s="191"/>
      <c r="L54" s="191"/>
      <c r="M54" s="191"/>
      <c r="N54" s="191"/>
      <c r="O54" s="191"/>
      <c r="P54" s="191"/>
      <c r="Q54" s="191"/>
      <c r="R54" s="191"/>
      <c r="S54" s="191"/>
      <c r="T54" s="687"/>
      <c r="U54" s="687"/>
      <c r="V54" s="687"/>
      <c r="W54" s="687"/>
      <c r="X54" s="687"/>
      <c r="Y54" s="687"/>
      <c r="Z54" s="687"/>
      <c r="AA54" s="687"/>
      <c r="AB54" s="687"/>
      <c r="AC54" s="687"/>
      <c r="AD54" s="687"/>
      <c r="AE54" s="687"/>
      <c r="AF54" s="687"/>
      <c r="AG54" s="687"/>
      <c r="AH54" s="687"/>
      <c r="AI54" s="687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  <c r="AU54" s="191"/>
    </row>
    <row r="55" spans="1:47" x14ac:dyDescent="0.25">
      <c r="A55" s="191"/>
      <c r="B55" s="191"/>
      <c r="C55" s="191"/>
      <c r="D55" s="191"/>
      <c r="E55" s="191"/>
      <c r="F55" s="191"/>
      <c r="G55" s="191"/>
      <c r="H55" s="191"/>
      <c r="I55" s="191"/>
      <c r="J55" s="191"/>
      <c r="K55" s="191"/>
      <c r="L55" s="191"/>
      <c r="M55" s="191"/>
      <c r="N55" s="191"/>
      <c r="O55" s="191"/>
      <c r="P55" s="191"/>
      <c r="Q55" s="191"/>
      <c r="R55" s="191"/>
      <c r="S55" s="191"/>
      <c r="T55" s="687"/>
      <c r="U55" s="687"/>
      <c r="V55" s="687"/>
      <c r="W55" s="687"/>
      <c r="X55" s="687"/>
      <c r="Y55" s="687"/>
      <c r="Z55" s="687"/>
      <c r="AA55" s="687"/>
      <c r="AB55" s="687"/>
      <c r="AC55" s="687"/>
      <c r="AD55" s="687"/>
      <c r="AE55" s="687"/>
      <c r="AF55" s="687"/>
      <c r="AG55" s="687"/>
      <c r="AH55" s="687"/>
      <c r="AI55" s="687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  <c r="AU55" s="191"/>
    </row>
    <row r="56" spans="1:47" x14ac:dyDescent="0.25">
      <c r="A56" s="191"/>
      <c r="B56" s="191"/>
      <c r="C56" s="191"/>
      <c r="D56" s="191"/>
      <c r="E56" s="191"/>
      <c r="F56" s="191"/>
      <c r="G56" s="191"/>
      <c r="H56" s="191"/>
      <c r="I56" s="191"/>
      <c r="J56" s="191"/>
      <c r="K56" s="191"/>
      <c r="L56" s="191"/>
      <c r="M56" s="191"/>
      <c r="N56" s="191"/>
      <c r="O56" s="191"/>
      <c r="P56" s="191"/>
      <c r="Q56" s="191"/>
      <c r="R56" s="191"/>
      <c r="S56" s="191"/>
      <c r="T56" s="687"/>
      <c r="U56" s="687"/>
      <c r="V56" s="687"/>
      <c r="W56" s="687"/>
      <c r="X56" s="687"/>
      <c r="Y56" s="687"/>
      <c r="Z56" s="687"/>
      <c r="AA56" s="687"/>
      <c r="AB56" s="687"/>
      <c r="AC56" s="687"/>
      <c r="AD56" s="687"/>
      <c r="AE56" s="687"/>
      <c r="AF56" s="687"/>
      <c r="AG56" s="687"/>
      <c r="AH56" s="687"/>
      <c r="AI56" s="687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  <c r="AU56" s="191"/>
    </row>
    <row r="57" spans="1:47" x14ac:dyDescent="0.25">
      <c r="A57" s="191"/>
      <c r="B57" s="191"/>
      <c r="C57" s="191"/>
      <c r="D57" s="191"/>
      <c r="E57" s="191"/>
      <c r="F57" s="191"/>
      <c r="G57" s="191"/>
      <c r="H57" s="191"/>
      <c r="I57" s="191"/>
      <c r="J57" s="191"/>
      <c r="K57" s="191"/>
      <c r="L57" s="191"/>
      <c r="M57" s="191"/>
      <c r="N57" s="191"/>
      <c r="O57" s="191"/>
      <c r="P57" s="191"/>
      <c r="Q57" s="191"/>
      <c r="R57" s="191"/>
      <c r="S57" s="191"/>
      <c r="T57" s="687"/>
      <c r="U57" s="687"/>
      <c r="V57" s="687"/>
      <c r="W57" s="687"/>
      <c r="X57" s="687"/>
      <c r="Y57" s="687"/>
      <c r="Z57" s="687"/>
      <c r="AA57" s="687"/>
      <c r="AB57" s="687"/>
      <c r="AC57" s="687"/>
      <c r="AD57" s="687"/>
      <c r="AE57" s="687"/>
      <c r="AF57" s="687"/>
      <c r="AG57" s="687"/>
      <c r="AH57" s="687"/>
      <c r="AI57" s="687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</row>
    <row r="58" spans="1:47" x14ac:dyDescent="0.25">
      <c r="A58" s="191"/>
      <c r="B58" s="191"/>
      <c r="C58" s="191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191"/>
      <c r="O58" s="191"/>
      <c r="P58" s="191"/>
      <c r="Q58" s="191"/>
      <c r="R58" s="191"/>
      <c r="S58" s="191"/>
      <c r="T58" s="687"/>
      <c r="U58" s="687"/>
      <c r="V58" s="687"/>
      <c r="W58" s="687"/>
      <c r="X58" s="687"/>
      <c r="Y58" s="687"/>
      <c r="Z58" s="687"/>
      <c r="AA58" s="687"/>
      <c r="AB58" s="687"/>
      <c r="AC58" s="687"/>
      <c r="AD58" s="687"/>
      <c r="AE58" s="687"/>
      <c r="AF58" s="687"/>
      <c r="AG58" s="687"/>
      <c r="AH58" s="687"/>
      <c r="AI58" s="687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  <c r="AU58" s="191"/>
    </row>
    <row r="59" spans="1:47" x14ac:dyDescent="0.25">
      <c r="A59" s="191"/>
      <c r="B59" s="191"/>
      <c r="C59" s="191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191"/>
      <c r="O59" s="191"/>
      <c r="P59" s="191"/>
      <c r="Q59" s="191"/>
      <c r="R59" s="191"/>
      <c r="S59" s="191"/>
      <c r="T59" s="687"/>
      <c r="U59" s="687"/>
      <c r="V59" s="687"/>
      <c r="W59" s="687"/>
      <c r="X59" s="687"/>
      <c r="Y59" s="687"/>
      <c r="Z59" s="687"/>
      <c r="AA59" s="687"/>
      <c r="AB59" s="687"/>
      <c r="AC59" s="687"/>
      <c r="AD59" s="687"/>
      <c r="AE59" s="687"/>
      <c r="AF59" s="687"/>
      <c r="AG59" s="687"/>
      <c r="AH59" s="687"/>
      <c r="AI59" s="687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</row>
    <row r="60" spans="1:47" x14ac:dyDescent="0.25">
      <c r="A60" s="191"/>
      <c r="B60" s="191"/>
      <c r="C60" s="191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191"/>
      <c r="O60" s="191"/>
      <c r="P60" s="191"/>
      <c r="Q60" s="191"/>
      <c r="R60" s="191"/>
      <c r="S60" s="191"/>
      <c r="T60" s="687"/>
      <c r="U60" s="687"/>
      <c r="V60" s="687"/>
      <c r="W60" s="687"/>
      <c r="X60" s="687"/>
      <c r="Y60" s="687"/>
      <c r="Z60" s="687"/>
      <c r="AA60" s="687"/>
      <c r="AB60" s="687"/>
      <c r="AC60" s="687"/>
      <c r="AD60" s="687"/>
      <c r="AE60" s="687"/>
      <c r="AF60" s="687"/>
      <c r="AG60" s="687"/>
      <c r="AH60" s="687"/>
      <c r="AI60" s="687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</row>
    <row r="61" spans="1:47" x14ac:dyDescent="0.25">
      <c r="A61" s="191"/>
      <c r="B61" s="191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1"/>
      <c r="S61" s="191"/>
      <c r="T61" s="687"/>
      <c r="U61" s="687"/>
      <c r="V61" s="687"/>
      <c r="W61" s="687"/>
      <c r="X61" s="687"/>
      <c r="Y61" s="687"/>
      <c r="Z61" s="687"/>
      <c r="AA61" s="687"/>
      <c r="AB61" s="687"/>
      <c r="AC61" s="687"/>
      <c r="AD61" s="687"/>
      <c r="AE61" s="687"/>
      <c r="AF61" s="687"/>
      <c r="AG61" s="687"/>
      <c r="AH61" s="687"/>
      <c r="AI61" s="687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  <c r="AU61" s="191"/>
    </row>
    <row r="62" spans="1:47" x14ac:dyDescent="0.25">
      <c r="A62" s="191"/>
      <c r="B62" s="191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687"/>
      <c r="U62" s="687"/>
      <c r="V62" s="687"/>
      <c r="W62" s="687"/>
      <c r="X62" s="687"/>
      <c r="Y62" s="687"/>
      <c r="Z62" s="687"/>
      <c r="AA62" s="687"/>
      <c r="AB62" s="687"/>
      <c r="AC62" s="687"/>
      <c r="AD62" s="687"/>
      <c r="AE62" s="687"/>
      <c r="AF62" s="687"/>
      <c r="AG62" s="687"/>
      <c r="AH62" s="687"/>
      <c r="AI62" s="687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  <c r="AU62" s="191"/>
    </row>
    <row r="63" spans="1:47" x14ac:dyDescent="0.25">
      <c r="A63" s="191"/>
      <c r="B63" s="191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687"/>
      <c r="U63" s="687"/>
      <c r="V63" s="687"/>
      <c r="W63" s="687"/>
      <c r="X63" s="687"/>
      <c r="Y63" s="687"/>
      <c r="Z63" s="687"/>
      <c r="AA63" s="687"/>
      <c r="AB63" s="687"/>
      <c r="AC63" s="687"/>
      <c r="AD63" s="687"/>
      <c r="AE63" s="687"/>
      <c r="AF63" s="687"/>
      <c r="AG63" s="687"/>
      <c r="AH63" s="687"/>
      <c r="AI63" s="687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  <c r="AU63" s="191"/>
    </row>
    <row r="64" spans="1:47" x14ac:dyDescent="0.25">
      <c r="A64" s="191"/>
      <c r="B64" s="191"/>
      <c r="C64" s="191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191"/>
      <c r="O64" s="191"/>
      <c r="P64" s="191"/>
      <c r="Q64" s="191"/>
      <c r="R64" s="191"/>
      <c r="S64" s="191"/>
      <c r="T64" s="687"/>
      <c r="U64" s="687"/>
      <c r="V64" s="687"/>
      <c r="W64" s="687"/>
      <c r="X64" s="687"/>
      <c r="Y64" s="687"/>
      <c r="Z64" s="687"/>
      <c r="AA64" s="687"/>
      <c r="AB64" s="687"/>
      <c r="AC64" s="687"/>
      <c r="AD64" s="687"/>
      <c r="AE64" s="687"/>
      <c r="AF64" s="687"/>
      <c r="AG64" s="687"/>
      <c r="AH64" s="687"/>
      <c r="AI64" s="687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  <c r="AU64" s="191"/>
    </row>
    <row r="65" spans="1:47" x14ac:dyDescent="0.25">
      <c r="A65" s="191"/>
      <c r="B65" s="191"/>
      <c r="C65" s="191"/>
      <c r="D65" s="191"/>
      <c r="E65" s="191"/>
      <c r="F65" s="191"/>
      <c r="G65" s="191"/>
      <c r="H65" s="191"/>
      <c r="I65" s="191"/>
      <c r="J65" s="191"/>
      <c r="K65" s="191"/>
      <c r="L65" s="191"/>
      <c r="M65" s="191"/>
      <c r="N65" s="191"/>
      <c r="O65" s="191"/>
      <c r="P65" s="191"/>
      <c r="Q65" s="191"/>
      <c r="R65" s="191"/>
      <c r="S65" s="191"/>
      <c r="T65" s="687"/>
      <c r="U65" s="687"/>
      <c r="V65" s="687"/>
      <c r="W65" s="687"/>
      <c r="X65" s="687"/>
      <c r="Y65" s="687"/>
      <c r="Z65" s="687"/>
      <c r="AA65" s="687"/>
      <c r="AB65" s="687"/>
      <c r="AC65" s="687"/>
      <c r="AD65" s="687"/>
      <c r="AE65" s="687"/>
      <c r="AF65" s="687"/>
      <c r="AG65" s="687"/>
      <c r="AH65" s="687"/>
      <c r="AI65" s="687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</row>
    <row r="66" spans="1:47" x14ac:dyDescent="0.25">
      <c r="A66" s="191"/>
      <c r="B66" s="191"/>
      <c r="C66" s="191"/>
      <c r="D66" s="191"/>
      <c r="E66" s="191"/>
      <c r="F66" s="191"/>
      <c r="G66" s="191"/>
      <c r="H66" s="191"/>
      <c r="I66" s="191"/>
      <c r="J66" s="191"/>
      <c r="K66" s="191"/>
      <c r="L66" s="191"/>
      <c r="M66" s="191"/>
      <c r="N66" s="191"/>
      <c r="O66" s="191"/>
      <c r="P66" s="191"/>
      <c r="Q66" s="191"/>
      <c r="R66" s="191"/>
      <c r="S66" s="191"/>
      <c r="T66" s="687"/>
      <c r="U66" s="687"/>
      <c r="V66" s="687"/>
      <c r="W66" s="687"/>
      <c r="X66" s="687"/>
      <c r="Y66" s="687"/>
      <c r="Z66" s="687"/>
      <c r="AA66" s="687"/>
      <c r="AB66" s="687"/>
      <c r="AC66" s="687"/>
      <c r="AD66" s="687"/>
      <c r="AE66" s="687"/>
      <c r="AF66" s="687"/>
      <c r="AG66" s="687"/>
      <c r="AH66" s="687"/>
      <c r="AI66" s="687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</row>
    <row r="67" spans="1:47" x14ac:dyDescent="0.25">
      <c r="A67" s="191"/>
      <c r="B67" s="191"/>
      <c r="C67" s="191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191"/>
      <c r="O67" s="191"/>
      <c r="P67" s="191"/>
      <c r="Q67" s="191"/>
      <c r="R67" s="191"/>
      <c r="S67" s="191"/>
      <c r="T67" s="687"/>
      <c r="U67" s="687"/>
      <c r="V67" s="687"/>
      <c r="W67" s="687"/>
      <c r="X67" s="687"/>
      <c r="Y67" s="687"/>
      <c r="Z67" s="687"/>
      <c r="AA67" s="687"/>
      <c r="AB67" s="687"/>
      <c r="AC67" s="687"/>
      <c r="AD67" s="687"/>
      <c r="AE67" s="687"/>
      <c r="AF67" s="687"/>
      <c r="AG67" s="687"/>
      <c r="AH67" s="687"/>
      <c r="AI67" s="687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</row>
    <row r="68" spans="1:47" x14ac:dyDescent="0.25">
      <c r="A68" s="191"/>
      <c r="B68" s="191"/>
      <c r="C68" s="191"/>
      <c r="D68" s="191"/>
      <c r="E68" s="191"/>
      <c r="F68" s="191"/>
      <c r="G68" s="191"/>
      <c r="H68" s="191"/>
      <c r="I68" s="191"/>
      <c r="J68" s="191"/>
      <c r="K68" s="191"/>
      <c r="L68" s="191"/>
      <c r="M68" s="191"/>
      <c r="N68" s="191"/>
      <c r="O68" s="191"/>
      <c r="P68" s="191"/>
      <c r="Q68" s="191"/>
      <c r="R68" s="191"/>
      <c r="S68" s="191"/>
      <c r="T68" s="687"/>
      <c r="U68" s="687"/>
      <c r="V68" s="687"/>
      <c r="W68" s="687"/>
      <c r="X68" s="687"/>
      <c r="Y68" s="687"/>
      <c r="Z68" s="687"/>
      <c r="AA68" s="687"/>
      <c r="AB68" s="687"/>
      <c r="AC68" s="687"/>
      <c r="AD68" s="687"/>
      <c r="AE68" s="687"/>
      <c r="AF68" s="687"/>
      <c r="AG68" s="687"/>
      <c r="AH68" s="687"/>
      <c r="AI68" s="687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</row>
    <row r="69" spans="1:47" x14ac:dyDescent="0.25">
      <c r="T69" s="688"/>
      <c r="U69" s="688"/>
      <c r="V69" s="688"/>
      <c r="W69" s="688"/>
      <c r="X69" s="688"/>
      <c r="Y69" s="688"/>
      <c r="Z69" s="688"/>
      <c r="AA69" s="688"/>
      <c r="AB69" s="688"/>
      <c r="AC69" s="688"/>
      <c r="AD69" s="688"/>
      <c r="AE69" s="688"/>
      <c r="AF69" s="688"/>
      <c r="AG69" s="688"/>
      <c r="AH69" s="688"/>
      <c r="AI69" s="688"/>
    </row>
    <row r="70" spans="1:47" x14ac:dyDescent="0.25">
      <c r="T70" s="688"/>
      <c r="U70" s="688"/>
      <c r="V70" s="688"/>
      <c r="W70" s="688"/>
      <c r="X70" s="688"/>
      <c r="Y70" s="688"/>
      <c r="Z70" s="688"/>
      <c r="AA70" s="688"/>
      <c r="AB70" s="688"/>
      <c r="AC70" s="688"/>
      <c r="AD70" s="688"/>
      <c r="AE70" s="688"/>
      <c r="AF70" s="688"/>
      <c r="AG70" s="688"/>
      <c r="AH70" s="688"/>
      <c r="AI70" s="688"/>
    </row>
    <row r="71" spans="1:47" x14ac:dyDescent="0.25">
      <c r="T71" s="688"/>
      <c r="U71" s="688"/>
      <c r="V71" s="688"/>
      <c r="W71" s="688"/>
      <c r="X71" s="688"/>
      <c r="Y71" s="688"/>
      <c r="Z71" s="688"/>
      <c r="AA71" s="688"/>
      <c r="AB71" s="688"/>
      <c r="AC71" s="688"/>
      <c r="AD71" s="688"/>
      <c r="AE71" s="688"/>
      <c r="AF71" s="688"/>
      <c r="AG71" s="688"/>
      <c r="AH71" s="688"/>
      <c r="AI71" s="688"/>
    </row>
    <row r="72" spans="1:47" x14ac:dyDescent="0.25">
      <c r="T72" s="688"/>
      <c r="U72" s="688"/>
      <c r="V72" s="688"/>
      <c r="W72" s="688"/>
      <c r="X72" s="688"/>
      <c r="Y72" s="688"/>
      <c r="Z72" s="688"/>
      <c r="AA72" s="688"/>
      <c r="AB72" s="688"/>
      <c r="AC72" s="688"/>
      <c r="AD72" s="688"/>
      <c r="AE72" s="688"/>
      <c r="AF72" s="688"/>
      <c r="AG72" s="688"/>
      <c r="AH72" s="688"/>
      <c r="AI72" s="688"/>
    </row>
    <row r="73" spans="1:47" x14ac:dyDescent="0.25">
      <c r="T73" s="688"/>
      <c r="U73" s="688"/>
      <c r="V73" s="688"/>
      <c r="W73" s="688"/>
      <c r="X73" s="688"/>
      <c r="Y73" s="688"/>
      <c r="Z73" s="688"/>
      <c r="AA73" s="688"/>
      <c r="AB73" s="688"/>
      <c r="AC73" s="688"/>
      <c r="AD73" s="688"/>
      <c r="AE73" s="688"/>
      <c r="AF73" s="688"/>
      <c r="AG73" s="688"/>
      <c r="AH73" s="688"/>
      <c r="AI73" s="688"/>
    </row>
    <row r="74" spans="1:47" x14ac:dyDescent="0.25">
      <c r="T74" s="688"/>
      <c r="U74" s="688"/>
      <c r="V74" s="688"/>
      <c r="W74" s="688"/>
      <c r="X74" s="688"/>
      <c r="Y74" s="688"/>
      <c r="Z74" s="688"/>
      <c r="AA74" s="688"/>
      <c r="AB74" s="688"/>
      <c r="AC74" s="688"/>
      <c r="AD74" s="688"/>
      <c r="AE74" s="688"/>
      <c r="AF74" s="688"/>
      <c r="AG74" s="688"/>
      <c r="AH74" s="688"/>
      <c r="AI74" s="688"/>
    </row>
    <row r="75" spans="1:47" x14ac:dyDescent="0.25">
      <c r="T75" s="688"/>
      <c r="U75" s="688"/>
      <c r="V75" s="688"/>
      <c r="W75" s="688"/>
      <c r="X75" s="688"/>
      <c r="Y75" s="688"/>
      <c r="Z75" s="688"/>
      <c r="AA75" s="688"/>
      <c r="AB75" s="688"/>
      <c r="AC75" s="688"/>
      <c r="AD75" s="688"/>
      <c r="AE75" s="688"/>
      <c r="AF75" s="688"/>
      <c r="AG75" s="688"/>
      <c r="AH75" s="688"/>
      <c r="AI75" s="688"/>
    </row>
    <row r="76" spans="1:47" x14ac:dyDescent="0.25">
      <c r="T76" s="688"/>
      <c r="U76" s="688"/>
      <c r="V76" s="688"/>
      <c r="W76" s="688"/>
      <c r="X76" s="688"/>
      <c r="Y76" s="688"/>
      <c r="Z76" s="688"/>
      <c r="AA76" s="688"/>
      <c r="AB76" s="688"/>
      <c r="AC76" s="688"/>
      <c r="AD76" s="688"/>
      <c r="AE76" s="688"/>
      <c r="AF76" s="688"/>
      <c r="AG76" s="688"/>
      <c r="AH76" s="688"/>
      <c r="AI76" s="688"/>
    </row>
    <row r="77" spans="1:47" x14ac:dyDescent="0.25">
      <c r="T77" s="688"/>
      <c r="U77" s="688"/>
      <c r="V77" s="688"/>
      <c r="W77" s="688"/>
      <c r="X77" s="688"/>
      <c r="Y77" s="688"/>
      <c r="Z77" s="688"/>
      <c r="AA77" s="688"/>
      <c r="AB77" s="688"/>
      <c r="AC77" s="688"/>
      <c r="AD77" s="688"/>
      <c r="AE77" s="688"/>
      <c r="AF77" s="688"/>
      <c r="AG77" s="688"/>
      <c r="AH77" s="688"/>
      <c r="AI77" s="688"/>
    </row>
    <row r="78" spans="1:47" x14ac:dyDescent="0.25">
      <c r="T78" s="688"/>
      <c r="U78" s="688"/>
      <c r="V78" s="688"/>
      <c r="W78" s="688"/>
      <c r="X78" s="688"/>
      <c r="Y78" s="688"/>
      <c r="Z78" s="688"/>
      <c r="AA78" s="688"/>
      <c r="AB78" s="688"/>
      <c r="AC78" s="688"/>
      <c r="AD78" s="688"/>
      <c r="AE78" s="688"/>
      <c r="AF78" s="688"/>
      <c r="AG78" s="688"/>
      <c r="AH78" s="688"/>
      <c r="AI78" s="688"/>
    </row>
    <row r="79" spans="1:47" x14ac:dyDescent="0.25">
      <c r="T79" s="688"/>
      <c r="U79" s="688"/>
      <c r="V79" s="688"/>
      <c r="W79" s="688"/>
      <c r="X79" s="688"/>
      <c r="Y79" s="688"/>
      <c r="Z79" s="688"/>
      <c r="AA79" s="688"/>
      <c r="AB79" s="688"/>
      <c r="AC79" s="688"/>
      <c r="AD79" s="688"/>
      <c r="AE79" s="688"/>
      <c r="AF79" s="688"/>
      <c r="AG79" s="688"/>
      <c r="AH79" s="688"/>
      <c r="AI79" s="688"/>
    </row>
    <row r="80" spans="1:47" x14ac:dyDescent="0.25">
      <c r="T80" s="688"/>
      <c r="U80" s="688"/>
      <c r="V80" s="688"/>
      <c r="W80" s="688"/>
      <c r="X80" s="688"/>
      <c r="Y80" s="688"/>
      <c r="Z80" s="688"/>
      <c r="AA80" s="688"/>
      <c r="AB80" s="688"/>
      <c r="AC80" s="688"/>
      <c r="AD80" s="688"/>
      <c r="AE80" s="688"/>
      <c r="AF80" s="688"/>
      <c r="AG80" s="688"/>
      <c r="AH80" s="688"/>
      <c r="AI80" s="688"/>
    </row>
    <row r="81" spans="20:35" x14ac:dyDescent="0.25">
      <c r="T81" s="688"/>
      <c r="U81" s="688"/>
      <c r="V81" s="688"/>
      <c r="W81" s="688"/>
      <c r="X81" s="688"/>
      <c r="Y81" s="688"/>
      <c r="Z81" s="688"/>
      <c r="AA81" s="688"/>
      <c r="AB81" s="688"/>
      <c r="AC81" s="688"/>
      <c r="AD81" s="688"/>
      <c r="AE81" s="688"/>
      <c r="AF81" s="688"/>
      <c r="AG81" s="688"/>
      <c r="AH81" s="688"/>
      <c r="AI81" s="688"/>
    </row>
    <row r="82" spans="20:35" x14ac:dyDescent="0.25">
      <c r="T82" s="688"/>
      <c r="U82" s="688"/>
      <c r="V82" s="688"/>
      <c r="W82" s="688"/>
      <c r="X82" s="688"/>
      <c r="Y82" s="688"/>
      <c r="Z82" s="688"/>
      <c r="AA82" s="688"/>
      <c r="AB82" s="688"/>
      <c r="AC82" s="688"/>
      <c r="AD82" s="688"/>
      <c r="AE82" s="688"/>
      <c r="AF82" s="688"/>
      <c r="AG82" s="688"/>
      <c r="AH82" s="688"/>
      <c r="AI82" s="688"/>
    </row>
    <row r="83" spans="20:35" x14ac:dyDescent="0.25">
      <c r="T83" s="688"/>
      <c r="U83" s="688"/>
      <c r="V83" s="688"/>
      <c r="W83" s="688"/>
      <c r="X83" s="688"/>
      <c r="Y83" s="688"/>
      <c r="Z83" s="688"/>
      <c r="AA83" s="688"/>
      <c r="AB83" s="688"/>
      <c r="AC83" s="688"/>
      <c r="AD83" s="688"/>
      <c r="AE83" s="688"/>
      <c r="AF83" s="688"/>
      <c r="AG83" s="688"/>
      <c r="AH83" s="688"/>
      <c r="AI83" s="688"/>
    </row>
    <row r="84" spans="20:35" x14ac:dyDescent="0.25">
      <c r="T84" s="688"/>
      <c r="U84" s="688"/>
      <c r="V84" s="688"/>
      <c r="W84" s="688"/>
      <c r="X84" s="688"/>
      <c r="Y84" s="688"/>
      <c r="Z84" s="688"/>
      <c r="AA84" s="688"/>
      <c r="AB84" s="688"/>
      <c r="AC84" s="688"/>
      <c r="AD84" s="688"/>
      <c r="AE84" s="688"/>
      <c r="AF84" s="688"/>
      <c r="AG84" s="688"/>
      <c r="AH84" s="688"/>
      <c r="AI84" s="688"/>
    </row>
    <row r="85" spans="20:35" x14ac:dyDescent="0.25">
      <c r="T85" s="688"/>
      <c r="U85" s="688"/>
      <c r="V85" s="688"/>
      <c r="W85" s="688"/>
      <c r="X85" s="688"/>
      <c r="Y85" s="688"/>
      <c r="Z85" s="688"/>
      <c r="AA85" s="688"/>
      <c r="AB85" s="688"/>
      <c r="AC85" s="688"/>
      <c r="AD85" s="688"/>
      <c r="AE85" s="688"/>
      <c r="AF85" s="688"/>
      <c r="AG85" s="688"/>
      <c r="AH85" s="688"/>
      <c r="AI85" s="688"/>
    </row>
    <row r="86" spans="20:35" x14ac:dyDescent="0.25">
      <c r="T86" s="688"/>
      <c r="U86" s="688"/>
      <c r="V86" s="688"/>
      <c r="W86" s="688"/>
      <c r="X86" s="688"/>
      <c r="Y86" s="688"/>
      <c r="Z86" s="688"/>
      <c r="AA86" s="688"/>
      <c r="AB86" s="688"/>
      <c r="AC86" s="688"/>
      <c r="AD86" s="688"/>
      <c r="AE86" s="688"/>
      <c r="AF86" s="688"/>
      <c r="AG86" s="688"/>
      <c r="AH86" s="688"/>
      <c r="AI86" s="688"/>
    </row>
    <row r="87" spans="20:35" x14ac:dyDescent="0.25">
      <c r="T87" s="688"/>
      <c r="U87" s="688"/>
      <c r="V87" s="688"/>
      <c r="W87" s="688"/>
      <c r="X87" s="688"/>
      <c r="Y87" s="688"/>
      <c r="Z87" s="688"/>
      <c r="AA87" s="688"/>
      <c r="AB87" s="688"/>
      <c r="AC87" s="688"/>
      <c r="AD87" s="688"/>
      <c r="AE87" s="688"/>
      <c r="AF87" s="688"/>
      <c r="AG87" s="688"/>
      <c r="AH87" s="688"/>
      <c r="AI87" s="688"/>
    </row>
    <row r="88" spans="20:35" x14ac:dyDescent="0.25">
      <c r="T88" s="688"/>
      <c r="U88" s="688"/>
      <c r="V88" s="688"/>
      <c r="W88" s="688"/>
      <c r="X88" s="688"/>
      <c r="Y88" s="688"/>
      <c r="Z88" s="688"/>
      <c r="AA88" s="688"/>
      <c r="AB88" s="688"/>
      <c r="AC88" s="688"/>
      <c r="AD88" s="688"/>
      <c r="AE88" s="688"/>
      <c r="AF88" s="688"/>
      <c r="AG88" s="688"/>
      <c r="AH88" s="688"/>
      <c r="AI88" s="688"/>
    </row>
    <row r="89" spans="20:35" x14ac:dyDescent="0.25">
      <c r="T89" s="688"/>
      <c r="U89" s="688"/>
      <c r="V89" s="688"/>
      <c r="W89" s="688"/>
      <c r="X89" s="688"/>
      <c r="Y89" s="688"/>
      <c r="Z89" s="688"/>
      <c r="AA89" s="688"/>
      <c r="AB89" s="688"/>
      <c r="AC89" s="688"/>
      <c r="AD89" s="688"/>
      <c r="AE89" s="688"/>
      <c r="AF89" s="688"/>
      <c r="AG89" s="688"/>
      <c r="AH89" s="688"/>
      <c r="AI89" s="688"/>
    </row>
    <row r="90" spans="20:35" x14ac:dyDescent="0.25">
      <c r="T90" s="688"/>
      <c r="U90" s="688"/>
      <c r="V90" s="688"/>
      <c r="W90" s="688"/>
      <c r="X90" s="688"/>
      <c r="Y90" s="688"/>
      <c r="Z90" s="688"/>
      <c r="AA90" s="688"/>
      <c r="AB90" s="688"/>
      <c r="AC90" s="688"/>
      <c r="AD90" s="688"/>
      <c r="AE90" s="688"/>
      <c r="AF90" s="688"/>
      <c r="AG90" s="688"/>
      <c r="AH90" s="688"/>
      <c r="AI90" s="688"/>
    </row>
    <row r="91" spans="20:35" x14ac:dyDescent="0.25">
      <c r="T91" s="688"/>
      <c r="U91" s="688"/>
      <c r="V91" s="688"/>
      <c r="W91" s="688"/>
      <c r="X91" s="688"/>
      <c r="Y91" s="688"/>
      <c r="Z91" s="688"/>
      <c r="AA91" s="688"/>
      <c r="AB91" s="688"/>
      <c r="AC91" s="688"/>
      <c r="AD91" s="688"/>
      <c r="AE91" s="688"/>
      <c r="AF91" s="688"/>
      <c r="AG91" s="688"/>
      <c r="AH91" s="688"/>
      <c r="AI91" s="688"/>
    </row>
    <row r="92" spans="20:35" x14ac:dyDescent="0.25">
      <c r="T92" s="688"/>
      <c r="U92" s="688"/>
      <c r="V92" s="688"/>
      <c r="W92" s="688"/>
      <c r="X92" s="688"/>
      <c r="Y92" s="688"/>
      <c r="Z92" s="688"/>
      <c r="AA92" s="688"/>
      <c r="AB92" s="688"/>
      <c r="AC92" s="688"/>
      <c r="AD92" s="688"/>
      <c r="AE92" s="688"/>
      <c r="AF92" s="688"/>
      <c r="AG92" s="688"/>
      <c r="AH92" s="688"/>
      <c r="AI92" s="688"/>
    </row>
    <row r="93" spans="20:35" x14ac:dyDescent="0.25">
      <c r="T93" s="688"/>
      <c r="U93" s="688"/>
      <c r="V93" s="688"/>
      <c r="W93" s="688"/>
      <c r="X93" s="688"/>
      <c r="Y93" s="688"/>
      <c r="Z93" s="688"/>
      <c r="AA93" s="688"/>
      <c r="AB93" s="688"/>
      <c r="AC93" s="688"/>
      <c r="AD93" s="688"/>
      <c r="AE93" s="688"/>
      <c r="AF93" s="688"/>
      <c r="AG93" s="688"/>
      <c r="AH93" s="688"/>
      <c r="AI93" s="688"/>
    </row>
    <row r="94" spans="20:35" x14ac:dyDescent="0.25">
      <c r="T94" s="688"/>
      <c r="U94" s="688"/>
      <c r="V94" s="688"/>
      <c r="W94" s="688"/>
      <c r="X94" s="688"/>
      <c r="Y94" s="688"/>
      <c r="Z94" s="688"/>
      <c r="AA94" s="688"/>
      <c r="AB94" s="688"/>
      <c r="AC94" s="688"/>
      <c r="AD94" s="688"/>
      <c r="AE94" s="688"/>
      <c r="AF94" s="688"/>
      <c r="AG94" s="688"/>
      <c r="AH94" s="688"/>
      <c r="AI94" s="688"/>
    </row>
    <row r="95" spans="20:35" x14ac:dyDescent="0.25">
      <c r="T95" s="688"/>
      <c r="U95" s="688"/>
      <c r="V95" s="688"/>
      <c r="W95" s="688"/>
      <c r="X95" s="688"/>
      <c r="Y95" s="688"/>
      <c r="Z95" s="688"/>
      <c r="AA95" s="688"/>
      <c r="AB95" s="688"/>
      <c r="AC95" s="688"/>
      <c r="AD95" s="688"/>
      <c r="AE95" s="688"/>
      <c r="AF95" s="688"/>
      <c r="AG95" s="688"/>
      <c r="AH95" s="688"/>
      <c r="AI95" s="688"/>
    </row>
    <row r="96" spans="20:35" x14ac:dyDescent="0.25">
      <c r="T96" s="688"/>
      <c r="U96" s="688"/>
      <c r="V96" s="688"/>
      <c r="W96" s="688"/>
      <c r="X96" s="688"/>
      <c r="Y96" s="688"/>
      <c r="Z96" s="688"/>
      <c r="AA96" s="688"/>
      <c r="AB96" s="688"/>
      <c r="AC96" s="688"/>
      <c r="AD96" s="688"/>
      <c r="AE96" s="688"/>
      <c r="AF96" s="688"/>
      <c r="AG96" s="688"/>
      <c r="AH96" s="688"/>
      <c r="AI96" s="688"/>
    </row>
    <row r="97" spans="20:35" x14ac:dyDescent="0.25">
      <c r="T97" s="688"/>
      <c r="U97" s="688"/>
      <c r="V97" s="688"/>
      <c r="W97" s="688"/>
      <c r="X97" s="688"/>
      <c r="Y97" s="688"/>
      <c r="Z97" s="688"/>
      <c r="AA97" s="688"/>
      <c r="AB97" s="688"/>
      <c r="AC97" s="688"/>
      <c r="AD97" s="688"/>
      <c r="AE97" s="688"/>
      <c r="AF97" s="688"/>
      <c r="AG97" s="688"/>
      <c r="AH97" s="688"/>
      <c r="AI97" s="688"/>
    </row>
    <row r="98" spans="20:35" x14ac:dyDescent="0.25">
      <c r="T98" s="688"/>
      <c r="U98" s="688"/>
      <c r="V98" s="688"/>
      <c r="W98" s="688"/>
      <c r="X98" s="688"/>
      <c r="Y98" s="688"/>
      <c r="Z98" s="688"/>
      <c r="AA98" s="688"/>
      <c r="AB98" s="688"/>
      <c r="AC98" s="688"/>
      <c r="AD98" s="688"/>
      <c r="AE98" s="688"/>
      <c r="AF98" s="688"/>
      <c r="AG98" s="688"/>
      <c r="AH98" s="688"/>
      <c r="AI98" s="688"/>
    </row>
    <row r="99" spans="20:35" x14ac:dyDescent="0.25">
      <c r="T99" s="688"/>
      <c r="U99" s="688"/>
      <c r="V99" s="688"/>
      <c r="W99" s="688"/>
      <c r="X99" s="688"/>
      <c r="Y99" s="688"/>
      <c r="Z99" s="688"/>
      <c r="AA99" s="688"/>
      <c r="AB99" s="688"/>
      <c r="AC99" s="688"/>
      <c r="AD99" s="688"/>
      <c r="AE99" s="688"/>
      <c r="AF99" s="688"/>
      <c r="AG99" s="688"/>
      <c r="AH99" s="688"/>
      <c r="AI99" s="688"/>
    </row>
    <row r="100" spans="20:35" x14ac:dyDescent="0.25">
      <c r="T100" s="688"/>
      <c r="U100" s="688"/>
      <c r="V100" s="688"/>
      <c r="W100" s="688"/>
      <c r="X100" s="688"/>
      <c r="Y100" s="688"/>
      <c r="Z100" s="688"/>
      <c r="AA100" s="688"/>
      <c r="AB100" s="688"/>
      <c r="AC100" s="688"/>
      <c r="AD100" s="688"/>
      <c r="AE100" s="688"/>
      <c r="AF100" s="688"/>
      <c r="AG100" s="688"/>
      <c r="AH100" s="688"/>
      <c r="AI100" s="688"/>
    </row>
    <row r="101" spans="20:35" x14ac:dyDescent="0.25">
      <c r="T101" s="688"/>
      <c r="U101" s="688"/>
      <c r="V101" s="688"/>
      <c r="W101" s="688"/>
      <c r="X101" s="688"/>
      <c r="Y101" s="688"/>
      <c r="Z101" s="688"/>
      <c r="AA101" s="688"/>
      <c r="AB101" s="688"/>
      <c r="AC101" s="688"/>
      <c r="AD101" s="688"/>
      <c r="AE101" s="688"/>
      <c r="AF101" s="688"/>
      <c r="AG101" s="688"/>
      <c r="AH101" s="688"/>
      <c r="AI101" s="688"/>
    </row>
    <row r="102" spans="20:35" x14ac:dyDescent="0.25">
      <c r="T102" s="688"/>
      <c r="U102" s="688"/>
      <c r="V102" s="688"/>
      <c r="W102" s="688"/>
      <c r="X102" s="688"/>
      <c r="Y102" s="688"/>
      <c r="Z102" s="688"/>
      <c r="AA102" s="688"/>
      <c r="AB102" s="688"/>
      <c r="AC102" s="688"/>
      <c r="AD102" s="688"/>
      <c r="AE102" s="688"/>
      <c r="AF102" s="688"/>
      <c r="AG102" s="688"/>
      <c r="AH102" s="688"/>
      <c r="AI102" s="688"/>
    </row>
    <row r="103" spans="20:35" x14ac:dyDescent="0.25">
      <c r="T103" s="688"/>
      <c r="U103" s="688"/>
      <c r="V103" s="688"/>
      <c r="W103" s="688"/>
      <c r="X103" s="688"/>
      <c r="Y103" s="688"/>
      <c r="Z103" s="688"/>
      <c r="AA103" s="688"/>
      <c r="AB103" s="688"/>
      <c r="AC103" s="688"/>
      <c r="AD103" s="688"/>
      <c r="AE103" s="688"/>
      <c r="AF103" s="688"/>
      <c r="AG103" s="688"/>
      <c r="AH103" s="688"/>
      <c r="AI103" s="688"/>
    </row>
    <row r="104" spans="20:35" x14ac:dyDescent="0.25">
      <c r="T104" s="688"/>
      <c r="U104" s="688"/>
      <c r="V104" s="688"/>
      <c r="W104" s="688"/>
      <c r="X104" s="688"/>
      <c r="Y104" s="688"/>
      <c r="Z104" s="688"/>
      <c r="AA104" s="688"/>
      <c r="AB104" s="688"/>
      <c r="AC104" s="688"/>
      <c r="AD104" s="688"/>
      <c r="AE104" s="688"/>
      <c r="AF104" s="688"/>
      <c r="AG104" s="688"/>
      <c r="AH104" s="688"/>
      <c r="AI104" s="688"/>
    </row>
    <row r="105" spans="20:35" x14ac:dyDescent="0.25">
      <c r="T105" s="688"/>
      <c r="U105" s="688"/>
      <c r="V105" s="688"/>
      <c r="W105" s="688"/>
      <c r="X105" s="688"/>
      <c r="Y105" s="688"/>
      <c r="Z105" s="688"/>
      <c r="AA105" s="688"/>
      <c r="AB105" s="688"/>
      <c r="AC105" s="688"/>
      <c r="AD105" s="688"/>
      <c r="AE105" s="688"/>
      <c r="AF105" s="688"/>
      <c r="AG105" s="688"/>
      <c r="AH105" s="688"/>
      <c r="AI105" s="688"/>
    </row>
    <row r="106" spans="20:35" x14ac:dyDescent="0.25">
      <c r="T106" s="688"/>
      <c r="U106" s="688"/>
      <c r="V106" s="688"/>
      <c r="W106" s="688"/>
      <c r="X106" s="688"/>
      <c r="Y106" s="688"/>
      <c r="Z106" s="688"/>
      <c r="AA106" s="688"/>
      <c r="AB106" s="688"/>
      <c r="AC106" s="688"/>
      <c r="AD106" s="688"/>
      <c r="AE106" s="688"/>
      <c r="AF106" s="688"/>
      <c r="AG106" s="688"/>
      <c r="AH106" s="688"/>
      <c r="AI106" s="688"/>
    </row>
    <row r="107" spans="20:35" x14ac:dyDescent="0.25">
      <c r="T107" s="688"/>
      <c r="U107" s="688"/>
      <c r="V107" s="688"/>
      <c r="W107" s="688"/>
      <c r="X107" s="688"/>
      <c r="Y107" s="688"/>
      <c r="Z107" s="688"/>
      <c r="AA107" s="688"/>
      <c r="AB107" s="688"/>
      <c r="AC107" s="688"/>
      <c r="AD107" s="688"/>
      <c r="AE107" s="688"/>
      <c r="AF107" s="688"/>
      <c r="AG107" s="688"/>
      <c r="AH107" s="688"/>
      <c r="AI107" s="688"/>
    </row>
    <row r="108" spans="20:35" x14ac:dyDescent="0.25">
      <c r="T108" s="688"/>
      <c r="U108" s="688"/>
      <c r="V108" s="688"/>
      <c r="W108" s="688"/>
      <c r="X108" s="688"/>
      <c r="Y108" s="688"/>
      <c r="Z108" s="688"/>
      <c r="AA108" s="688"/>
      <c r="AB108" s="688"/>
      <c r="AC108" s="688"/>
      <c r="AD108" s="688"/>
      <c r="AE108" s="688"/>
      <c r="AF108" s="688"/>
      <c r="AG108" s="688"/>
      <c r="AH108" s="688"/>
      <c r="AI108" s="688"/>
    </row>
    <row r="109" spans="20:35" x14ac:dyDescent="0.25">
      <c r="T109" s="688"/>
      <c r="U109" s="688"/>
      <c r="V109" s="688"/>
      <c r="W109" s="688"/>
      <c r="X109" s="688"/>
      <c r="Y109" s="688"/>
      <c r="Z109" s="688"/>
      <c r="AA109" s="688"/>
      <c r="AB109" s="688"/>
      <c r="AC109" s="688"/>
      <c r="AD109" s="688"/>
      <c r="AE109" s="688"/>
      <c r="AF109" s="688"/>
      <c r="AG109" s="688"/>
      <c r="AH109" s="688"/>
      <c r="AI109" s="688"/>
    </row>
    <row r="110" spans="20:35" x14ac:dyDescent="0.25">
      <c r="T110" s="688"/>
      <c r="U110" s="688"/>
      <c r="V110" s="688"/>
      <c r="W110" s="688"/>
      <c r="X110" s="688"/>
      <c r="Y110" s="688"/>
      <c r="Z110" s="688"/>
      <c r="AA110" s="688"/>
      <c r="AB110" s="688"/>
      <c r="AC110" s="688"/>
      <c r="AD110" s="688"/>
      <c r="AE110" s="688"/>
      <c r="AF110" s="688"/>
      <c r="AG110" s="688"/>
      <c r="AH110" s="688"/>
      <c r="AI110" s="688"/>
    </row>
    <row r="111" spans="20:35" x14ac:dyDescent="0.25">
      <c r="T111" s="688"/>
      <c r="U111" s="688"/>
      <c r="V111" s="688"/>
      <c r="W111" s="688"/>
      <c r="X111" s="688"/>
      <c r="Y111" s="688"/>
      <c r="Z111" s="688"/>
      <c r="AA111" s="688"/>
      <c r="AB111" s="688"/>
      <c r="AC111" s="688"/>
      <c r="AD111" s="688"/>
      <c r="AE111" s="688"/>
      <c r="AF111" s="688"/>
      <c r="AG111" s="688"/>
      <c r="AH111" s="688"/>
      <c r="AI111" s="688"/>
    </row>
    <row r="112" spans="20:35" x14ac:dyDescent="0.25">
      <c r="T112" s="688"/>
      <c r="U112" s="688"/>
      <c r="V112" s="688"/>
      <c r="W112" s="688"/>
      <c r="X112" s="688"/>
      <c r="Y112" s="688"/>
      <c r="Z112" s="688"/>
      <c r="AA112" s="688"/>
      <c r="AB112" s="688"/>
      <c r="AC112" s="688"/>
      <c r="AD112" s="688"/>
      <c r="AE112" s="688"/>
      <c r="AF112" s="688"/>
      <c r="AG112" s="688"/>
      <c r="AH112" s="688"/>
      <c r="AI112" s="688"/>
    </row>
    <row r="113" spans="20:35" x14ac:dyDescent="0.25">
      <c r="T113" s="688"/>
      <c r="U113" s="688"/>
      <c r="V113" s="688"/>
      <c r="W113" s="688"/>
      <c r="X113" s="688"/>
      <c r="Y113" s="688"/>
      <c r="Z113" s="688"/>
      <c r="AA113" s="688"/>
      <c r="AB113" s="688"/>
      <c r="AC113" s="688"/>
      <c r="AD113" s="688"/>
      <c r="AE113" s="688"/>
      <c r="AF113" s="688"/>
      <c r="AG113" s="688"/>
      <c r="AH113" s="688"/>
      <c r="AI113" s="688"/>
    </row>
    <row r="114" spans="20:35" x14ac:dyDescent="0.25">
      <c r="T114" s="688"/>
      <c r="U114" s="688"/>
      <c r="V114" s="688"/>
      <c r="W114" s="688"/>
      <c r="X114" s="688"/>
      <c r="Y114" s="688"/>
      <c r="Z114" s="688"/>
      <c r="AA114" s="688"/>
      <c r="AB114" s="688"/>
      <c r="AC114" s="688"/>
      <c r="AD114" s="688"/>
      <c r="AE114" s="688"/>
      <c r="AF114" s="688"/>
      <c r="AG114" s="688"/>
      <c r="AH114" s="688"/>
      <c r="AI114" s="688"/>
    </row>
    <row r="115" spans="20:35" x14ac:dyDescent="0.25">
      <c r="T115" s="688"/>
      <c r="U115" s="688"/>
      <c r="V115" s="688"/>
      <c r="W115" s="688"/>
      <c r="X115" s="688"/>
      <c r="Y115" s="688"/>
      <c r="Z115" s="688"/>
      <c r="AA115" s="688"/>
      <c r="AB115" s="688"/>
      <c r="AC115" s="688"/>
      <c r="AD115" s="688"/>
      <c r="AE115" s="688"/>
      <c r="AF115" s="688"/>
      <c r="AG115" s="688"/>
      <c r="AH115" s="688"/>
      <c r="AI115" s="688"/>
    </row>
    <row r="116" spans="20:35" x14ac:dyDescent="0.25">
      <c r="T116" s="688"/>
      <c r="U116" s="688"/>
      <c r="V116" s="688"/>
      <c r="W116" s="688"/>
      <c r="X116" s="688"/>
      <c r="Y116" s="688"/>
      <c r="Z116" s="688"/>
      <c r="AA116" s="688"/>
      <c r="AB116" s="688"/>
      <c r="AC116" s="688"/>
      <c r="AD116" s="688"/>
      <c r="AE116" s="688"/>
      <c r="AF116" s="688"/>
      <c r="AG116" s="688"/>
      <c r="AH116" s="688"/>
      <c r="AI116" s="688"/>
    </row>
    <row r="117" spans="20:35" x14ac:dyDescent="0.25">
      <c r="T117" s="688"/>
      <c r="U117" s="688"/>
      <c r="V117" s="688"/>
      <c r="W117" s="688"/>
      <c r="X117" s="688"/>
      <c r="Y117" s="688"/>
      <c r="Z117" s="688"/>
      <c r="AA117" s="688"/>
      <c r="AB117" s="688"/>
      <c r="AC117" s="688"/>
      <c r="AD117" s="688"/>
      <c r="AE117" s="688"/>
      <c r="AF117" s="688"/>
      <c r="AG117" s="688"/>
      <c r="AH117" s="688"/>
      <c r="AI117" s="688"/>
    </row>
    <row r="118" spans="20:35" x14ac:dyDescent="0.25">
      <c r="T118" s="688"/>
      <c r="U118" s="688"/>
      <c r="V118" s="688"/>
      <c r="W118" s="688"/>
      <c r="X118" s="688"/>
      <c r="Y118" s="688"/>
      <c r="Z118" s="688"/>
      <c r="AA118" s="688"/>
      <c r="AB118" s="688"/>
      <c r="AC118" s="688"/>
      <c r="AD118" s="688"/>
      <c r="AE118" s="688"/>
      <c r="AF118" s="688"/>
      <c r="AG118" s="688"/>
      <c r="AH118" s="688"/>
      <c r="AI118" s="688"/>
    </row>
    <row r="119" spans="20:35" x14ac:dyDescent="0.25">
      <c r="T119" s="688"/>
      <c r="U119" s="688"/>
      <c r="V119" s="688"/>
      <c r="W119" s="688"/>
      <c r="X119" s="688"/>
      <c r="Y119" s="688"/>
      <c r="Z119" s="688"/>
      <c r="AA119" s="688"/>
      <c r="AB119" s="688"/>
      <c r="AC119" s="688"/>
      <c r="AD119" s="688"/>
      <c r="AE119" s="688"/>
      <c r="AF119" s="688"/>
      <c r="AG119" s="688"/>
      <c r="AH119" s="688"/>
      <c r="AI119" s="688"/>
    </row>
    <row r="120" spans="20:35" x14ac:dyDescent="0.25">
      <c r="T120" s="688"/>
      <c r="U120" s="688"/>
      <c r="V120" s="688"/>
      <c r="W120" s="688"/>
      <c r="X120" s="688"/>
      <c r="Y120" s="688"/>
      <c r="Z120" s="688"/>
      <c r="AA120" s="688"/>
      <c r="AB120" s="688"/>
      <c r="AC120" s="688"/>
      <c r="AD120" s="688"/>
      <c r="AE120" s="688"/>
      <c r="AF120" s="688"/>
      <c r="AG120" s="688"/>
      <c r="AH120" s="688"/>
      <c r="AI120" s="688"/>
    </row>
    <row r="121" spans="20:35" x14ac:dyDescent="0.25">
      <c r="T121" s="688"/>
      <c r="U121" s="688"/>
      <c r="V121" s="688"/>
      <c r="W121" s="688"/>
      <c r="X121" s="688"/>
      <c r="Y121" s="688"/>
      <c r="Z121" s="688"/>
      <c r="AA121" s="688"/>
      <c r="AB121" s="688"/>
      <c r="AC121" s="688"/>
      <c r="AD121" s="688"/>
      <c r="AE121" s="688"/>
      <c r="AF121" s="688"/>
      <c r="AG121" s="688"/>
      <c r="AH121" s="688"/>
      <c r="AI121" s="688"/>
    </row>
    <row r="122" spans="20:35" x14ac:dyDescent="0.25">
      <c r="T122" s="688"/>
      <c r="U122" s="688"/>
      <c r="V122" s="688"/>
      <c r="W122" s="688"/>
      <c r="X122" s="688"/>
      <c r="Y122" s="688"/>
      <c r="Z122" s="688"/>
      <c r="AA122" s="688"/>
      <c r="AB122" s="688"/>
      <c r="AC122" s="688"/>
      <c r="AD122" s="688"/>
      <c r="AE122" s="688"/>
      <c r="AF122" s="688"/>
      <c r="AG122" s="688"/>
      <c r="AH122" s="688"/>
      <c r="AI122" s="688"/>
    </row>
    <row r="123" spans="20:35" x14ac:dyDescent="0.25">
      <c r="T123" s="688"/>
      <c r="U123" s="688"/>
      <c r="V123" s="688"/>
      <c r="W123" s="688"/>
      <c r="X123" s="688"/>
      <c r="Y123" s="688"/>
      <c r="Z123" s="688"/>
      <c r="AA123" s="688"/>
      <c r="AB123" s="688"/>
      <c r="AC123" s="688"/>
      <c r="AD123" s="688"/>
      <c r="AE123" s="688"/>
      <c r="AF123" s="688"/>
      <c r="AG123" s="688"/>
      <c r="AH123" s="688"/>
      <c r="AI123" s="688"/>
    </row>
    <row r="124" spans="20:35" x14ac:dyDescent="0.25">
      <c r="T124" s="688"/>
      <c r="U124" s="688"/>
      <c r="V124" s="688"/>
      <c r="W124" s="688"/>
      <c r="X124" s="688"/>
      <c r="Y124" s="688"/>
      <c r="Z124" s="688"/>
      <c r="AA124" s="688"/>
      <c r="AB124" s="688"/>
      <c r="AC124" s="688"/>
      <c r="AD124" s="688"/>
      <c r="AE124" s="688"/>
      <c r="AF124" s="688"/>
      <c r="AG124" s="688"/>
      <c r="AH124" s="688"/>
      <c r="AI124" s="688"/>
    </row>
    <row r="125" spans="20:35" x14ac:dyDescent="0.25">
      <c r="T125" s="688"/>
      <c r="U125" s="688"/>
      <c r="V125" s="688"/>
      <c r="W125" s="688"/>
      <c r="X125" s="688"/>
      <c r="Y125" s="688"/>
      <c r="Z125" s="688"/>
      <c r="AA125" s="688"/>
      <c r="AB125" s="688"/>
      <c r="AC125" s="688"/>
      <c r="AD125" s="688"/>
      <c r="AE125" s="688"/>
      <c r="AF125" s="688"/>
      <c r="AG125" s="688"/>
      <c r="AH125" s="688"/>
      <c r="AI125" s="688"/>
    </row>
    <row r="126" spans="20:35" x14ac:dyDescent="0.25">
      <c r="T126" s="688"/>
      <c r="U126" s="688"/>
      <c r="V126" s="688"/>
      <c r="W126" s="688"/>
      <c r="X126" s="688"/>
      <c r="Y126" s="688"/>
      <c r="Z126" s="688"/>
      <c r="AA126" s="688"/>
      <c r="AB126" s="688"/>
      <c r="AC126" s="688"/>
      <c r="AD126" s="688"/>
      <c r="AE126" s="688"/>
      <c r="AF126" s="688"/>
      <c r="AG126" s="688"/>
      <c r="AH126" s="688"/>
      <c r="AI126" s="688"/>
    </row>
    <row r="127" spans="20:35" x14ac:dyDescent="0.25">
      <c r="T127" s="688"/>
      <c r="U127" s="688"/>
      <c r="V127" s="688"/>
      <c r="W127" s="688"/>
      <c r="X127" s="688"/>
      <c r="Y127" s="688"/>
      <c r="Z127" s="688"/>
      <c r="AA127" s="688"/>
      <c r="AB127" s="688"/>
      <c r="AC127" s="688"/>
      <c r="AD127" s="688"/>
      <c r="AE127" s="688"/>
      <c r="AF127" s="688"/>
      <c r="AG127" s="688"/>
      <c r="AH127" s="688"/>
      <c r="AI127" s="688"/>
    </row>
    <row r="128" spans="20:35" x14ac:dyDescent="0.25">
      <c r="T128" s="688"/>
      <c r="U128" s="688"/>
      <c r="V128" s="688"/>
      <c r="W128" s="688"/>
      <c r="X128" s="688"/>
      <c r="Y128" s="688"/>
      <c r="Z128" s="688"/>
      <c r="AA128" s="688"/>
      <c r="AB128" s="688"/>
      <c r="AC128" s="688"/>
      <c r="AD128" s="688"/>
      <c r="AE128" s="688"/>
      <c r="AF128" s="688"/>
      <c r="AG128" s="688"/>
      <c r="AH128" s="688"/>
      <c r="AI128" s="688"/>
    </row>
    <row r="129" spans="20:35" x14ac:dyDescent="0.25">
      <c r="T129" s="688"/>
      <c r="U129" s="688"/>
      <c r="V129" s="688"/>
      <c r="W129" s="688"/>
      <c r="X129" s="688"/>
      <c r="Y129" s="688"/>
      <c r="Z129" s="688"/>
      <c r="AA129" s="688"/>
      <c r="AB129" s="688"/>
      <c r="AC129" s="688"/>
      <c r="AD129" s="688"/>
      <c r="AE129" s="688"/>
      <c r="AF129" s="688"/>
      <c r="AG129" s="688"/>
      <c r="AH129" s="688"/>
      <c r="AI129" s="688"/>
    </row>
  </sheetData>
  <mergeCells count="17">
    <mergeCell ref="E3:F3"/>
    <mergeCell ref="D13:E13"/>
    <mergeCell ref="D15:E15"/>
    <mergeCell ref="D19:E19"/>
    <mergeCell ref="F19:G19"/>
    <mergeCell ref="H19:I19"/>
    <mergeCell ref="L19:M19"/>
    <mergeCell ref="N19:O19"/>
    <mergeCell ref="P19:Q19"/>
    <mergeCell ref="D20:E20"/>
    <mergeCell ref="F20:G20"/>
    <mergeCell ref="H20:I20"/>
    <mergeCell ref="J20:K20"/>
    <mergeCell ref="L20:M20"/>
    <mergeCell ref="N20:O20"/>
    <mergeCell ref="P20:Q20"/>
    <mergeCell ref="J19:K1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P335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J2" sqref="J2"/>
    </sheetView>
  </sheetViews>
  <sheetFormatPr defaultRowHeight="15" outlineLevelRow="1" x14ac:dyDescent="0.25"/>
  <cols>
    <col min="1" max="1" width="4.42578125" customWidth="1"/>
    <col min="2" max="2" width="12" customWidth="1"/>
    <col min="4" max="4" width="10.7109375" customWidth="1"/>
    <col min="8" max="8" width="20.140625" customWidth="1"/>
    <col min="9" max="9" width="27" customWidth="1"/>
    <col min="12" max="12" width="9.140625" style="71"/>
    <col min="13" max="13" width="9.140625" style="75"/>
    <col min="14" max="14" width="9.140625" style="77"/>
  </cols>
  <sheetData>
    <row r="1" spans="1:16" ht="60" x14ac:dyDescent="0.25">
      <c r="A1" s="4" t="s">
        <v>16</v>
      </c>
      <c r="B1" s="5" t="s">
        <v>17</v>
      </c>
      <c r="C1" s="4" t="s">
        <v>18</v>
      </c>
      <c r="D1" s="6" t="s">
        <v>19</v>
      </c>
      <c r="E1" s="5" t="s">
        <v>20</v>
      </c>
      <c r="F1" s="6" t="s">
        <v>21</v>
      </c>
      <c r="G1" s="6" t="s">
        <v>22</v>
      </c>
      <c r="H1" s="4" t="s">
        <v>457</v>
      </c>
      <c r="I1" s="4" t="s">
        <v>458</v>
      </c>
      <c r="J1" s="4" t="s">
        <v>24</v>
      </c>
      <c r="K1" s="7" t="s">
        <v>25</v>
      </c>
      <c r="L1" s="68" t="s">
        <v>27</v>
      </c>
      <c r="M1" s="72" t="s">
        <v>32</v>
      </c>
      <c r="N1" s="76" t="s">
        <v>105</v>
      </c>
      <c r="O1" t="s">
        <v>211</v>
      </c>
      <c r="P1" t="s">
        <v>212</v>
      </c>
    </row>
    <row r="2" spans="1:16" ht="6" customHeight="1" outlineLevel="1" x14ac:dyDescent="0.25">
      <c r="A2" s="8"/>
      <c r="B2" s="9"/>
      <c r="C2" s="8"/>
      <c r="D2" s="10"/>
      <c r="E2" s="701" t="s">
        <v>26</v>
      </c>
      <c r="F2" s="10"/>
      <c r="G2" s="10"/>
      <c r="H2" s="8" t="str">
        <f>инфо!C2</f>
        <v>Горох</v>
      </c>
      <c r="I2" s="8">
        <f>инфо!D2</f>
        <v>0</v>
      </c>
      <c r="J2" s="11"/>
      <c r="K2" s="12"/>
      <c r="L2" s="69"/>
      <c r="M2" s="73"/>
    </row>
    <row r="3" spans="1:16" ht="6" customHeight="1" outlineLevel="1" x14ac:dyDescent="0.25">
      <c r="A3" s="8"/>
      <c r="B3" s="9"/>
      <c r="C3" s="8"/>
      <c r="D3" s="10"/>
      <c r="E3" s="701"/>
      <c r="F3" s="10"/>
      <c r="G3" s="10"/>
      <c r="H3" s="8" t="str">
        <f>инфо!C3</f>
        <v>Гречневая</v>
      </c>
      <c r="I3" s="8">
        <f>инфо!D3</f>
        <v>0</v>
      </c>
      <c r="J3" s="11"/>
      <c r="K3" s="12"/>
      <c r="L3" s="69"/>
      <c r="M3" s="73"/>
    </row>
    <row r="4" spans="1:16" ht="6" customHeight="1" outlineLevel="1" x14ac:dyDescent="0.25">
      <c r="A4" s="8"/>
      <c r="B4" s="9"/>
      <c r="C4" s="8"/>
      <c r="D4" s="10"/>
      <c r="E4" s="701"/>
      <c r="F4" s="10"/>
      <c r="G4" s="10"/>
      <c r="H4" s="8" t="str">
        <f>инфо!C4</f>
        <v>Манная</v>
      </c>
      <c r="I4" s="8">
        <f>инфо!D4</f>
        <v>0</v>
      </c>
      <c r="J4" s="11"/>
      <c r="K4" s="12"/>
      <c r="L4" s="69"/>
      <c r="M4" s="73"/>
    </row>
    <row r="5" spans="1:16" ht="6" customHeight="1" outlineLevel="1" x14ac:dyDescent="0.25">
      <c r="A5" s="8"/>
      <c r="B5" s="9"/>
      <c r="C5" s="8"/>
      <c r="D5" s="10"/>
      <c r="E5" s="701"/>
      <c r="F5" s="10"/>
      <c r="G5" s="10"/>
      <c r="H5" s="8" t="str">
        <f>инфо!C5</f>
        <v>Овсяная</v>
      </c>
      <c r="I5" s="8">
        <f>инфо!D5</f>
        <v>0</v>
      </c>
      <c r="J5" s="11"/>
      <c r="K5" s="12"/>
      <c r="L5" s="69"/>
      <c r="M5" s="73"/>
    </row>
    <row r="6" spans="1:16" ht="6" customHeight="1" outlineLevel="1" x14ac:dyDescent="0.25">
      <c r="A6" s="8"/>
      <c r="B6" s="9"/>
      <c r="C6" s="8"/>
      <c r="D6" s="10"/>
      <c r="E6" s="701"/>
      <c r="F6" s="10"/>
      <c r="G6" s="10"/>
      <c r="H6" s="8" t="str">
        <f>инфо!C6</f>
        <v>Перловая</v>
      </c>
      <c r="I6" s="8">
        <f>инфо!D6</f>
        <v>0</v>
      </c>
      <c r="J6" s="11"/>
      <c r="K6" s="12"/>
      <c r="L6" s="69"/>
      <c r="M6" s="73"/>
    </row>
    <row r="7" spans="1:16" ht="6" customHeight="1" outlineLevel="1" x14ac:dyDescent="0.25">
      <c r="A7" s="8"/>
      <c r="B7" s="9"/>
      <c r="C7" s="8"/>
      <c r="D7" s="10"/>
      <c r="E7" s="701"/>
      <c r="F7" s="10"/>
      <c r="G7" s="10"/>
      <c r="H7" s="8" t="str">
        <f>инфо!C7</f>
        <v>Пшено</v>
      </c>
      <c r="I7" s="8">
        <f>инфо!D7</f>
        <v>0</v>
      </c>
      <c r="J7" s="11"/>
      <c r="K7" s="12"/>
      <c r="L7" s="69"/>
      <c r="M7" s="73"/>
    </row>
    <row r="8" spans="1:16" ht="6" customHeight="1" outlineLevel="1" x14ac:dyDescent="0.25">
      <c r="A8" s="8"/>
      <c r="B8" s="9"/>
      <c r="C8" s="8"/>
      <c r="D8" s="10"/>
      <c r="E8" s="701"/>
      <c r="F8" s="10"/>
      <c r="G8" s="10"/>
      <c r="H8" s="8" t="str">
        <f>инфо!C8</f>
        <v>Рис</v>
      </c>
      <c r="I8" s="8">
        <f>инфо!D8</f>
        <v>0</v>
      </c>
      <c r="J8" s="11"/>
      <c r="K8" s="12"/>
      <c r="L8" s="69"/>
      <c r="M8" s="73"/>
    </row>
    <row r="9" spans="1:16" ht="6" customHeight="1" outlineLevel="1" x14ac:dyDescent="0.25">
      <c r="A9" s="8"/>
      <c r="B9" s="9"/>
      <c r="C9" s="8"/>
      <c r="D9" s="10"/>
      <c r="E9" s="701"/>
      <c r="F9" s="10"/>
      <c r="G9" s="10"/>
      <c r="H9" s="8" t="str">
        <f>инфо!C9</f>
        <v>Ячневая</v>
      </c>
      <c r="I9" s="8">
        <f>инфо!D9</f>
        <v>0</v>
      </c>
      <c r="J9" s="11"/>
      <c r="K9" s="12"/>
      <c r="L9" s="69"/>
      <c r="M9" s="73"/>
    </row>
    <row r="10" spans="1:16" ht="6" customHeight="1" outlineLevel="1" x14ac:dyDescent="0.25">
      <c r="A10" s="8"/>
      <c r="B10" s="9"/>
      <c r="C10" s="8"/>
      <c r="D10" s="10"/>
      <c r="E10" s="701"/>
      <c r="F10" s="10"/>
      <c r="G10" s="10"/>
      <c r="H10" s="8" t="str">
        <f>инфо!C12</f>
        <v>Макаронные изделия</v>
      </c>
      <c r="I10" s="8">
        <f>инфо!D12</f>
        <v>0</v>
      </c>
      <c r="J10" s="11"/>
      <c r="K10" s="12"/>
      <c r="L10" s="69"/>
      <c r="M10" s="73"/>
    </row>
    <row r="11" spans="1:16" ht="6" customHeight="1" outlineLevel="1" x14ac:dyDescent="0.25">
      <c r="A11" s="8"/>
      <c r="B11" s="9"/>
      <c r="C11" s="8"/>
      <c r="D11" s="10"/>
      <c r="E11" s="701"/>
      <c r="F11" s="10"/>
      <c r="G11" s="10"/>
      <c r="H11" s="8" t="str">
        <f>инфо!C13</f>
        <v>Горошек, фасоль, кукуруза консервированные</v>
      </c>
      <c r="I11" s="8">
        <f>инфо!D13</f>
        <v>0</v>
      </c>
      <c r="J11" s="11"/>
      <c r="K11" s="12"/>
      <c r="L11" s="69"/>
      <c r="M11" s="73"/>
    </row>
    <row r="12" spans="1:16" ht="6" customHeight="1" outlineLevel="1" x14ac:dyDescent="0.25">
      <c r="A12" s="8"/>
      <c r="B12" s="9"/>
      <c r="C12" s="8"/>
      <c r="D12" s="10"/>
      <c r="E12" s="701"/>
      <c r="F12" s="10"/>
      <c r="G12" s="10"/>
      <c r="H12" s="8" t="str">
        <f>инфо!C14</f>
        <v>Капуста свежая/кваш.</v>
      </c>
      <c r="I12" s="8">
        <f>инфо!D14</f>
        <v>0</v>
      </c>
      <c r="J12" s="11"/>
      <c r="K12" s="12"/>
      <c r="L12" s="69"/>
      <c r="M12" s="73"/>
    </row>
    <row r="13" spans="1:16" ht="6" customHeight="1" outlineLevel="1" x14ac:dyDescent="0.25">
      <c r="A13" s="8"/>
      <c r="B13" s="9"/>
      <c r="C13" s="8"/>
      <c r="D13" s="10"/>
      <c r="E13" s="701"/>
      <c r="F13" s="10"/>
      <c r="G13" s="10"/>
      <c r="H13" s="8" t="str">
        <f>инфо!C15</f>
        <v>Картофель</v>
      </c>
      <c r="I13" s="8">
        <f>инфо!D15</f>
        <v>0</v>
      </c>
      <c r="J13" s="11"/>
      <c r="K13" s="12"/>
      <c r="L13" s="69"/>
      <c r="M13" s="73"/>
    </row>
    <row r="14" spans="1:16" ht="6" customHeight="1" outlineLevel="1" x14ac:dyDescent="0.25">
      <c r="A14" s="8"/>
      <c r="B14" s="9"/>
      <c r="C14" s="8"/>
      <c r="D14" s="10"/>
      <c r="E14" s="701"/>
      <c r="F14" s="10"/>
      <c r="G14" s="10"/>
      <c r="H14" s="8" t="str">
        <f>инфо!C16</f>
        <v>Лук репчатый</v>
      </c>
      <c r="I14" s="8">
        <f>инфо!D16</f>
        <v>0</v>
      </c>
      <c r="J14" s="11"/>
      <c r="K14" s="12"/>
      <c r="L14" s="69"/>
      <c r="M14" s="73"/>
    </row>
    <row r="15" spans="1:16" ht="6" customHeight="1" outlineLevel="1" x14ac:dyDescent="0.25">
      <c r="A15" s="8"/>
      <c r="B15" s="9"/>
      <c r="C15" s="8"/>
      <c r="D15" s="10"/>
      <c r="E15" s="701"/>
      <c r="F15" s="10"/>
      <c r="G15" s="10"/>
      <c r="H15" s="8" t="str">
        <f>инфо!C17</f>
        <v>Морковь</v>
      </c>
      <c r="I15" s="8">
        <f>инфо!D17</f>
        <v>0</v>
      </c>
      <c r="J15" s="11"/>
      <c r="K15" s="12"/>
      <c r="L15" s="69"/>
      <c r="M15" s="73"/>
    </row>
    <row r="16" spans="1:16" ht="6" customHeight="1" outlineLevel="1" x14ac:dyDescent="0.25">
      <c r="A16" s="8"/>
      <c r="B16" s="9"/>
      <c r="C16" s="8"/>
      <c r="D16" s="10"/>
      <c r="E16" s="701"/>
      <c r="F16" s="10"/>
      <c r="G16" s="10"/>
      <c r="H16" s="8" t="str">
        <f>инфо!C18</f>
        <v>Огурцы свежие/соленые</v>
      </c>
      <c r="I16" s="8">
        <f>инфо!D18</f>
        <v>0</v>
      </c>
      <c r="J16" s="11"/>
      <c r="K16" s="12"/>
      <c r="L16" s="69"/>
      <c r="M16" s="73"/>
    </row>
    <row r="17" spans="1:13" ht="6" customHeight="1" outlineLevel="1" x14ac:dyDescent="0.25">
      <c r="A17" s="8"/>
      <c r="B17" s="9"/>
      <c r="C17" s="8"/>
      <c r="D17" s="10"/>
      <c r="E17" s="701"/>
      <c r="F17" s="10"/>
      <c r="G17" s="10"/>
      <c r="H17" s="8" t="str">
        <f>инфо!C19</f>
        <v>Помидоры свежие/конс.</v>
      </c>
      <c r="I17" s="8">
        <f>инфо!D19</f>
        <v>0</v>
      </c>
      <c r="J17" s="11"/>
      <c r="K17" s="12"/>
      <c r="L17" s="69"/>
      <c r="M17" s="73"/>
    </row>
    <row r="18" spans="1:13" ht="6" customHeight="1" outlineLevel="1" x14ac:dyDescent="0.25">
      <c r="A18" s="8"/>
      <c r="B18" s="9"/>
      <c r="C18" s="8"/>
      <c r="D18" s="10"/>
      <c r="E18" s="701"/>
      <c r="F18" s="10"/>
      <c r="G18" s="10"/>
      <c r="H18" s="8" t="str">
        <f>инфо!C23</f>
        <v>Свекла</v>
      </c>
      <c r="I18" s="8">
        <f>инфо!D23</f>
        <v>0</v>
      </c>
      <c r="J18" s="11"/>
      <c r="K18" s="12"/>
      <c r="L18" s="69"/>
      <c r="M18" s="73"/>
    </row>
    <row r="19" spans="1:13" ht="6" customHeight="1" outlineLevel="1" x14ac:dyDescent="0.25">
      <c r="A19" s="8"/>
      <c r="B19" s="9"/>
      <c r="C19" s="8"/>
      <c r="D19" s="10"/>
      <c r="E19" s="701"/>
      <c r="F19" s="10"/>
      <c r="G19" s="10"/>
      <c r="H19" s="8" t="str">
        <f>инфо!C24</f>
        <v>Зелень</v>
      </c>
      <c r="I19" s="8">
        <f>инфо!D24</f>
        <v>0</v>
      </c>
      <c r="J19" s="11"/>
      <c r="K19" s="12"/>
      <c r="L19" s="69"/>
      <c r="M19" s="73"/>
    </row>
    <row r="20" spans="1:13" ht="6" customHeight="1" outlineLevel="1" x14ac:dyDescent="0.25">
      <c r="A20" s="8"/>
      <c r="B20" s="9"/>
      <c r="C20" s="8"/>
      <c r="D20" s="10"/>
      <c r="E20" s="701"/>
      <c r="F20" s="10"/>
      <c r="G20" s="10"/>
      <c r="H20" s="8" t="str">
        <f>инфо!C34</f>
        <v xml:space="preserve">Мука пшеничная   1 с </v>
      </c>
      <c r="I20" s="8">
        <f>инфо!D34</f>
        <v>0</v>
      </c>
      <c r="J20" s="11"/>
      <c r="K20" s="12"/>
      <c r="L20" s="69"/>
      <c r="M20" s="73"/>
    </row>
    <row r="21" spans="1:13" ht="6" customHeight="1" outlineLevel="1" x14ac:dyDescent="0.25">
      <c r="A21" s="8"/>
      <c r="B21" s="9"/>
      <c r="C21" s="8"/>
      <c r="D21" s="10"/>
      <c r="E21" s="701"/>
      <c r="F21" s="10"/>
      <c r="G21" s="10"/>
      <c r="H21" s="8" t="str">
        <f>инфо!C36</f>
        <v>Хлеб дарницкий</v>
      </c>
      <c r="I21" s="8">
        <f>инфо!D36</f>
        <v>0</v>
      </c>
      <c r="J21" s="11"/>
      <c r="K21" s="12"/>
      <c r="L21" s="69"/>
      <c r="M21" s="73"/>
    </row>
    <row r="22" spans="1:13" ht="6" customHeight="1" outlineLevel="1" x14ac:dyDescent="0.25">
      <c r="A22" s="8"/>
      <c r="B22" s="9"/>
      <c r="C22" s="8"/>
      <c r="D22" s="10"/>
      <c r="E22" s="701"/>
      <c r="F22" s="10"/>
      <c r="G22" s="10"/>
      <c r="H22" s="8" t="str">
        <f>инфо!C37</f>
        <v>Хлеб из муки пш. 1  сорта</v>
      </c>
      <c r="I22" s="8">
        <f>инфо!D37</f>
        <v>0</v>
      </c>
      <c r="J22" s="11"/>
      <c r="K22" s="12"/>
      <c r="L22" s="69"/>
      <c r="M22" s="73"/>
    </row>
    <row r="23" spans="1:13" ht="6" customHeight="1" outlineLevel="1" x14ac:dyDescent="0.25">
      <c r="A23" s="8"/>
      <c r="B23" s="9"/>
      <c r="C23" s="8"/>
      <c r="D23" s="10"/>
      <c r="E23" s="701"/>
      <c r="F23" s="10"/>
      <c r="G23" s="10"/>
      <c r="H23" s="8" t="str">
        <f>инфо!C38</f>
        <v>Мучное 1</v>
      </c>
      <c r="I23" s="8">
        <f>инфо!D38</f>
        <v>0</v>
      </c>
      <c r="J23" s="11"/>
      <c r="K23" s="12"/>
      <c r="L23" s="69"/>
      <c r="M23" s="73"/>
    </row>
    <row r="24" spans="1:13" ht="6" customHeight="1" outlineLevel="1" x14ac:dyDescent="0.25">
      <c r="A24" s="8"/>
      <c r="B24" s="9"/>
      <c r="C24" s="8"/>
      <c r="D24" s="10"/>
      <c r="E24" s="701"/>
      <c r="F24" s="10"/>
      <c r="G24" s="10"/>
      <c r="H24" s="8" t="str">
        <f>инфо!C39</f>
        <v>Молоко коровье</v>
      </c>
      <c r="I24" s="8">
        <f>инфо!D39</f>
        <v>0</v>
      </c>
      <c r="J24" s="11"/>
      <c r="K24" s="12"/>
      <c r="L24" s="69"/>
      <c r="M24" s="73"/>
    </row>
    <row r="25" spans="1:13" ht="6" customHeight="1" outlineLevel="1" x14ac:dyDescent="0.25">
      <c r="A25" s="8"/>
      <c r="B25" s="9"/>
      <c r="C25" s="8"/>
      <c r="D25" s="10"/>
      <c r="E25" s="701"/>
      <c r="F25" s="10"/>
      <c r="G25" s="10"/>
      <c r="H25" s="8" t="str">
        <f>инфо!C40</f>
        <v>Кефир</v>
      </c>
      <c r="I25" s="8">
        <f>инфо!D40</f>
        <v>0</v>
      </c>
      <c r="J25" s="11"/>
      <c r="K25" s="12"/>
      <c r="L25" s="69"/>
      <c r="M25" s="73"/>
    </row>
    <row r="26" spans="1:13" ht="6" customHeight="1" outlineLevel="1" x14ac:dyDescent="0.25">
      <c r="A26" s="8"/>
      <c r="B26" s="9"/>
      <c r="C26" s="8"/>
      <c r="D26" s="10"/>
      <c r="E26" s="701"/>
      <c r="F26" s="10"/>
      <c r="G26" s="10"/>
      <c r="H26" s="8" t="str">
        <f>инфо!C41</f>
        <v>Сметана</v>
      </c>
      <c r="I26" s="8">
        <f>инфо!D41</f>
        <v>0</v>
      </c>
      <c r="J26" s="11"/>
      <c r="K26" s="12"/>
      <c r="L26" s="69"/>
      <c r="M26" s="73"/>
    </row>
    <row r="27" spans="1:13" ht="6" customHeight="1" outlineLevel="1" x14ac:dyDescent="0.25">
      <c r="A27" s="8"/>
      <c r="B27" s="9"/>
      <c r="C27" s="8"/>
      <c r="D27" s="10"/>
      <c r="E27" s="701"/>
      <c r="F27" s="10"/>
      <c r="G27" s="10"/>
      <c r="H27" s="8" t="str">
        <f>инфо!C44</f>
        <v xml:space="preserve">Молоко сгущ. </v>
      </c>
      <c r="I27" s="8">
        <f>инфо!D44</f>
        <v>0</v>
      </c>
      <c r="J27" s="11"/>
      <c r="K27" s="12"/>
      <c r="L27" s="69"/>
      <c r="M27" s="73"/>
    </row>
    <row r="28" spans="1:13" ht="6" customHeight="1" outlineLevel="1" x14ac:dyDescent="0.25">
      <c r="A28" s="8"/>
      <c r="B28" s="9"/>
      <c r="C28" s="8"/>
      <c r="D28" s="10"/>
      <c r="E28" s="701"/>
      <c r="F28" s="10"/>
      <c r="G28" s="10"/>
      <c r="H28" s="8" t="str">
        <f>инфо!C46</f>
        <v>Сыр плавленный</v>
      </c>
      <c r="I28" s="8">
        <f>инфо!D46</f>
        <v>0</v>
      </c>
      <c r="J28" s="11"/>
      <c r="K28" s="12"/>
      <c r="L28" s="69"/>
      <c r="M28" s="73"/>
    </row>
    <row r="29" spans="1:13" ht="6" customHeight="1" outlineLevel="1" x14ac:dyDescent="0.25">
      <c r="A29" s="8"/>
      <c r="B29" s="9"/>
      <c r="C29" s="8"/>
      <c r="D29" s="10"/>
      <c r="E29" s="701"/>
      <c r="F29" s="10"/>
      <c r="G29" s="10"/>
      <c r="H29" s="8" t="str">
        <f>инфо!C47</f>
        <v>Яйцо</v>
      </c>
      <c r="I29" s="8">
        <f>инфо!D47</f>
        <v>0</v>
      </c>
      <c r="J29" s="11"/>
      <c r="K29" s="12"/>
      <c r="L29" s="69"/>
      <c r="M29" s="73"/>
    </row>
    <row r="30" spans="1:13" ht="6" customHeight="1" outlineLevel="1" x14ac:dyDescent="0.25">
      <c r="A30" s="8"/>
      <c r="B30" s="9"/>
      <c r="C30" s="8"/>
      <c r="D30" s="10"/>
      <c r="E30" s="701"/>
      <c r="F30" s="10"/>
      <c r="G30" s="10"/>
      <c r="H30" s="8" t="str">
        <f>инфо!C50</f>
        <v>Масло коровье</v>
      </c>
      <c r="I30" s="8">
        <f>инфо!D50</f>
        <v>0</v>
      </c>
      <c r="J30" s="11"/>
      <c r="K30" s="12"/>
      <c r="L30" s="69"/>
      <c r="M30" s="73"/>
    </row>
    <row r="31" spans="1:13" ht="6" customHeight="1" outlineLevel="1" x14ac:dyDescent="0.25">
      <c r="A31" s="8"/>
      <c r="B31" s="9"/>
      <c r="C31" s="8"/>
      <c r="D31" s="10"/>
      <c r="E31" s="701"/>
      <c r="F31" s="10"/>
      <c r="G31" s="10"/>
      <c r="H31" s="8" t="str">
        <f>инфо!C51</f>
        <v>Масло растительное</v>
      </c>
      <c r="I31" s="8">
        <f>инфо!D51</f>
        <v>0</v>
      </c>
      <c r="J31" s="11"/>
      <c r="K31" s="12"/>
      <c r="L31" s="69"/>
      <c r="M31" s="73"/>
    </row>
    <row r="32" spans="1:13" ht="6" customHeight="1" outlineLevel="1" x14ac:dyDescent="0.25">
      <c r="A32" s="8"/>
      <c r="B32" s="9"/>
      <c r="C32" s="8"/>
      <c r="D32" s="10"/>
      <c r="E32" s="701"/>
      <c r="F32" s="10"/>
      <c r="G32" s="10"/>
      <c r="H32" s="8" t="str">
        <f>инфо!C52</f>
        <v>Сало-шпик</v>
      </c>
      <c r="I32" s="8">
        <f>инфо!D52</f>
        <v>0</v>
      </c>
      <c r="J32" s="11"/>
      <c r="K32" s="12"/>
      <c r="L32" s="69"/>
      <c r="M32" s="73"/>
    </row>
    <row r="33" spans="1:13" ht="6" customHeight="1" outlineLevel="1" x14ac:dyDescent="0.25">
      <c r="A33" s="8"/>
      <c r="B33" s="9"/>
      <c r="C33" s="8"/>
      <c r="D33" s="10"/>
      <c r="E33" s="701"/>
      <c r="F33" s="10"/>
      <c r="G33" s="10"/>
      <c r="H33" s="8" t="str">
        <f>инфо!C53</f>
        <v>Жиры 1</v>
      </c>
      <c r="I33" s="8">
        <f>инфо!D53</f>
        <v>0</v>
      </c>
      <c r="J33" s="11"/>
      <c r="K33" s="12"/>
      <c r="L33" s="69"/>
      <c r="M33" s="73"/>
    </row>
    <row r="34" spans="1:13" ht="6" customHeight="1" outlineLevel="1" x14ac:dyDescent="0.25">
      <c r="A34" s="8"/>
      <c r="B34" s="9"/>
      <c r="C34" s="8"/>
      <c r="D34" s="10"/>
      <c r="E34" s="701"/>
      <c r="F34" s="10"/>
      <c r="G34" s="10"/>
      <c r="H34" s="8" t="str">
        <f>инфо!C56</f>
        <v>Говядина б/к ,печень</v>
      </c>
      <c r="I34" s="8">
        <f>инфо!D56</f>
        <v>0</v>
      </c>
      <c r="J34" s="11"/>
      <c r="K34" s="12"/>
      <c r="L34" s="69"/>
      <c r="M34" s="73"/>
    </row>
    <row r="35" spans="1:13" ht="6" customHeight="1" outlineLevel="1" x14ac:dyDescent="0.25">
      <c r="A35" s="8"/>
      <c r="B35" s="9"/>
      <c r="C35" s="8"/>
      <c r="D35" s="10"/>
      <c r="E35" s="701"/>
      <c r="F35" s="10"/>
      <c r="G35" s="10"/>
      <c r="H35" s="8" t="str">
        <f>инфо!C57</f>
        <v>Говядина на кости</v>
      </c>
      <c r="I35" s="8">
        <f>инфо!D57</f>
        <v>0</v>
      </c>
      <c r="J35" s="11"/>
      <c r="K35" s="12"/>
      <c r="L35" s="69"/>
      <c r="M35" s="73"/>
    </row>
    <row r="36" spans="1:13" ht="6" customHeight="1" outlineLevel="1" x14ac:dyDescent="0.25">
      <c r="A36" s="8"/>
      <c r="B36" s="9"/>
      <c r="C36" s="8"/>
      <c r="D36" s="10"/>
      <c r="E36" s="701"/>
      <c r="F36" s="10"/>
      <c r="G36" s="10"/>
      <c r="H36" s="8" t="str">
        <f>инфо!C58</f>
        <v>Мясо птицы</v>
      </c>
      <c r="I36" s="8">
        <f>инфо!D58</f>
        <v>0</v>
      </c>
      <c r="J36" s="11"/>
      <c r="K36" s="12"/>
      <c r="L36" s="69"/>
      <c r="M36" s="73"/>
    </row>
    <row r="37" spans="1:13" ht="6" customHeight="1" outlineLevel="1" x14ac:dyDescent="0.25">
      <c r="A37" s="8"/>
      <c r="B37" s="9"/>
      <c r="C37" s="8"/>
      <c r="D37" s="10"/>
      <c r="E37" s="701"/>
      <c r="F37" s="10"/>
      <c r="G37" s="10"/>
      <c r="H37" s="8" t="str">
        <f>инфо!C59</f>
        <v>Сардельки, сосиски</v>
      </c>
      <c r="I37" s="8">
        <f>инфо!D59</f>
        <v>0</v>
      </c>
      <c r="J37" s="11"/>
      <c r="K37" s="12"/>
      <c r="L37" s="69"/>
      <c r="M37" s="73"/>
    </row>
    <row r="38" spans="1:13" ht="6" customHeight="1" outlineLevel="1" x14ac:dyDescent="0.25">
      <c r="A38" s="8"/>
      <c r="B38" s="9"/>
      <c r="C38" s="8"/>
      <c r="D38" s="10"/>
      <c r="E38" s="701"/>
      <c r="F38" s="10"/>
      <c r="G38" s="10"/>
      <c r="H38" s="8" t="str">
        <f>инфо!C60</f>
        <v>Свинина б/к</v>
      </c>
      <c r="I38" s="8">
        <f>инфо!D60</f>
        <v>0</v>
      </c>
      <c r="J38" s="11"/>
      <c r="K38" s="12"/>
      <c r="L38" s="69"/>
      <c r="M38" s="73"/>
    </row>
    <row r="39" spans="1:13" ht="6" customHeight="1" outlineLevel="1" x14ac:dyDescent="0.25">
      <c r="A39" s="8"/>
      <c r="B39" s="9"/>
      <c r="C39" s="8"/>
      <c r="D39" s="10"/>
      <c r="E39" s="701"/>
      <c r="F39" s="10"/>
      <c r="G39" s="10"/>
      <c r="H39" s="8" t="str">
        <f>инфо!C61</f>
        <v>Свинина на кости</v>
      </c>
      <c r="I39" s="8">
        <f>инфо!D61</f>
        <v>0</v>
      </c>
      <c r="J39" s="11"/>
      <c r="K39" s="12"/>
      <c r="L39" s="69"/>
      <c r="M39" s="73"/>
    </row>
    <row r="40" spans="1:13" ht="6" customHeight="1" outlineLevel="1" x14ac:dyDescent="0.25">
      <c r="A40" s="8"/>
      <c r="B40" s="9"/>
      <c r="C40" s="8"/>
      <c r="D40" s="10"/>
      <c r="E40" s="701"/>
      <c r="F40" s="10"/>
      <c r="G40" s="10"/>
      <c r="H40" s="8" t="str">
        <f>инфо!C62</f>
        <v>Колбаса с/к</v>
      </c>
      <c r="I40" s="8">
        <f>инфо!D62</f>
        <v>0</v>
      </c>
      <c r="J40" s="11"/>
      <c r="K40" s="12"/>
      <c r="L40" s="69"/>
      <c r="M40" s="73"/>
    </row>
    <row r="41" spans="1:13" ht="6" customHeight="1" outlineLevel="1" x14ac:dyDescent="0.25">
      <c r="A41" s="8"/>
      <c r="B41" s="9"/>
      <c r="C41" s="8"/>
      <c r="D41" s="10"/>
      <c r="E41" s="701"/>
      <c r="F41" s="10"/>
      <c r="G41" s="10"/>
      <c r="H41" s="8" t="str">
        <f>инфо!C63</f>
        <v>Колбаса п/к</v>
      </c>
      <c r="I41" s="8">
        <f>инфо!D63</f>
        <v>0</v>
      </c>
      <c r="J41" s="11"/>
      <c r="K41" s="12"/>
      <c r="L41" s="69"/>
      <c r="M41" s="73"/>
    </row>
    <row r="42" spans="1:13" ht="6" customHeight="1" outlineLevel="1" x14ac:dyDescent="0.25">
      <c r="A42" s="8"/>
      <c r="B42" s="9"/>
      <c r="C42" s="8"/>
      <c r="D42" s="10"/>
      <c r="E42" s="701"/>
      <c r="F42" s="10"/>
      <c r="G42" s="10"/>
      <c r="H42" s="8" t="str">
        <f>инфо!C68</f>
        <v>Гексавит</v>
      </c>
      <c r="I42" s="8">
        <f>инфо!D68</f>
        <v>0</v>
      </c>
      <c r="J42" s="11"/>
      <c r="K42" s="12"/>
      <c r="L42" s="69"/>
      <c r="M42" s="73"/>
    </row>
    <row r="43" spans="1:13" ht="6" customHeight="1" outlineLevel="1" x14ac:dyDescent="0.25">
      <c r="A43" s="8"/>
      <c r="B43" s="9"/>
      <c r="C43" s="8"/>
      <c r="D43" s="10"/>
      <c r="E43" s="701"/>
      <c r="F43" s="10"/>
      <c r="G43" s="10"/>
      <c r="H43" s="8" t="str">
        <f>инфо!C69</f>
        <v>Горчичный порошок</v>
      </c>
      <c r="I43" s="8">
        <f>инфо!D69</f>
        <v>0</v>
      </c>
      <c r="J43" s="11"/>
      <c r="K43" s="12"/>
      <c r="L43" s="69"/>
      <c r="M43" s="73"/>
    </row>
    <row r="44" spans="1:13" ht="6" customHeight="1" outlineLevel="1" x14ac:dyDescent="0.25">
      <c r="A44" s="8"/>
      <c r="B44" s="9"/>
      <c r="C44" s="8"/>
      <c r="D44" s="10"/>
      <c r="E44" s="701"/>
      <c r="F44" s="10"/>
      <c r="G44" s="10"/>
      <c r="H44" s="8" t="str">
        <f>инфо!C70</f>
        <v>Томат-паста</v>
      </c>
      <c r="I44" s="8">
        <f>инфо!D70</f>
        <v>0</v>
      </c>
      <c r="J44" s="11"/>
      <c r="K44" s="12"/>
      <c r="L44" s="69"/>
      <c r="M44" s="73"/>
    </row>
    <row r="45" spans="1:13" ht="6" customHeight="1" outlineLevel="1" x14ac:dyDescent="0.25">
      <c r="A45" s="8"/>
      <c r="B45" s="9"/>
      <c r="C45" s="8"/>
      <c r="D45" s="10"/>
      <c r="E45" s="701"/>
      <c r="F45" s="10"/>
      <c r="G45" s="10"/>
      <c r="H45" s="8" t="str">
        <f>инфо!C71</f>
        <v>Уксус</v>
      </c>
      <c r="I45" s="8">
        <f>инфо!D71</f>
        <v>0</v>
      </c>
      <c r="J45" s="11"/>
      <c r="K45" s="12"/>
      <c r="L45" s="69"/>
      <c r="M45" s="73"/>
    </row>
    <row r="46" spans="1:13" ht="6" customHeight="1" outlineLevel="1" x14ac:dyDescent="0.25">
      <c r="A46" s="8"/>
      <c r="B46" s="9"/>
      <c r="C46" s="8"/>
      <c r="D46" s="10"/>
      <c r="E46" s="701"/>
      <c r="F46" s="10"/>
      <c r="G46" s="10"/>
      <c r="H46" s="8" t="str">
        <f>инфо!C72</f>
        <v>Лавровый лист</v>
      </c>
      <c r="I46" s="8">
        <f>инфо!D72</f>
        <v>0</v>
      </c>
      <c r="J46" s="11"/>
      <c r="K46" s="12"/>
      <c r="L46" s="69"/>
      <c r="M46" s="73"/>
    </row>
    <row r="47" spans="1:13" ht="6" customHeight="1" outlineLevel="1" x14ac:dyDescent="0.25">
      <c r="A47" s="8"/>
      <c r="B47" s="9"/>
      <c r="C47" s="8"/>
      <c r="D47" s="10"/>
      <c r="E47" s="701"/>
      <c r="F47" s="10"/>
      <c r="G47" s="10"/>
      <c r="H47" s="8" t="str">
        <f>инфо!C74</f>
        <v>Перец</v>
      </c>
      <c r="I47" s="8">
        <f>инфо!D74</f>
        <v>0</v>
      </c>
      <c r="J47" s="11"/>
      <c r="K47" s="12"/>
      <c r="L47" s="69"/>
      <c r="M47" s="73"/>
    </row>
    <row r="48" spans="1:13" ht="6" customHeight="1" outlineLevel="1" x14ac:dyDescent="0.25">
      <c r="A48" s="8"/>
      <c r="B48" s="9"/>
      <c r="C48" s="8"/>
      <c r="D48" s="10"/>
      <c r="E48" s="701"/>
      <c r="F48" s="10"/>
      <c r="G48" s="10"/>
      <c r="H48" s="8" t="str">
        <f>инфо!C75</f>
        <v>Соль</v>
      </c>
      <c r="I48" s="8">
        <f>инфо!D75</f>
        <v>0</v>
      </c>
      <c r="J48" s="11"/>
      <c r="K48" s="12"/>
      <c r="L48" s="69"/>
      <c r="M48" s="73"/>
    </row>
    <row r="49" spans="1:13" ht="6" customHeight="1" outlineLevel="1" x14ac:dyDescent="0.25">
      <c r="A49" s="8"/>
      <c r="B49" s="9"/>
      <c r="C49" s="8"/>
      <c r="D49" s="10"/>
      <c r="E49" s="701"/>
      <c r="F49" s="10"/>
      <c r="G49" s="10"/>
      <c r="H49" s="8" t="str">
        <f>инфо!C76</f>
        <v>Сахар</v>
      </c>
      <c r="I49" s="8">
        <f>инфо!D76</f>
        <v>0</v>
      </c>
      <c r="J49" s="11"/>
      <c r="K49" s="12"/>
      <c r="L49" s="69"/>
      <c r="M49" s="73"/>
    </row>
    <row r="50" spans="1:13" ht="6" customHeight="1" outlineLevel="1" x14ac:dyDescent="0.25">
      <c r="A50" s="8"/>
      <c r="B50" s="9"/>
      <c r="C50" s="8"/>
      <c r="D50" s="10"/>
      <c r="E50" s="701"/>
      <c r="F50" s="10"/>
      <c r="G50" s="10"/>
      <c r="H50" s="8" t="str">
        <f>инфо!C77</f>
        <v>Чай</v>
      </c>
      <c r="I50" s="8">
        <f>инфо!D77</f>
        <v>0</v>
      </c>
      <c r="J50" s="11"/>
      <c r="K50" s="12"/>
      <c r="L50" s="69"/>
      <c r="M50" s="73"/>
    </row>
    <row r="51" spans="1:13" ht="6" customHeight="1" outlineLevel="1" x14ac:dyDescent="0.25">
      <c r="A51" s="8"/>
      <c r="B51" s="9"/>
      <c r="C51" s="8"/>
      <c r="D51" s="10"/>
      <c r="E51" s="701"/>
      <c r="F51" s="10"/>
      <c r="G51" s="10"/>
      <c r="H51" s="8" t="str">
        <f>инфо!C78</f>
        <v>Кофе растворимый</v>
      </c>
      <c r="I51" s="8">
        <f>инфо!D78</f>
        <v>0</v>
      </c>
      <c r="J51" s="11"/>
      <c r="K51" s="12"/>
      <c r="L51" s="69"/>
      <c r="M51" s="73"/>
    </row>
    <row r="52" spans="1:13" ht="6" customHeight="1" outlineLevel="1" x14ac:dyDescent="0.25">
      <c r="A52" s="8"/>
      <c r="B52" s="9"/>
      <c r="C52" s="8"/>
      <c r="D52" s="10"/>
      <c r="E52" s="701"/>
      <c r="F52" s="10"/>
      <c r="G52" s="10"/>
      <c r="H52" s="8" t="str">
        <f>инфо!C79</f>
        <v>Сок п/я</v>
      </c>
      <c r="I52" s="8">
        <f>инфо!D79</f>
        <v>0</v>
      </c>
      <c r="J52" s="11"/>
      <c r="K52" s="12"/>
      <c r="L52" s="69"/>
      <c r="M52" s="73"/>
    </row>
    <row r="53" spans="1:13" ht="6" customHeight="1" outlineLevel="1" x14ac:dyDescent="0.25">
      <c r="A53" s="8"/>
      <c r="B53" s="9"/>
      <c r="C53" s="8"/>
      <c r="D53" s="10"/>
      <c r="E53" s="701"/>
      <c r="F53" s="10"/>
      <c r="G53" s="10"/>
      <c r="H53" s="8" t="str">
        <f>инфо!C80</f>
        <v>Кофе БС</v>
      </c>
      <c r="I53" s="8">
        <f>инфо!D80</f>
        <v>0</v>
      </c>
      <c r="J53" s="11"/>
      <c r="K53" s="12"/>
      <c r="L53" s="69"/>
      <c r="M53" s="73"/>
    </row>
    <row r="54" spans="1:13" ht="6" customHeight="1" outlineLevel="1" x14ac:dyDescent="0.25">
      <c r="A54" s="8"/>
      <c r="B54" s="9"/>
      <c r="C54" s="8"/>
      <c r="D54" s="10"/>
      <c r="E54" s="701"/>
      <c r="F54" s="10"/>
      <c r="G54" s="10"/>
      <c r="H54" s="8" t="str">
        <f>инфо!C81</f>
        <v>Курага</v>
      </c>
      <c r="I54" s="8">
        <f>инфо!D81</f>
        <v>0</v>
      </c>
      <c r="J54" s="11"/>
      <c r="K54" s="12"/>
      <c r="L54" s="69"/>
      <c r="M54" s="73"/>
    </row>
    <row r="55" spans="1:13" ht="6" customHeight="1" outlineLevel="1" x14ac:dyDescent="0.25">
      <c r="A55" s="8"/>
      <c r="B55" s="9"/>
      <c r="C55" s="8"/>
      <c r="D55" s="10"/>
      <c r="E55" s="701"/>
      <c r="F55" s="10"/>
      <c r="G55" s="10"/>
      <c r="H55" s="8" t="str">
        <f>инфо!C82</f>
        <v>Изюм</v>
      </c>
      <c r="I55" s="8">
        <f>инфо!D82</f>
        <v>0</v>
      </c>
      <c r="J55" s="11"/>
      <c r="K55" s="12"/>
      <c r="L55" s="69"/>
      <c r="M55" s="73"/>
    </row>
    <row r="56" spans="1:13" ht="6" customHeight="1" outlineLevel="1" x14ac:dyDescent="0.25">
      <c r="A56" s="8"/>
      <c r="B56" s="9"/>
      <c r="C56" s="8"/>
      <c r="D56" s="10"/>
      <c r="E56" s="701"/>
      <c r="F56" s="10"/>
      <c r="G56" s="10"/>
      <c r="H56" s="8" t="str">
        <f>инфо!C83</f>
        <v>Чернослив</v>
      </c>
      <c r="I56" s="8">
        <f>инфо!D83</f>
        <v>0</v>
      </c>
      <c r="J56" s="11"/>
      <c r="K56" s="12"/>
      <c r="L56" s="69"/>
      <c r="M56" s="73"/>
    </row>
    <row r="57" spans="1:13" ht="6" customHeight="1" outlineLevel="1" x14ac:dyDescent="0.25">
      <c r="A57" s="8"/>
      <c r="B57" s="9"/>
      <c r="C57" s="8"/>
      <c r="D57" s="10"/>
      <c r="E57" s="701"/>
      <c r="F57" s="10"/>
      <c r="G57" s="10"/>
      <c r="H57" s="8" t="str">
        <f>инфо!C86</f>
        <v>Апельсины</v>
      </c>
      <c r="I57" s="8">
        <f>инфо!D86</f>
        <v>0</v>
      </c>
      <c r="J57" s="11"/>
      <c r="K57" s="12"/>
      <c r="L57" s="69"/>
      <c r="M57" s="73"/>
    </row>
    <row r="58" spans="1:13" ht="6" customHeight="1" outlineLevel="1" x14ac:dyDescent="0.25">
      <c r="A58" s="8"/>
      <c r="B58" s="9"/>
      <c r="C58" s="8"/>
      <c r="D58" s="10"/>
      <c r="E58" s="701"/>
      <c r="F58" s="10"/>
      <c r="G58" s="10"/>
      <c r="H58" s="8" t="str">
        <f>инфо!C87</f>
        <v>Вафли</v>
      </c>
      <c r="I58" s="8">
        <f>инфо!D87</f>
        <v>0</v>
      </c>
      <c r="J58" s="11"/>
      <c r="K58" s="12"/>
      <c r="L58" s="69"/>
      <c r="M58" s="73"/>
    </row>
    <row r="59" spans="1:13" ht="6" customHeight="1" outlineLevel="1" x14ac:dyDescent="0.25">
      <c r="A59" s="8"/>
      <c r="B59" s="9"/>
      <c r="C59" s="8"/>
      <c r="D59" s="10"/>
      <c r="E59" s="701"/>
      <c r="F59" s="10"/>
      <c r="G59" s="10"/>
      <c r="H59" s="8" t="str">
        <f>инфо!C88</f>
        <v>Карамель</v>
      </c>
      <c r="I59" s="8">
        <f>инфо!D88</f>
        <v>0</v>
      </c>
      <c r="J59" s="11"/>
      <c r="K59" s="12"/>
      <c r="L59" s="69"/>
      <c r="M59" s="73"/>
    </row>
    <row r="60" spans="1:13" ht="6" customHeight="1" outlineLevel="1" x14ac:dyDescent="0.25">
      <c r="A60" s="8"/>
      <c r="B60" s="9"/>
      <c r="C60" s="8"/>
      <c r="D60" s="10"/>
      <c r="E60" s="701"/>
      <c r="F60" s="10"/>
      <c r="G60" s="10"/>
      <c r="H60" s="8" t="str">
        <f>инфо!C89</f>
        <v>Конфеты шоколадные</v>
      </c>
      <c r="I60" s="8">
        <f>инфо!D89</f>
        <v>0</v>
      </c>
      <c r="J60" s="11"/>
      <c r="K60" s="12"/>
      <c r="L60" s="69"/>
      <c r="M60" s="73"/>
    </row>
    <row r="61" spans="1:13" ht="6" customHeight="1" outlineLevel="1" x14ac:dyDescent="0.25">
      <c r="A61" s="8"/>
      <c r="B61" s="9"/>
      <c r="C61" s="8"/>
      <c r="D61" s="10"/>
      <c r="E61" s="701"/>
      <c r="F61" s="10"/>
      <c r="G61" s="10"/>
      <c r="H61" s="8" t="str">
        <f>инфо!C90</f>
        <v>Яблоки свежие</v>
      </c>
      <c r="I61" s="8">
        <f>инфо!D90</f>
        <v>0</v>
      </c>
      <c r="J61" s="11"/>
      <c r="K61" s="12"/>
      <c r="L61" s="69"/>
      <c r="M61" s="73"/>
    </row>
    <row r="62" spans="1:13" ht="6" customHeight="1" outlineLevel="1" x14ac:dyDescent="0.25">
      <c r="A62" s="8"/>
      <c r="B62" s="9"/>
      <c r="C62" s="8"/>
      <c r="D62" s="10"/>
      <c r="E62" s="701"/>
      <c r="F62" s="10"/>
      <c r="G62" s="10"/>
      <c r="H62" s="8" t="str">
        <f>инфо!C91</f>
        <v>Печенье</v>
      </c>
      <c r="I62" s="8">
        <f>инфо!D91</f>
        <v>0</v>
      </c>
      <c r="J62" s="11"/>
      <c r="K62" s="12"/>
      <c r="L62" s="69"/>
      <c r="M62" s="73"/>
    </row>
    <row r="63" spans="1:13" ht="6" customHeight="1" outlineLevel="1" x14ac:dyDescent="0.25">
      <c r="A63" s="8"/>
      <c r="B63" s="9"/>
      <c r="C63" s="8"/>
      <c r="D63" s="10"/>
      <c r="E63" s="701"/>
      <c r="F63" s="10"/>
      <c r="G63" s="10"/>
      <c r="H63" s="8" t="str">
        <f>инфо!C92</f>
        <v>Печенье БС</v>
      </c>
      <c r="I63" s="8">
        <f>инфо!D92</f>
        <v>0</v>
      </c>
      <c r="J63" s="11"/>
      <c r="K63" s="12"/>
      <c r="L63" s="69"/>
      <c r="M63" s="73"/>
    </row>
    <row r="64" spans="1:13" ht="6" customHeight="1" outlineLevel="1" x14ac:dyDescent="0.25">
      <c r="A64" s="8"/>
      <c r="B64" s="9"/>
      <c r="C64" s="8"/>
      <c r="D64" s="10"/>
      <c r="E64" s="701"/>
      <c r="F64" s="10"/>
      <c r="G64" s="10"/>
      <c r="H64" s="8" t="str">
        <f>инфо!C93</f>
        <v>Пряники, печенье</v>
      </c>
      <c r="I64" s="8">
        <f>инфо!D93</f>
        <v>0</v>
      </c>
      <c r="J64" s="11"/>
      <c r="K64" s="12"/>
      <c r="L64" s="69"/>
      <c r="M64" s="73"/>
    </row>
    <row r="65" spans="1:13" ht="6" customHeight="1" outlineLevel="1" x14ac:dyDescent="0.25">
      <c r="A65" s="8"/>
      <c r="B65" s="9"/>
      <c r="C65" s="8"/>
      <c r="D65" s="10"/>
      <c r="E65" s="701"/>
      <c r="F65" s="10"/>
      <c r="G65" s="10"/>
      <c r="H65" s="8" t="str">
        <f>инфо!C94</f>
        <v>Сок яблочный</v>
      </c>
      <c r="I65" s="8">
        <f>инфо!D94</f>
        <v>0</v>
      </c>
      <c r="J65" s="11"/>
      <c r="K65" s="12"/>
      <c r="L65" s="69"/>
      <c r="M65" s="73"/>
    </row>
    <row r="66" spans="1:13" ht="6" customHeight="1" outlineLevel="1" x14ac:dyDescent="0.25">
      <c r="A66" s="8"/>
      <c r="B66" s="9"/>
      <c r="C66" s="8"/>
      <c r="D66" s="10"/>
      <c r="E66" s="701"/>
      <c r="F66" s="10"/>
      <c r="G66" s="10"/>
      <c r="H66" s="8" t="str">
        <f>инфо!C95</f>
        <v>Доп.продукт 1</v>
      </c>
      <c r="I66" s="8">
        <f>инфо!D95</f>
        <v>0</v>
      </c>
      <c r="J66" s="11"/>
      <c r="K66" s="12"/>
      <c r="L66" s="69"/>
      <c r="M66" s="73"/>
    </row>
    <row r="67" spans="1:13" ht="6" customHeight="1" outlineLevel="1" x14ac:dyDescent="0.25">
      <c r="A67" s="8"/>
      <c r="B67" s="9"/>
      <c r="C67" s="8"/>
      <c r="D67" s="10"/>
      <c r="E67" s="701"/>
      <c r="F67" s="10"/>
      <c r="G67" s="10"/>
      <c r="H67" s="8" t="str">
        <f>инфо!C96</f>
        <v>Доп.продукт 2</v>
      </c>
      <c r="I67" s="8">
        <f>инфо!D96</f>
        <v>0</v>
      </c>
      <c r="J67" s="11"/>
      <c r="K67" s="12"/>
      <c r="L67" s="69"/>
      <c r="M67" s="73"/>
    </row>
    <row r="68" spans="1:13" ht="6" customHeight="1" outlineLevel="1" x14ac:dyDescent="0.25">
      <c r="A68" s="8"/>
      <c r="B68" s="9"/>
      <c r="C68" s="8"/>
      <c r="D68" s="10"/>
      <c r="E68" s="701"/>
      <c r="F68" s="10"/>
      <c r="G68" s="10"/>
      <c r="H68" s="8" t="str">
        <f>инфо!C97</f>
        <v>Доп.продукт 3</v>
      </c>
      <c r="I68" s="8">
        <f>инфо!D97</f>
        <v>0</v>
      </c>
      <c r="J68" s="11"/>
      <c r="K68" s="12"/>
      <c r="L68" s="69"/>
      <c r="M68" s="73"/>
    </row>
    <row r="69" spans="1:13" ht="6" customHeight="1" outlineLevel="1" x14ac:dyDescent="0.25">
      <c r="A69" s="8"/>
      <c r="B69" s="9"/>
      <c r="C69" s="8"/>
      <c r="D69" s="10"/>
      <c r="E69" s="701"/>
      <c r="F69" s="10"/>
      <c r="G69" s="10"/>
      <c r="H69" s="8" t="str">
        <f>инфо!C98</f>
        <v>Доп.продукт 4</v>
      </c>
      <c r="I69" s="8">
        <f>инфо!D98</f>
        <v>0</v>
      </c>
      <c r="J69" s="11"/>
      <c r="K69" s="12"/>
      <c r="L69" s="69"/>
      <c r="M69" s="73"/>
    </row>
    <row r="70" spans="1:13" ht="6" customHeight="1" outlineLevel="1" x14ac:dyDescent="0.25">
      <c r="A70" s="8"/>
      <c r="B70" s="9"/>
      <c r="C70" s="8"/>
      <c r="D70" s="10"/>
      <c r="E70" s="701"/>
      <c r="F70" s="10"/>
      <c r="G70" s="10"/>
      <c r="H70" s="8" t="str">
        <f>инфо!C99</f>
        <v>Доп.продукт 5</v>
      </c>
      <c r="I70" s="8">
        <f>инфо!D99</f>
        <v>0</v>
      </c>
      <c r="J70" s="11"/>
      <c r="K70" s="12"/>
      <c r="L70" s="69"/>
      <c r="M70" s="73"/>
    </row>
    <row r="71" spans="1:13" ht="6" customHeight="1" outlineLevel="1" x14ac:dyDescent="0.25">
      <c r="A71" s="8"/>
      <c r="B71" s="9"/>
      <c r="C71" s="8"/>
      <c r="D71" s="10"/>
      <c r="E71" s="701"/>
      <c r="F71" s="10"/>
      <c r="G71" s="10"/>
      <c r="H71" s="8" t="str">
        <f>инфо!C100</f>
        <v>Новый продукт</v>
      </c>
      <c r="I71" s="8">
        <f>инфо!D100</f>
        <v>0</v>
      </c>
      <c r="J71" s="11"/>
      <c r="K71" s="12"/>
      <c r="L71" s="69"/>
      <c r="M71" s="73"/>
    </row>
    <row r="72" spans="1:13" ht="6" customHeight="1" outlineLevel="1" x14ac:dyDescent="0.25">
      <c r="A72" s="8"/>
      <c r="B72" s="9"/>
      <c r="C72" s="8"/>
      <c r="D72" s="10"/>
      <c r="E72" s="701"/>
      <c r="F72" s="10"/>
      <c r="G72" s="10"/>
      <c r="H72" s="8" t="str">
        <f>инфо!C101</f>
        <v>Новый продукт</v>
      </c>
      <c r="I72" s="8">
        <f>инфо!D101</f>
        <v>0</v>
      </c>
      <c r="J72" s="11"/>
      <c r="K72" s="12"/>
      <c r="L72" s="69"/>
      <c r="M72" s="73"/>
    </row>
    <row r="73" spans="1:13" ht="6" customHeight="1" outlineLevel="1" x14ac:dyDescent="0.25">
      <c r="A73" s="8"/>
      <c r="B73" s="9"/>
      <c r="C73" s="8"/>
      <c r="D73" s="10"/>
      <c r="E73" s="701"/>
      <c r="F73" s="10"/>
      <c r="G73" s="10"/>
      <c r="H73" s="8" t="str">
        <f>инфо!C102</f>
        <v>Новый продукт</v>
      </c>
      <c r="I73" s="8">
        <f>инфо!D102</f>
        <v>0</v>
      </c>
      <c r="J73" s="11"/>
      <c r="K73" s="12"/>
      <c r="L73" s="69"/>
      <c r="M73" s="73"/>
    </row>
    <row r="74" spans="1:13" ht="6" customHeight="1" outlineLevel="1" x14ac:dyDescent="0.25">
      <c r="A74" s="8"/>
      <c r="B74" s="9"/>
      <c r="C74" s="8"/>
      <c r="D74" s="10"/>
      <c r="E74" s="701"/>
      <c r="F74" s="10"/>
      <c r="G74" s="10"/>
      <c r="H74" s="8" t="str">
        <f>инфо!C103</f>
        <v>Новый продукт</v>
      </c>
      <c r="I74" s="8">
        <f>инфо!D103</f>
        <v>0</v>
      </c>
      <c r="J74" s="11"/>
      <c r="K74" s="12"/>
      <c r="L74" s="69"/>
      <c r="M74" s="73"/>
    </row>
    <row r="75" spans="1:13" ht="6" customHeight="1" outlineLevel="1" x14ac:dyDescent="0.25">
      <c r="A75" s="8"/>
      <c r="B75" s="9"/>
      <c r="C75" s="8"/>
      <c r="D75" s="10"/>
      <c r="E75" s="701"/>
      <c r="F75" s="10"/>
      <c r="G75" s="10"/>
      <c r="H75" s="8" t="str">
        <f>инфо!C104</f>
        <v>Новый продукт</v>
      </c>
      <c r="I75" s="8">
        <f>инфо!D104</f>
        <v>0</v>
      </c>
      <c r="J75" s="11"/>
      <c r="K75" s="12"/>
      <c r="L75" s="69"/>
      <c r="M75" s="73"/>
    </row>
    <row r="76" spans="1:13" ht="6" customHeight="1" outlineLevel="1" x14ac:dyDescent="0.25">
      <c r="A76" s="8"/>
      <c r="B76" s="9"/>
      <c r="C76" s="8"/>
      <c r="D76" s="10"/>
      <c r="E76" s="701"/>
      <c r="F76" s="10"/>
      <c r="G76" s="10"/>
      <c r="H76" s="8" t="str">
        <f>инфо!C105</f>
        <v>Новый продукт</v>
      </c>
      <c r="I76" s="8">
        <f>инфо!D105</f>
        <v>0</v>
      </c>
      <c r="J76" s="11"/>
      <c r="K76" s="12"/>
      <c r="L76" s="69"/>
      <c r="M76" s="73"/>
    </row>
    <row r="77" spans="1:13" ht="6" customHeight="1" outlineLevel="1" x14ac:dyDescent="0.25">
      <c r="A77" s="8"/>
      <c r="B77" s="9"/>
      <c r="C77" s="8"/>
      <c r="D77" s="10"/>
      <c r="E77" s="701"/>
      <c r="F77" s="10"/>
      <c r="G77" s="10"/>
      <c r="H77" s="8" t="str">
        <f>инфо!C106</f>
        <v>Новый продукт</v>
      </c>
      <c r="I77" s="8">
        <f>инфо!D106</f>
        <v>0</v>
      </c>
      <c r="J77" s="11"/>
      <c r="K77" s="12"/>
      <c r="L77" s="69"/>
      <c r="M77" s="73"/>
    </row>
    <row r="78" spans="1:13" ht="6" customHeight="1" outlineLevel="1" x14ac:dyDescent="0.25">
      <c r="A78" s="8"/>
      <c r="B78" s="9"/>
      <c r="C78" s="8"/>
      <c r="D78" s="10"/>
      <c r="E78" s="701"/>
      <c r="F78" s="10"/>
      <c r="G78" s="10"/>
      <c r="H78" s="8" t="str">
        <f>инфо!C107</f>
        <v>Новый продукт</v>
      </c>
      <c r="I78" s="8">
        <f>инфо!D107</f>
        <v>0</v>
      </c>
      <c r="J78" s="11"/>
      <c r="K78" s="12"/>
      <c r="L78" s="69"/>
      <c r="M78" s="73"/>
    </row>
    <row r="79" spans="1:13" ht="6" customHeight="1" outlineLevel="1" x14ac:dyDescent="0.25">
      <c r="A79" s="8"/>
      <c r="B79" s="9"/>
      <c r="C79" s="8"/>
      <c r="D79" s="10"/>
      <c r="E79" s="701"/>
      <c r="F79" s="10"/>
      <c r="G79" s="10"/>
      <c r="H79" s="8" t="str">
        <f>инфо!C108</f>
        <v>Новый продукт</v>
      </c>
      <c r="I79" s="8">
        <f>инфо!D108</f>
        <v>0</v>
      </c>
      <c r="J79" s="11"/>
      <c r="K79" s="12"/>
      <c r="L79" s="69"/>
      <c r="M79" s="73"/>
    </row>
    <row r="80" spans="1:13" ht="6" customHeight="1" outlineLevel="1" x14ac:dyDescent="0.25">
      <c r="A80" s="8"/>
      <c r="B80" s="9"/>
      <c r="C80" s="8"/>
      <c r="D80" s="10"/>
      <c r="E80" s="701"/>
      <c r="F80" s="10"/>
      <c r="G80" s="10"/>
      <c r="H80" s="8" t="e">
        <f>инфо!#REF!</f>
        <v>#REF!</v>
      </c>
      <c r="I80" s="8" t="e">
        <f>инфо!#REF!</f>
        <v>#REF!</v>
      </c>
      <c r="J80" s="11"/>
      <c r="K80" s="12"/>
      <c r="L80" s="69"/>
      <c r="M80" s="73"/>
    </row>
    <row r="81" spans="1:13" ht="6" customHeight="1" outlineLevel="1" x14ac:dyDescent="0.25">
      <c r="A81" s="8"/>
      <c r="B81" s="9"/>
      <c r="C81" s="8"/>
      <c r="D81" s="10"/>
      <c r="E81" s="701"/>
      <c r="F81" s="10"/>
      <c r="G81" s="10"/>
      <c r="H81" s="8" t="e">
        <f>инфо!#REF!</f>
        <v>#REF!</v>
      </c>
      <c r="I81" s="8" t="e">
        <f>инфо!#REF!</f>
        <v>#REF!</v>
      </c>
      <c r="J81" s="11"/>
      <c r="K81" s="12"/>
      <c r="L81" s="69"/>
      <c r="M81" s="73"/>
    </row>
    <row r="82" spans="1:13" ht="6" customHeight="1" outlineLevel="1" x14ac:dyDescent="0.25">
      <c r="A82" s="8"/>
      <c r="B82" s="9"/>
      <c r="C82" s="8"/>
      <c r="D82" s="10"/>
      <c r="E82" s="701"/>
      <c r="F82" s="10"/>
      <c r="G82" s="10"/>
      <c r="H82" s="8" t="e">
        <f>инфо!#REF!</f>
        <v>#REF!</v>
      </c>
      <c r="I82" s="8" t="e">
        <f>инфо!#REF!</f>
        <v>#REF!</v>
      </c>
      <c r="J82" s="11"/>
      <c r="K82" s="12"/>
      <c r="L82" s="69"/>
      <c r="M82" s="73"/>
    </row>
    <row r="83" spans="1:13" ht="6" customHeight="1" outlineLevel="1" x14ac:dyDescent="0.25">
      <c r="A83" s="8"/>
      <c r="B83" s="9"/>
      <c r="C83" s="8"/>
      <c r="D83" s="10"/>
      <c r="E83" s="701"/>
      <c r="F83" s="10"/>
      <c r="G83" s="10"/>
      <c r="H83" s="8" t="e">
        <f>инфо!#REF!</f>
        <v>#REF!</v>
      </c>
      <c r="I83" s="8" t="e">
        <f>инфо!#REF!</f>
        <v>#REF!</v>
      </c>
      <c r="J83" s="11"/>
      <c r="K83" s="12"/>
      <c r="L83" s="69"/>
      <c r="M83" s="73"/>
    </row>
    <row r="84" spans="1:13" ht="6" customHeight="1" outlineLevel="1" x14ac:dyDescent="0.25">
      <c r="A84" s="8"/>
      <c r="B84" s="9"/>
      <c r="C84" s="8"/>
      <c r="D84" s="10"/>
      <c r="E84" s="701"/>
      <c r="F84" s="10"/>
      <c r="G84" s="10"/>
      <c r="H84" s="8" t="e">
        <f>инфо!#REF!</f>
        <v>#REF!</v>
      </c>
      <c r="I84" s="8" t="e">
        <f>инфо!#REF!</f>
        <v>#REF!</v>
      </c>
      <c r="J84" s="11"/>
      <c r="K84" s="12"/>
      <c r="L84" s="69"/>
      <c r="M84" s="73"/>
    </row>
    <row r="85" spans="1:13" ht="6" customHeight="1" outlineLevel="1" x14ac:dyDescent="0.25">
      <c r="A85" s="8"/>
      <c r="B85" s="9"/>
      <c r="C85" s="8"/>
      <c r="D85" s="10"/>
      <c r="E85" s="701"/>
      <c r="F85" s="10"/>
      <c r="G85" s="10"/>
      <c r="H85" s="8" t="e">
        <f>инфо!#REF!</f>
        <v>#REF!</v>
      </c>
      <c r="I85" s="8" t="e">
        <f>инфо!#REF!</f>
        <v>#REF!</v>
      </c>
      <c r="J85" s="11"/>
      <c r="K85" s="12"/>
      <c r="L85" s="69"/>
      <c r="M85" s="73"/>
    </row>
    <row r="86" spans="1:13" ht="6" customHeight="1" outlineLevel="1" x14ac:dyDescent="0.25">
      <c r="A86" s="8"/>
      <c r="B86" s="9"/>
      <c r="C86" s="8"/>
      <c r="D86" s="10"/>
      <c r="E86" s="701"/>
      <c r="F86" s="10"/>
      <c r="G86" s="10"/>
      <c r="H86" s="8" t="e">
        <f>инфо!#REF!</f>
        <v>#REF!</v>
      </c>
      <c r="I86" s="8" t="e">
        <f>инфо!#REF!</f>
        <v>#REF!</v>
      </c>
      <c r="J86" s="11"/>
      <c r="K86" s="12"/>
      <c r="L86" s="69"/>
      <c r="M86" s="73"/>
    </row>
    <row r="87" spans="1:13" ht="6" customHeight="1" outlineLevel="1" x14ac:dyDescent="0.25">
      <c r="A87" s="8"/>
      <c r="B87" s="9"/>
      <c r="C87" s="8"/>
      <c r="D87" s="10"/>
      <c r="E87" s="701"/>
      <c r="F87" s="10"/>
      <c r="G87" s="10"/>
      <c r="H87" s="8" t="e">
        <f>инфо!#REF!</f>
        <v>#REF!</v>
      </c>
      <c r="I87" s="8" t="e">
        <f>инфо!#REF!</f>
        <v>#REF!</v>
      </c>
      <c r="J87" s="11"/>
      <c r="K87" s="12"/>
      <c r="L87" s="69"/>
      <c r="M87" s="73"/>
    </row>
    <row r="88" spans="1:13" ht="6" customHeight="1" outlineLevel="1" x14ac:dyDescent="0.25">
      <c r="A88" s="8"/>
      <c r="B88" s="9"/>
      <c r="C88" s="8"/>
      <c r="D88" s="10"/>
      <c r="E88" s="701"/>
      <c r="F88" s="10"/>
      <c r="G88" s="10"/>
      <c r="H88" s="8" t="e">
        <f>инфо!#REF!</f>
        <v>#REF!</v>
      </c>
      <c r="I88" s="8" t="e">
        <f>инфо!#REF!</f>
        <v>#REF!</v>
      </c>
      <c r="J88" s="11"/>
      <c r="K88" s="12"/>
      <c r="L88" s="69"/>
      <c r="M88" s="73"/>
    </row>
    <row r="89" spans="1:13" ht="6" customHeight="1" outlineLevel="1" x14ac:dyDescent="0.25">
      <c r="A89" s="8"/>
      <c r="B89" s="9"/>
      <c r="C89" s="8"/>
      <c r="D89" s="10"/>
      <c r="E89" s="701"/>
      <c r="F89" s="10"/>
      <c r="G89" s="10"/>
      <c r="H89" s="8" t="e">
        <f>инфо!#REF!</f>
        <v>#REF!</v>
      </c>
      <c r="I89" s="8" t="e">
        <f>инфо!#REF!</f>
        <v>#REF!</v>
      </c>
      <c r="J89" s="11"/>
      <c r="K89" s="12"/>
      <c r="L89" s="69"/>
      <c r="M89" s="73"/>
    </row>
    <row r="90" spans="1:13" ht="6" customHeight="1" outlineLevel="1" x14ac:dyDescent="0.25">
      <c r="A90" s="8"/>
      <c r="B90" s="9"/>
      <c r="C90" s="8"/>
      <c r="D90" s="10"/>
      <c r="E90" s="701"/>
      <c r="F90" s="10"/>
      <c r="G90" s="10"/>
      <c r="H90" s="8" t="e">
        <f>инфо!#REF!</f>
        <v>#REF!</v>
      </c>
      <c r="I90" s="8" t="e">
        <f>инфо!#REF!</f>
        <v>#REF!</v>
      </c>
      <c r="J90" s="11"/>
      <c r="K90" s="12"/>
      <c r="L90" s="69"/>
      <c r="M90" s="73"/>
    </row>
    <row r="91" spans="1:13" ht="6" customHeight="1" outlineLevel="1" x14ac:dyDescent="0.25">
      <c r="A91" s="8"/>
      <c r="B91" s="9"/>
      <c r="C91" s="8"/>
      <c r="D91" s="10"/>
      <c r="E91" s="701"/>
      <c r="F91" s="10"/>
      <c r="G91" s="10"/>
      <c r="H91" s="8" t="e">
        <f>инфо!#REF!</f>
        <v>#REF!</v>
      </c>
      <c r="I91" s="8" t="e">
        <f>инфо!#REF!</f>
        <v>#REF!</v>
      </c>
      <c r="J91" s="11"/>
      <c r="K91" s="12"/>
      <c r="L91" s="69"/>
      <c r="M91" s="73"/>
    </row>
    <row r="92" spans="1:13" ht="6" customHeight="1" outlineLevel="1" x14ac:dyDescent="0.25">
      <c r="A92" s="8"/>
      <c r="B92" s="9"/>
      <c r="C92" s="8"/>
      <c r="D92" s="10"/>
      <c r="E92" s="701"/>
      <c r="F92" s="10"/>
      <c r="G92" s="10"/>
      <c r="H92" s="8" t="e">
        <f>инфо!#REF!</f>
        <v>#REF!</v>
      </c>
      <c r="I92" s="8" t="e">
        <f>инфо!#REF!</f>
        <v>#REF!</v>
      </c>
      <c r="J92" s="11"/>
      <c r="K92" s="12"/>
      <c r="L92" s="69"/>
      <c r="M92" s="73"/>
    </row>
    <row r="93" spans="1:13" ht="6" customHeight="1" outlineLevel="1" x14ac:dyDescent="0.25">
      <c r="A93" s="8"/>
      <c r="B93" s="9"/>
      <c r="C93" s="8"/>
      <c r="D93" s="10"/>
      <c r="E93" s="701"/>
      <c r="F93" s="10"/>
      <c r="G93" s="10"/>
      <c r="H93" s="8" t="e">
        <f>инфо!#REF!</f>
        <v>#REF!</v>
      </c>
      <c r="I93" s="8" t="e">
        <f>инфо!#REF!</f>
        <v>#REF!</v>
      </c>
      <c r="J93" s="11"/>
      <c r="K93" s="12"/>
      <c r="L93" s="69"/>
      <c r="M93" s="73"/>
    </row>
    <row r="94" spans="1:13" ht="6" customHeight="1" outlineLevel="1" x14ac:dyDescent="0.25">
      <c r="A94" s="8"/>
      <c r="B94" s="9"/>
      <c r="C94" s="8"/>
      <c r="D94" s="10"/>
      <c r="E94" s="701"/>
      <c r="F94" s="10"/>
      <c r="G94" s="10"/>
      <c r="H94" s="8" t="e">
        <f>инфо!#REF!</f>
        <v>#REF!</v>
      </c>
      <c r="I94" s="8" t="e">
        <f>инфо!#REF!</f>
        <v>#REF!</v>
      </c>
      <c r="J94" s="11"/>
      <c r="K94" s="12"/>
      <c r="L94" s="69"/>
      <c r="M94" s="73"/>
    </row>
    <row r="95" spans="1:13" ht="6" customHeight="1" outlineLevel="1" x14ac:dyDescent="0.25">
      <c r="A95" s="8"/>
      <c r="B95" s="9"/>
      <c r="C95" s="8"/>
      <c r="D95" s="10"/>
      <c r="E95" s="701"/>
      <c r="F95" s="10"/>
      <c r="G95" s="10"/>
      <c r="H95" s="8" t="e">
        <f>инфо!#REF!</f>
        <v>#REF!</v>
      </c>
      <c r="I95" s="8" t="e">
        <f>инфо!#REF!</f>
        <v>#REF!</v>
      </c>
      <c r="J95" s="11"/>
      <c r="K95" s="12"/>
      <c r="L95" s="69"/>
      <c r="M95" s="73"/>
    </row>
    <row r="96" spans="1:13" ht="6" customHeight="1" outlineLevel="1" x14ac:dyDescent="0.25">
      <c r="A96" s="8"/>
      <c r="B96" s="9"/>
      <c r="C96" s="8"/>
      <c r="D96" s="10"/>
      <c r="E96" s="701"/>
      <c r="F96" s="10"/>
      <c r="G96" s="10"/>
      <c r="H96" s="8" t="e">
        <f>инфо!#REF!</f>
        <v>#REF!</v>
      </c>
      <c r="I96" s="8" t="e">
        <f>инфо!#REF!</f>
        <v>#REF!</v>
      </c>
      <c r="J96" s="11"/>
      <c r="K96" s="12"/>
      <c r="L96" s="69"/>
      <c r="M96" s="73"/>
    </row>
    <row r="97" spans="1:13" ht="6" customHeight="1" outlineLevel="1" x14ac:dyDescent="0.25">
      <c r="A97" s="8"/>
      <c r="B97" s="9"/>
      <c r="C97" s="8"/>
      <c r="D97" s="10"/>
      <c r="E97" s="701"/>
      <c r="F97" s="10"/>
      <c r="G97" s="10"/>
      <c r="H97" s="8" t="e">
        <f>инфо!#REF!</f>
        <v>#REF!</v>
      </c>
      <c r="I97" s="8" t="e">
        <f>инфо!#REF!</f>
        <v>#REF!</v>
      </c>
      <c r="J97" s="11"/>
      <c r="K97" s="12"/>
      <c r="L97" s="69"/>
      <c r="M97" s="73"/>
    </row>
    <row r="98" spans="1:13" ht="6" customHeight="1" outlineLevel="1" x14ac:dyDescent="0.25">
      <c r="A98" s="8"/>
      <c r="B98" s="9"/>
      <c r="C98" s="8"/>
      <c r="D98" s="10"/>
      <c r="E98" s="701"/>
      <c r="F98" s="10"/>
      <c r="G98" s="10"/>
      <c r="H98" s="8" t="e">
        <f>инфо!#REF!</f>
        <v>#REF!</v>
      </c>
      <c r="I98" s="8" t="e">
        <f>инфо!#REF!</f>
        <v>#REF!</v>
      </c>
      <c r="J98" s="11"/>
      <c r="K98" s="12"/>
      <c r="L98" s="69"/>
      <c r="M98" s="73"/>
    </row>
    <row r="99" spans="1:13" ht="6" customHeight="1" outlineLevel="1" x14ac:dyDescent="0.25">
      <c r="A99" s="8"/>
      <c r="B99" s="9"/>
      <c r="C99" s="8"/>
      <c r="D99" s="10"/>
      <c r="E99" s="701"/>
      <c r="F99" s="10"/>
      <c r="G99" s="10"/>
      <c r="H99" s="8" t="e">
        <f>инфо!#REF!</f>
        <v>#REF!</v>
      </c>
      <c r="I99" s="8" t="e">
        <f>инфо!#REF!</f>
        <v>#REF!</v>
      </c>
      <c r="J99" s="11"/>
      <c r="K99" s="12"/>
      <c r="L99" s="69"/>
      <c r="M99" s="73"/>
    </row>
    <row r="100" spans="1:13" ht="6" customHeight="1" outlineLevel="1" x14ac:dyDescent="0.25">
      <c r="A100" s="8"/>
      <c r="B100" s="9"/>
      <c r="C100" s="8"/>
      <c r="D100" s="10"/>
      <c r="E100" s="701"/>
      <c r="F100" s="10"/>
      <c r="G100" s="10"/>
      <c r="H100" s="8" t="e">
        <f>инфо!#REF!</f>
        <v>#REF!</v>
      </c>
      <c r="I100" s="8" t="e">
        <f>инфо!#REF!</f>
        <v>#REF!</v>
      </c>
      <c r="J100" s="11"/>
      <c r="K100" s="12"/>
      <c r="L100" s="69"/>
      <c r="M100" s="73"/>
    </row>
    <row r="101" spans="1:13" ht="6" customHeight="1" outlineLevel="1" x14ac:dyDescent="0.25">
      <c r="A101" s="8"/>
      <c r="B101" s="9"/>
      <c r="C101" s="8"/>
      <c r="D101" s="10"/>
      <c r="E101" s="701"/>
      <c r="F101" s="10"/>
      <c r="G101" s="10"/>
      <c r="H101" s="8" t="e">
        <f>инфо!#REF!</f>
        <v>#REF!</v>
      </c>
      <c r="I101" s="8" t="e">
        <f>инфо!#REF!</f>
        <v>#REF!</v>
      </c>
      <c r="J101" s="11"/>
      <c r="K101" s="12"/>
      <c r="L101" s="69"/>
      <c r="M101" s="73"/>
    </row>
    <row r="102" spans="1:13" ht="6" customHeight="1" outlineLevel="1" x14ac:dyDescent="0.25">
      <c r="A102" s="8"/>
      <c r="B102" s="9"/>
      <c r="C102" s="8"/>
      <c r="D102" s="10"/>
      <c r="E102" s="701"/>
      <c r="F102" s="10"/>
      <c r="G102" s="10"/>
      <c r="H102" s="8" t="e">
        <f>инфо!#REF!</f>
        <v>#REF!</v>
      </c>
      <c r="I102" s="8" t="e">
        <f>инфо!#REF!</f>
        <v>#REF!</v>
      </c>
      <c r="J102" s="11"/>
      <c r="K102" s="12"/>
      <c r="L102" s="69"/>
      <c r="M102" s="73"/>
    </row>
    <row r="103" spans="1:13" ht="6" customHeight="1" outlineLevel="1" x14ac:dyDescent="0.25">
      <c r="A103" s="8"/>
      <c r="B103" s="9"/>
      <c r="C103" s="8"/>
      <c r="D103" s="10"/>
      <c r="E103" s="701"/>
      <c r="F103" s="10"/>
      <c r="G103" s="10"/>
      <c r="H103" s="8" t="e">
        <f>инфо!#REF!</f>
        <v>#REF!</v>
      </c>
      <c r="I103" s="8" t="e">
        <f>инфо!#REF!</f>
        <v>#REF!</v>
      </c>
      <c r="J103" s="11"/>
      <c r="K103" s="12"/>
      <c r="L103" s="69"/>
      <c r="M103" s="73"/>
    </row>
    <row r="104" spans="1:13" ht="6" customHeight="1" outlineLevel="1" x14ac:dyDescent="0.25">
      <c r="A104" s="8"/>
      <c r="B104" s="9"/>
      <c r="C104" s="8"/>
      <c r="D104" s="10"/>
      <c r="E104" s="701"/>
      <c r="F104" s="10"/>
      <c r="G104" s="10"/>
      <c r="H104" s="8" t="e">
        <f>инфо!#REF!</f>
        <v>#REF!</v>
      </c>
      <c r="I104" s="8" t="e">
        <f>инфо!#REF!</f>
        <v>#REF!</v>
      </c>
      <c r="J104" s="11"/>
      <c r="K104" s="12"/>
      <c r="L104" s="69"/>
      <c r="M104" s="73"/>
    </row>
    <row r="105" spans="1:13" ht="6" customHeight="1" outlineLevel="1" x14ac:dyDescent="0.25">
      <c r="A105" s="8"/>
      <c r="B105" s="9"/>
      <c r="C105" s="8"/>
      <c r="D105" s="10"/>
      <c r="E105" s="701"/>
      <c r="F105" s="10"/>
      <c r="G105" s="10"/>
      <c r="H105" s="8" t="e">
        <f>инфо!#REF!</f>
        <v>#REF!</v>
      </c>
      <c r="I105" s="8" t="e">
        <f>инфо!#REF!</f>
        <v>#REF!</v>
      </c>
      <c r="J105" s="11"/>
      <c r="K105" s="12"/>
      <c r="L105" s="69"/>
      <c r="M105" s="73"/>
    </row>
    <row r="106" spans="1:13" ht="6" customHeight="1" outlineLevel="1" x14ac:dyDescent="0.25">
      <c r="A106" s="8"/>
      <c r="B106" s="9"/>
      <c r="C106" s="8"/>
      <c r="D106" s="10"/>
      <c r="E106" s="701"/>
      <c r="F106" s="10"/>
      <c r="G106" s="10"/>
      <c r="H106" s="8" t="e">
        <f>инфо!#REF!</f>
        <v>#REF!</v>
      </c>
      <c r="I106" s="8" t="e">
        <f>инфо!#REF!</f>
        <v>#REF!</v>
      </c>
      <c r="J106" s="11"/>
      <c r="K106" s="12"/>
      <c r="L106" s="69"/>
      <c r="M106" s="73"/>
    </row>
    <row r="107" spans="1:13" ht="6" customHeight="1" outlineLevel="1" x14ac:dyDescent="0.25">
      <c r="A107" s="8"/>
      <c r="B107" s="9"/>
      <c r="C107" s="8"/>
      <c r="D107" s="10"/>
      <c r="E107" s="701"/>
      <c r="F107" s="10"/>
      <c r="G107" s="10"/>
      <c r="H107" s="8" t="e">
        <f>инфо!#REF!</f>
        <v>#REF!</v>
      </c>
      <c r="I107" s="8" t="e">
        <f>инфо!#REF!</f>
        <v>#REF!</v>
      </c>
      <c r="J107" s="11"/>
      <c r="K107" s="12"/>
      <c r="L107" s="69"/>
      <c r="M107" s="73"/>
    </row>
    <row r="108" spans="1:13" ht="6" customHeight="1" outlineLevel="1" x14ac:dyDescent="0.25">
      <c r="A108" s="8"/>
      <c r="B108" s="9"/>
      <c r="C108" s="8"/>
      <c r="D108" s="10"/>
      <c r="E108" s="701"/>
      <c r="F108" s="10"/>
      <c r="G108" s="10"/>
      <c r="H108" s="8" t="e">
        <f>инфо!#REF!</f>
        <v>#REF!</v>
      </c>
      <c r="I108" s="8" t="e">
        <f>инфо!#REF!</f>
        <v>#REF!</v>
      </c>
      <c r="J108" s="11"/>
      <c r="K108" s="12"/>
      <c r="L108" s="69"/>
      <c r="M108" s="73"/>
    </row>
    <row r="109" spans="1:13" ht="6" customHeight="1" outlineLevel="1" x14ac:dyDescent="0.25">
      <c r="A109" s="8"/>
      <c r="B109" s="9"/>
      <c r="C109" s="8"/>
      <c r="D109" s="10"/>
      <c r="E109" s="701"/>
      <c r="F109" s="10"/>
      <c r="G109" s="10"/>
      <c r="H109" s="8" t="e">
        <f>инфо!#REF!</f>
        <v>#REF!</v>
      </c>
      <c r="I109" s="8" t="e">
        <f>инфо!#REF!</f>
        <v>#REF!</v>
      </c>
      <c r="J109" s="11"/>
      <c r="K109" s="12"/>
      <c r="L109" s="69"/>
      <c r="M109" s="73"/>
    </row>
    <row r="110" spans="1:13" ht="6" customHeight="1" outlineLevel="1" x14ac:dyDescent="0.25">
      <c r="A110" s="8"/>
      <c r="B110" s="9"/>
      <c r="C110" s="8"/>
      <c r="D110" s="10"/>
      <c r="E110" s="701"/>
      <c r="F110" s="10"/>
      <c r="G110" s="10"/>
      <c r="H110" s="8" t="e">
        <f>инфо!#REF!</f>
        <v>#REF!</v>
      </c>
      <c r="I110" s="8" t="e">
        <f>инфо!#REF!</f>
        <v>#REF!</v>
      </c>
      <c r="J110" s="11"/>
      <c r="K110" s="12"/>
      <c r="L110" s="69"/>
      <c r="M110" s="73"/>
    </row>
    <row r="111" spans="1:13" ht="6" customHeight="1" outlineLevel="1" x14ac:dyDescent="0.25">
      <c r="A111" s="8"/>
      <c r="B111" s="9"/>
      <c r="C111" s="8"/>
      <c r="D111" s="10"/>
      <c r="E111" s="701"/>
      <c r="F111" s="10"/>
      <c r="G111" s="10"/>
      <c r="H111" s="8" t="e">
        <f>инфо!#REF!</f>
        <v>#REF!</v>
      </c>
      <c r="I111" s="8" t="e">
        <f>инфо!#REF!</f>
        <v>#REF!</v>
      </c>
      <c r="J111" s="11"/>
      <c r="K111" s="12"/>
      <c r="L111" s="69"/>
      <c r="M111" s="73"/>
    </row>
    <row r="112" spans="1:13" ht="6" customHeight="1" outlineLevel="1" x14ac:dyDescent="0.25">
      <c r="A112" s="8"/>
      <c r="B112" s="9"/>
      <c r="C112" s="8"/>
      <c r="D112" s="10"/>
      <c r="E112" s="701"/>
      <c r="F112" s="10"/>
      <c r="G112" s="10"/>
      <c r="H112" s="8" t="e">
        <f>инфо!#REF!</f>
        <v>#REF!</v>
      </c>
      <c r="I112" s="8" t="e">
        <f>инфо!#REF!</f>
        <v>#REF!</v>
      </c>
      <c r="J112" s="11"/>
      <c r="K112" s="12"/>
      <c r="L112" s="69"/>
      <c r="M112" s="73"/>
    </row>
    <row r="113" spans="1:13" ht="6" customHeight="1" outlineLevel="1" x14ac:dyDescent="0.25">
      <c r="A113" s="8"/>
      <c r="B113" s="9"/>
      <c r="C113" s="8"/>
      <c r="D113" s="10"/>
      <c r="E113" s="701"/>
      <c r="F113" s="10"/>
      <c r="G113" s="10"/>
      <c r="H113" s="8" t="e">
        <f>инфо!#REF!</f>
        <v>#REF!</v>
      </c>
      <c r="I113" s="8" t="e">
        <f>инфо!#REF!</f>
        <v>#REF!</v>
      </c>
      <c r="J113" s="11"/>
      <c r="K113" s="12"/>
      <c r="L113" s="69"/>
      <c r="M113" s="73"/>
    </row>
    <row r="114" spans="1:13" ht="6" customHeight="1" outlineLevel="1" x14ac:dyDescent="0.25">
      <c r="A114" s="8"/>
      <c r="B114" s="9"/>
      <c r="C114" s="8"/>
      <c r="D114" s="10"/>
      <c r="E114" s="701"/>
      <c r="F114" s="10"/>
      <c r="G114" s="10"/>
      <c r="H114" s="8" t="e">
        <f>инфо!#REF!</f>
        <v>#REF!</v>
      </c>
      <c r="I114" s="8" t="e">
        <f>инфо!#REF!</f>
        <v>#REF!</v>
      </c>
      <c r="J114" s="11"/>
      <c r="K114" s="12"/>
      <c r="L114" s="69"/>
      <c r="M114" s="73"/>
    </row>
    <row r="115" spans="1:13" ht="6" customHeight="1" outlineLevel="1" x14ac:dyDescent="0.25">
      <c r="A115" s="8"/>
      <c r="B115" s="9"/>
      <c r="C115" s="8"/>
      <c r="D115" s="10"/>
      <c r="E115" s="701"/>
      <c r="F115" s="10"/>
      <c r="G115" s="10"/>
      <c r="H115" s="8" t="e">
        <f>инфо!#REF!</f>
        <v>#REF!</v>
      </c>
      <c r="I115" s="8" t="e">
        <f>инфо!#REF!</f>
        <v>#REF!</v>
      </c>
      <c r="J115" s="11"/>
      <c r="K115" s="12"/>
      <c r="L115" s="69"/>
      <c r="M115" s="73"/>
    </row>
    <row r="116" spans="1:13" ht="6" customHeight="1" outlineLevel="1" x14ac:dyDescent="0.25">
      <c r="A116" s="8"/>
      <c r="B116" s="9"/>
      <c r="C116" s="8"/>
      <c r="D116" s="10"/>
      <c r="E116" s="701"/>
      <c r="F116" s="10"/>
      <c r="G116" s="10"/>
      <c r="H116" s="8" t="e">
        <f>инфо!#REF!</f>
        <v>#REF!</v>
      </c>
      <c r="I116" s="8" t="e">
        <f>инфо!#REF!</f>
        <v>#REF!</v>
      </c>
      <c r="J116" s="11"/>
      <c r="K116" s="12"/>
      <c r="L116" s="69"/>
      <c r="M116" s="73"/>
    </row>
    <row r="117" spans="1:13" ht="6" customHeight="1" outlineLevel="1" x14ac:dyDescent="0.25">
      <c r="A117" s="8"/>
      <c r="B117" s="9"/>
      <c r="C117" s="8"/>
      <c r="D117" s="10"/>
      <c r="E117" s="701"/>
      <c r="F117" s="10"/>
      <c r="G117" s="10"/>
      <c r="H117" s="8" t="e">
        <f>инфо!#REF!</f>
        <v>#REF!</v>
      </c>
      <c r="I117" s="8" t="e">
        <f>инфо!#REF!</f>
        <v>#REF!</v>
      </c>
      <c r="J117" s="11"/>
      <c r="K117" s="12"/>
      <c r="L117" s="69"/>
      <c r="M117" s="73"/>
    </row>
    <row r="118" spans="1:13" ht="6" customHeight="1" outlineLevel="1" x14ac:dyDescent="0.25">
      <c r="A118" s="8"/>
      <c r="B118" s="9"/>
      <c r="C118" s="8"/>
      <c r="D118" s="10"/>
      <c r="E118" s="701"/>
      <c r="F118" s="10"/>
      <c r="G118" s="10"/>
      <c r="H118" s="8" t="e">
        <f>инфо!#REF!</f>
        <v>#REF!</v>
      </c>
      <c r="I118" s="8" t="e">
        <f>инфо!#REF!</f>
        <v>#REF!</v>
      </c>
      <c r="J118" s="11"/>
      <c r="K118" s="12"/>
      <c r="L118" s="69"/>
      <c r="M118" s="73"/>
    </row>
    <row r="119" spans="1:13" ht="6" customHeight="1" outlineLevel="1" x14ac:dyDescent="0.25">
      <c r="A119" s="8"/>
      <c r="B119" s="9"/>
      <c r="C119" s="8"/>
      <c r="D119" s="10"/>
      <c r="E119" s="701"/>
      <c r="F119" s="10"/>
      <c r="G119" s="10"/>
      <c r="H119" s="8" t="e">
        <f>инфо!#REF!</f>
        <v>#REF!</v>
      </c>
      <c r="I119" s="8" t="e">
        <f>инфо!#REF!</f>
        <v>#REF!</v>
      </c>
      <c r="J119" s="11"/>
      <c r="K119" s="12"/>
      <c r="L119" s="69"/>
      <c r="M119" s="73"/>
    </row>
    <row r="120" spans="1:13" ht="6" customHeight="1" outlineLevel="1" x14ac:dyDescent="0.25">
      <c r="A120" s="8"/>
      <c r="B120" s="9"/>
      <c r="C120" s="8"/>
      <c r="D120" s="10"/>
      <c r="E120" s="701"/>
      <c r="F120" s="10"/>
      <c r="G120" s="10"/>
      <c r="H120" s="8" t="e">
        <f>инфо!#REF!</f>
        <v>#REF!</v>
      </c>
      <c r="I120" s="8" t="e">
        <f>инфо!#REF!</f>
        <v>#REF!</v>
      </c>
      <c r="J120" s="11"/>
      <c r="K120" s="12"/>
      <c r="L120" s="69"/>
      <c r="M120" s="73"/>
    </row>
    <row r="121" spans="1:13" ht="6" customHeight="1" outlineLevel="1" x14ac:dyDescent="0.25">
      <c r="A121" s="8"/>
      <c r="B121" s="9"/>
      <c r="C121" s="8"/>
      <c r="D121" s="10"/>
      <c r="E121" s="701"/>
      <c r="F121" s="10"/>
      <c r="G121" s="10"/>
      <c r="H121" s="8" t="e">
        <f>инфо!#REF!</f>
        <v>#REF!</v>
      </c>
      <c r="I121" s="8" t="e">
        <f>инфо!#REF!</f>
        <v>#REF!</v>
      </c>
      <c r="J121" s="11"/>
      <c r="K121" s="12"/>
      <c r="L121" s="69"/>
      <c r="M121" s="73"/>
    </row>
    <row r="122" spans="1:13" ht="6" customHeight="1" outlineLevel="1" x14ac:dyDescent="0.25">
      <c r="A122" s="8"/>
      <c r="B122" s="9"/>
      <c r="C122" s="8"/>
      <c r="D122" s="10"/>
      <c r="E122" s="701"/>
      <c r="F122" s="10"/>
      <c r="G122" s="10"/>
      <c r="H122" s="8" t="e">
        <f>инфо!#REF!</f>
        <v>#REF!</v>
      </c>
      <c r="I122" s="8" t="e">
        <f>инфо!#REF!</f>
        <v>#REF!</v>
      </c>
      <c r="J122" s="11"/>
      <c r="K122" s="12"/>
      <c r="L122" s="69"/>
      <c r="M122" s="73"/>
    </row>
    <row r="123" spans="1:13" ht="6" customHeight="1" outlineLevel="1" x14ac:dyDescent="0.25">
      <c r="A123" s="8"/>
      <c r="B123" s="9"/>
      <c r="C123" s="8"/>
      <c r="D123" s="10"/>
      <c r="E123" s="701"/>
      <c r="F123" s="10"/>
      <c r="G123" s="10"/>
      <c r="H123" s="8" t="e">
        <f>инфо!#REF!</f>
        <v>#REF!</v>
      </c>
      <c r="I123" s="8" t="e">
        <f>инфо!#REF!</f>
        <v>#REF!</v>
      </c>
      <c r="J123" s="11"/>
      <c r="K123" s="12"/>
      <c r="L123" s="69"/>
      <c r="M123" s="73"/>
    </row>
    <row r="124" spans="1:13" ht="6" customHeight="1" outlineLevel="1" x14ac:dyDescent="0.25">
      <c r="A124" s="8"/>
      <c r="B124" s="9"/>
      <c r="C124" s="8"/>
      <c r="D124" s="10"/>
      <c r="E124" s="701"/>
      <c r="F124" s="10"/>
      <c r="G124" s="10"/>
      <c r="H124" s="8" t="e">
        <f>инфо!#REF!</f>
        <v>#REF!</v>
      </c>
      <c r="I124" s="8" t="e">
        <f>инфо!#REF!</f>
        <v>#REF!</v>
      </c>
      <c r="J124" s="11"/>
      <c r="K124" s="12"/>
      <c r="L124" s="69"/>
      <c r="M124" s="73"/>
    </row>
    <row r="125" spans="1:13" ht="6" customHeight="1" outlineLevel="1" x14ac:dyDescent="0.25">
      <c r="A125" s="8"/>
      <c r="B125" s="9"/>
      <c r="C125" s="8"/>
      <c r="D125" s="10"/>
      <c r="E125" s="701"/>
      <c r="F125" s="10"/>
      <c r="G125" s="10"/>
      <c r="H125" s="8" t="e">
        <f>инфо!#REF!</f>
        <v>#REF!</v>
      </c>
      <c r="I125" s="8" t="e">
        <f>инфо!#REF!</f>
        <v>#REF!</v>
      </c>
      <c r="J125" s="11"/>
      <c r="K125" s="12"/>
      <c r="L125" s="69"/>
      <c r="M125" s="73"/>
    </row>
    <row r="126" spans="1:13" ht="6" customHeight="1" outlineLevel="1" x14ac:dyDescent="0.25">
      <c r="A126" s="8"/>
      <c r="B126" s="9"/>
      <c r="C126" s="8"/>
      <c r="D126" s="10"/>
      <c r="E126" s="701"/>
      <c r="F126" s="10"/>
      <c r="G126" s="10"/>
      <c r="H126" s="8" t="e">
        <f>инфо!#REF!</f>
        <v>#REF!</v>
      </c>
      <c r="I126" s="8" t="e">
        <f>инфо!#REF!</f>
        <v>#REF!</v>
      </c>
      <c r="J126" s="11"/>
      <c r="K126" s="12"/>
      <c r="L126" s="69"/>
      <c r="M126" s="73"/>
    </row>
    <row r="127" spans="1:13" ht="6" customHeight="1" outlineLevel="1" x14ac:dyDescent="0.25">
      <c r="A127" s="8"/>
      <c r="B127" s="9"/>
      <c r="C127" s="8"/>
      <c r="D127" s="10"/>
      <c r="E127" s="701"/>
      <c r="F127" s="10"/>
      <c r="G127" s="10"/>
      <c r="H127" s="8" t="e">
        <f>инфо!#REF!</f>
        <v>#REF!</v>
      </c>
      <c r="I127" s="8" t="e">
        <f>инфо!#REF!</f>
        <v>#REF!</v>
      </c>
      <c r="J127" s="11"/>
      <c r="K127" s="12"/>
      <c r="L127" s="69"/>
      <c r="M127" s="73"/>
    </row>
    <row r="128" spans="1:13" ht="6" customHeight="1" outlineLevel="1" x14ac:dyDescent="0.25">
      <c r="A128" s="8"/>
      <c r="B128" s="9"/>
      <c r="C128" s="8"/>
      <c r="D128" s="10"/>
      <c r="E128" s="701"/>
      <c r="F128" s="10"/>
      <c r="G128" s="10"/>
      <c r="H128" s="8" t="e">
        <f>инфо!#REF!</f>
        <v>#REF!</v>
      </c>
      <c r="I128" s="8" t="e">
        <f>инфо!#REF!</f>
        <v>#REF!</v>
      </c>
      <c r="J128" s="11"/>
      <c r="K128" s="12"/>
      <c r="L128" s="69"/>
      <c r="M128" s="73"/>
    </row>
    <row r="129" spans="1:13" ht="6" customHeight="1" outlineLevel="1" x14ac:dyDescent="0.25">
      <c r="A129" s="8"/>
      <c r="B129" s="9"/>
      <c r="C129" s="8"/>
      <c r="D129" s="10"/>
      <c r="E129" s="701"/>
      <c r="F129" s="10"/>
      <c r="G129" s="10"/>
      <c r="H129" s="8" t="e">
        <f>инфо!#REF!</f>
        <v>#REF!</v>
      </c>
      <c r="I129" s="8" t="e">
        <f>инфо!#REF!</f>
        <v>#REF!</v>
      </c>
      <c r="J129" s="11"/>
      <c r="K129" s="12"/>
      <c r="L129" s="69"/>
      <c r="M129" s="73"/>
    </row>
    <row r="130" spans="1:13" ht="6" customHeight="1" outlineLevel="1" x14ac:dyDescent="0.25">
      <c r="A130" s="8"/>
      <c r="B130" s="9"/>
      <c r="C130" s="8"/>
      <c r="D130" s="10"/>
      <c r="E130" s="701"/>
      <c r="F130" s="10"/>
      <c r="G130" s="10"/>
      <c r="H130" s="8" t="e">
        <f>инфо!#REF!</f>
        <v>#REF!</v>
      </c>
      <c r="I130" s="8" t="e">
        <f>инфо!#REF!</f>
        <v>#REF!</v>
      </c>
      <c r="J130" s="11"/>
      <c r="K130" s="12"/>
      <c r="L130" s="69"/>
      <c r="M130" s="73"/>
    </row>
    <row r="131" spans="1:13" ht="6" customHeight="1" outlineLevel="1" x14ac:dyDescent="0.25">
      <c r="A131" s="8"/>
      <c r="B131" s="9"/>
      <c r="C131" s="8"/>
      <c r="D131" s="10"/>
      <c r="E131" s="701"/>
      <c r="F131" s="10"/>
      <c r="G131" s="10"/>
      <c r="H131" s="8" t="e">
        <f>инфо!#REF!</f>
        <v>#REF!</v>
      </c>
      <c r="I131" s="8" t="e">
        <f>инфо!#REF!</f>
        <v>#REF!</v>
      </c>
      <c r="J131" s="11"/>
      <c r="K131" s="12"/>
      <c r="L131" s="69"/>
      <c r="M131" s="73"/>
    </row>
    <row r="132" spans="1:13" ht="6" customHeight="1" outlineLevel="1" x14ac:dyDescent="0.25">
      <c r="A132" s="8"/>
      <c r="B132" s="9"/>
      <c r="C132" s="8"/>
      <c r="D132" s="10"/>
      <c r="E132" s="701"/>
      <c r="F132" s="10"/>
      <c r="G132" s="10"/>
      <c r="H132" s="8" t="e">
        <f>инфо!#REF!</f>
        <v>#REF!</v>
      </c>
      <c r="I132" s="8" t="e">
        <f>инфо!#REF!</f>
        <v>#REF!</v>
      </c>
      <c r="J132" s="11"/>
      <c r="K132" s="12"/>
      <c r="L132" s="69"/>
      <c r="M132" s="73"/>
    </row>
    <row r="133" spans="1:13" ht="6" customHeight="1" outlineLevel="1" x14ac:dyDescent="0.25">
      <c r="A133" s="8"/>
      <c r="B133" s="9"/>
      <c r="C133" s="8"/>
      <c r="D133" s="10"/>
      <c r="E133" s="701"/>
      <c r="F133" s="10"/>
      <c r="G133" s="10"/>
      <c r="H133" s="8" t="e">
        <f>инфо!#REF!</f>
        <v>#REF!</v>
      </c>
      <c r="I133" s="8" t="e">
        <f>инфо!#REF!</f>
        <v>#REF!</v>
      </c>
      <c r="J133" s="11"/>
      <c r="K133" s="12"/>
      <c r="L133" s="69"/>
      <c r="M133" s="73"/>
    </row>
    <row r="134" spans="1:13" ht="6" customHeight="1" outlineLevel="1" x14ac:dyDescent="0.25">
      <c r="A134" s="8"/>
      <c r="B134" s="9"/>
      <c r="C134" s="8"/>
      <c r="D134" s="10"/>
      <c r="E134" s="701"/>
      <c r="F134" s="10"/>
      <c r="G134" s="10"/>
      <c r="H134" s="8" t="e">
        <f>инфо!#REF!</f>
        <v>#REF!</v>
      </c>
      <c r="I134" s="8" t="e">
        <f>инфо!#REF!</f>
        <v>#REF!</v>
      </c>
      <c r="J134" s="11"/>
      <c r="K134" s="12"/>
      <c r="L134" s="69"/>
      <c r="M134" s="73"/>
    </row>
    <row r="135" spans="1:13" ht="6" customHeight="1" outlineLevel="1" x14ac:dyDescent="0.25">
      <c r="A135" s="8"/>
      <c r="B135" s="9"/>
      <c r="C135" s="8"/>
      <c r="D135" s="10"/>
      <c r="E135" s="701"/>
      <c r="F135" s="10"/>
      <c r="G135" s="10"/>
      <c r="H135" s="8" t="e">
        <f>инфо!#REF!</f>
        <v>#REF!</v>
      </c>
      <c r="I135" s="8" t="e">
        <f>инфо!#REF!</f>
        <v>#REF!</v>
      </c>
      <c r="J135" s="11"/>
      <c r="K135" s="12"/>
      <c r="L135" s="69"/>
      <c r="M135" s="73"/>
    </row>
    <row r="136" spans="1:13" ht="6" customHeight="1" outlineLevel="1" x14ac:dyDescent="0.25">
      <c r="A136" s="8"/>
      <c r="B136" s="9"/>
      <c r="C136" s="8"/>
      <c r="D136" s="10"/>
      <c r="E136" s="701"/>
      <c r="F136" s="10"/>
      <c r="G136" s="10"/>
      <c r="H136" s="8" t="e">
        <f>инфо!#REF!</f>
        <v>#REF!</v>
      </c>
      <c r="I136" s="8" t="e">
        <f>инфо!#REF!</f>
        <v>#REF!</v>
      </c>
      <c r="J136" s="11"/>
      <c r="K136" s="12"/>
      <c r="L136" s="69"/>
      <c r="M136" s="73"/>
    </row>
    <row r="137" spans="1:13" ht="6" customHeight="1" outlineLevel="1" x14ac:dyDescent="0.25">
      <c r="A137" s="8"/>
      <c r="B137" s="9"/>
      <c r="C137" s="8"/>
      <c r="D137" s="10"/>
      <c r="E137" s="701"/>
      <c r="F137" s="10"/>
      <c r="G137" s="10"/>
      <c r="H137" s="8" t="e">
        <f>инфо!#REF!</f>
        <v>#REF!</v>
      </c>
      <c r="I137" s="8" t="e">
        <f>инфо!#REF!</f>
        <v>#REF!</v>
      </c>
      <c r="J137" s="11"/>
      <c r="K137" s="12"/>
      <c r="L137" s="69"/>
      <c r="M137" s="73"/>
    </row>
    <row r="138" spans="1:13" ht="6" customHeight="1" outlineLevel="1" x14ac:dyDescent="0.25">
      <c r="A138" s="8"/>
      <c r="B138" s="9"/>
      <c r="C138" s="8"/>
      <c r="D138" s="10"/>
      <c r="E138" s="701"/>
      <c r="F138" s="10"/>
      <c r="G138" s="10"/>
      <c r="H138" s="8" t="e">
        <f>инфо!#REF!</f>
        <v>#REF!</v>
      </c>
      <c r="I138" s="8" t="e">
        <f>инфо!#REF!</f>
        <v>#REF!</v>
      </c>
      <c r="J138" s="11"/>
      <c r="K138" s="12"/>
      <c r="L138" s="69"/>
      <c r="M138" s="73"/>
    </row>
    <row r="139" spans="1:13" ht="6" customHeight="1" outlineLevel="1" x14ac:dyDescent="0.25">
      <c r="A139" s="8"/>
      <c r="B139" s="9"/>
      <c r="C139" s="8"/>
      <c r="D139" s="10"/>
      <c r="E139" s="701"/>
      <c r="F139" s="10"/>
      <c r="G139" s="10"/>
      <c r="H139" s="8" t="e">
        <f>инфо!#REF!</f>
        <v>#REF!</v>
      </c>
      <c r="I139" s="8" t="e">
        <f>инфо!#REF!</f>
        <v>#REF!</v>
      </c>
      <c r="J139" s="11"/>
      <c r="K139" s="12"/>
      <c r="L139" s="69"/>
      <c r="M139" s="73"/>
    </row>
    <row r="140" spans="1:13" ht="6" customHeight="1" outlineLevel="1" x14ac:dyDescent="0.25">
      <c r="A140" s="8"/>
      <c r="B140" s="9"/>
      <c r="C140" s="8"/>
      <c r="D140" s="10"/>
      <c r="E140" s="701"/>
      <c r="F140" s="10"/>
      <c r="G140" s="10"/>
      <c r="H140" s="8" t="e">
        <f>инфо!#REF!</f>
        <v>#REF!</v>
      </c>
      <c r="I140" s="8" t="e">
        <f>инфо!#REF!</f>
        <v>#REF!</v>
      </c>
      <c r="J140" s="11"/>
      <c r="K140" s="12"/>
      <c r="L140" s="69"/>
      <c r="M140" s="73"/>
    </row>
    <row r="141" spans="1:13" ht="6" customHeight="1" outlineLevel="1" x14ac:dyDescent="0.25">
      <c r="A141" s="8"/>
      <c r="B141" s="9"/>
      <c r="C141" s="8"/>
      <c r="D141" s="10"/>
      <c r="E141" s="701"/>
      <c r="F141" s="10"/>
      <c r="G141" s="10"/>
      <c r="H141" s="8" t="e">
        <f>инфо!#REF!</f>
        <v>#REF!</v>
      </c>
      <c r="I141" s="8" t="e">
        <f>инфо!#REF!</f>
        <v>#REF!</v>
      </c>
      <c r="J141" s="11"/>
      <c r="K141" s="12"/>
      <c r="L141" s="69"/>
      <c r="M141" s="73"/>
    </row>
    <row r="142" spans="1:13" ht="6" customHeight="1" outlineLevel="1" x14ac:dyDescent="0.25">
      <c r="A142" s="8"/>
      <c r="B142" s="9"/>
      <c r="C142" s="8"/>
      <c r="D142" s="10"/>
      <c r="E142" s="701"/>
      <c r="F142" s="10"/>
      <c r="G142" s="10"/>
      <c r="H142" s="8" t="e">
        <f>инфо!#REF!</f>
        <v>#REF!</v>
      </c>
      <c r="I142" s="8" t="e">
        <f>инфо!#REF!</f>
        <v>#REF!</v>
      </c>
      <c r="J142" s="11"/>
      <c r="K142" s="12"/>
      <c r="L142" s="69"/>
      <c r="M142" s="73"/>
    </row>
    <row r="143" spans="1:13" ht="6" customHeight="1" outlineLevel="1" x14ac:dyDescent="0.25">
      <c r="A143" s="8"/>
      <c r="B143" s="9"/>
      <c r="C143" s="8"/>
      <c r="D143" s="10"/>
      <c r="E143" s="701"/>
      <c r="F143" s="10"/>
      <c r="G143" s="10"/>
      <c r="H143" s="8" t="e">
        <f>инфо!#REF!</f>
        <v>#REF!</v>
      </c>
      <c r="I143" s="8" t="e">
        <f>инфо!#REF!</f>
        <v>#REF!</v>
      </c>
      <c r="J143" s="11"/>
      <c r="K143" s="12"/>
      <c r="L143" s="69"/>
      <c r="M143" s="73"/>
    </row>
    <row r="144" spans="1:13" ht="6" customHeight="1" outlineLevel="1" x14ac:dyDescent="0.25">
      <c r="A144" s="8"/>
      <c r="B144" s="9"/>
      <c r="C144" s="8"/>
      <c r="D144" s="10"/>
      <c r="E144" s="701"/>
      <c r="F144" s="10"/>
      <c r="G144" s="10"/>
      <c r="H144" s="8" t="e">
        <f>инфо!#REF!</f>
        <v>#REF!</v>
      </c>
      <c r="I144" s="8" t="e">
        <f>инфо!#REF!</f>
        <v>#REF!</v>
      </c>
      <c r="J144" s="11"/>
      <c r="K144" s="12"/>
      <c r="L144" s="69"/>
      <c r="M144" s="73"/>
    </row>
    <row r="145" spans="1:14" ht="6" customHeight="1" outlineLevel="1" x14ac:dyDescent="0.25">
      <c r="A145" s="8"/>
      <c r="B145" s="9"/>
      <c r="C145" s="8"/>
      <c r="D145" s="10"/>
      <c r="E145" s="701"/>
      <c r="F145" s="10"/>
      <c r="G145" s="10"/>
      <c r="H145" s="8" t="e">
        <f>инфо!#REF!</f>
        <v>#REF!</v>
      </c>
      <c r="I145" s="8" t="e">
        <f>инфо!#REF!</f>
        <v>#REF!</v>
      </c>
      <c r="J145" s="11"/>
      <c r="K145" s="12"/>
      <c r="L145" s="69"/>
      <c r="M145" s="73"/>
    </row>
    <row r="146" spans="1:14" ht="6" customHeight="1" outlineLevel="1" x14ac:dyDescent="0.25">
      <c r="A146" s="8"/>
      <c r="B146" s="9"/>
      <c r="C146" s="8"/>
      <c r="D146" s="10"/>
      <c r="E146" s="701"/>
      <c r="F146" s="10"/>
      <c r="G146" s="10"/>
      <c r="H146" s="8" t="e">
        <f>инфо!#REF!</f>
        <v>#REF!</v>
      </c>
      <c r="I146" s="8" t="e">
        <f>инфо!#REF!</f>
        <v>#REF!</v>
      </c>
      <c r="J146" s="11"/>
      <c r="K146" s="12"/>
      <c r="L146" s="69"/>
      <c r="M146" s="73"/>
    </row>
    <row r="147" spans="1:14" ht="6" customHeight="1" outlineLevel="1" x14ac:dyDescent="0.25">
      <c r="A147" s="8"/>
      <c r="B147" s="9"/>
      <c r="C147" s="8"/>
      <c r="D147" s="10"/>
      <c r="E147" s="701"/>
      <c r="F147" s="10"/>
      <c r="G147" s="10"/>
      <c r="H147" s="8" t="e">
        <f>инфо!#REF!</f>
        <v>#REF!</v>
      </c>
      <c r="I147" s="8" t="e">
        <f>инфо!#REF!</f>
        <v>#REF!</v>
      </c>
      <c r="J147" s="11"/>
      <c r="K147" s="12"/>
      <c r="L147" s="69"/>
      <c r="M147" s="73"/>
    </row>
    <row r="148" spans="1:14" ht="6" customHeight="1" outlineLevel="1" x14ac:dyDescent="0.25">
      <c r="A148" s="8"/>
      <c r="B148" s="9"/>
      <c r="C148" s="8"/>
      <c r="D148" s="10"/>
      <c r="E148" s="701"/>
      <c r="F148" s="10"/>
      <c r="G148" s="10"/>
      <c r="H148" s="8" t="e">
        <f>инфо!#REF!</f>
        <v>#REF!</v>
      </c>
      <c r="I148" s="8" t="e">
        <f>инфо!#REF!</f>
        <v>#REF!</v>
      </c>
      <c r="J148" s="11"/>
      <c r="K148" s="12"/>
      <c r="L148" s="69"/>
      <c r="M148" s="73"/>
    </row>
    <row r="149" spans="1:14" ht="6" customHeight="1" outlineLevel="1" x14ac:dyDescent="0.25">
      <c r="A149" s="8"/>
      <c r="B149" s="9"/>
      <c r="C149" s="8"/>
      <c r="D149" s="10"/>
      <c r="E149" s="701"/>
      <c r="F149" s="10"/>
      <c r="G149" s="10"/>
      <c r="H149" s="8" t="e">
        <f>инфо!#REF!</f>
        <v>#REF!</v>
      </c>
      <c r="I149" s="8" t="e">
        <f>инфо!#REF!</f>
        <v>#REF!</v>
      </c>
      <c r="J149" s="11"/>
      <c r="K149" s="12"/>
      <c r="L149" s="69"/>
      <c r="M149" s="73"/>
    </row>
    <row r="150" spans="1:14" ht="6" customHeight="1" outlineLevel="1" x14ac:dyDescent="0.25">
      <c r="A150" s="8"/>
      <c r="B150" s="9"/>
      <c r="C150" s="8"/>
      <c r="D150" s="10"/>
      <c r="E150" s="701"/>
      <c r="F150" s="10"/>
      <c r="G150" s="10"/>
      <c r="H150" s="8" t="e">
        <f>инфо!#REF!</f>
        <v>#REF!</v>
      </c>
      <c r="I150" s="8" t="e">
        <f>инфо!#REF!</f>
        <v>#REF!</v>
      </c>
      <c r="J150" s="11"/>
      <c r="K150" s="12"/>
      <c r="L150" s="69"/>
      <c r="M150" s="73"/>
    </row>
    <row r="151" spans="1:14" x14ac:dyDescent="0.25">
      <c r="B151" s="13">
        <v>45078</v>
      </c>
      <c r="C151" t="s">
        <v>27</v>
      </c>
      <c r="D151" s="14" t="s">
        <v>28</v>
      </c>
      <c r="E151" s="13"/>
      <c r="F151" s="14"/>
      <c r="G151" s="14"/>
      <c r="H151" t="s">
        <v>29</v>
      </c>
      <c r="I151" t="str">
        <f>VLOOKUP($H151,инфо!$P:$Q,2,FALSE)</f>
        <v>Горох</v>
      </c>
      <c r="J151" s="15" t="str">
        <f>VLOOKUP(I151,инфо!C:E,3,FALSE)</f>
        <v>кг</v>
      </c>
      <c r="K151" s="16"/>
      <c r="L151" s="70">
        <v>50</v>
      </c>
      <c r="M151" s="74"/>
      <c r="N151" s="77" t="str">
        <f>IF(M151&lt;&gt;"",SUMIF($H$1:$H151,$H151,L$1:L151)-SUMIF($H$1:$H151,$H151,M$1:M151),"")</f>
        <v/>
      </c>
    </row>
    <row r="152" spans="1:14" x14ac:dyDescent="0.25">
      <c r="B152" s="13">
        <v>45117</v>
      </c>
      <c r="C152" t="s">
        <v>27</v>
      </c>
      <c r="D152" s="14" t="s">
        <v>28</v>
      </c>
      <c r="E152" s="13"/>
      <c r="F152" s="14"/>
      <c r="G152" s="14"/>
      <c r="H152" t="s">
        <v>43</v>
      </c>
      <c r="I152" t="str">
        <f>VLOOKUP($H152,инфо!$P:$Q,2,FALSE)</f>
        <v>Гречневая</v>
      </c>
      <c r="J152" s="15" t="str">
        <f>VLOOKUP(I152,инфо!C:E,3,FALSE)</f>
        <v>кг</v>
      </c>
      <c r="K152" s="16"/>
      <c r="L152" s="70">
        <v>60</v>
      </c>
      <c r="M152" s="74"/>
      <c r="N152" s="77" t="str">
        <f>IF(M152&lt;&gt;"",SUMIF($H$1:$H152,$H152,L$1:L152)-SUMIF($H$1:$H152,$H152,M$1:M152),"")</f>
        <v/>
      </c>
    </row>
    <row r="153" spans="1:14" x14ac:dyDescent="0.25">
      <c r="B153" s="13">
        <v>45117</v>
      </c>
      <c r="C153" t="s">
        <v>27</v>
      </c>
      <c r="D153" s="14" t="s">
        <v>28</v>
      </c>
      <c r="E153" s="13"/>
      <c r="F153" s="14"/>
      <c r="G153" s="14"/>
      <c r="H153" t="s">
        <v>44</v>
      </c>
      <c r="I153" t="str">
        <f>VLOOKUP($H153,инфо!$P:$Q,2,FALSE)</f>
        <v>Манная</v>
      </c>
      <c r="J153" s="15" t="str">
        <f>VLOOKUP(I153,инфо!C:E,3,FALSE)</f>
        <v>кг</v>
      </c>
      <c r="K153" s="16"/>
      <c r="L153" s="70">
        <v>40</v>
      </c>
      <c r="M153" s="74"/>
      <c r="N153" s="77" t="str">
        <f>IF(M153&lt;&gt;"",SUMIF($H$1:$H153,$H153,L$1:L153)-SUMIF($H$1:$H153,$H153,M$1:M153),"")</f>
        <v/>
      </c>
    </row>
    <row r="154" spans="1:14" x14ac:dyDescent="0.25">
      <c r="B154" s="13">
        <v>45117</v>
      </c>
      <c r="C154" t="s">
        <v>27</v>
      </c>
      <c r="D154" s="14" t="s">
        <v>28</v>
      </c>
      <c r="E154" s="13"/>
      <c r="F154" s="14"/>
      <c r="G154" s="14"/>
      <c r="H154" t="s">
        <v>30</v>
      </c>
      <c r="I154" t="str">
        <f>VLOOKUP($H154,инфо!$P:$Q,2,FALSE)</f>
        <v>Овсяная</v>
      </c>
      <c r="J154" s="15" t="str">
        <f>VLOOKUP(I154,инфо!C:E,3,FALSE)</f>
        <v>кг</v>
      </c>
      <c r="K154" s="16"/>
      <c r="L154" s="70">
        <v>67</v>
      </c>
      <c r="M154" s="74"/>
      <c r="N154" s="77" t="str">
        <f>IF(M154&lt;&gt;"",SUMIF($H$1:$H154,$H154,L$1:L154)-SUMIF($H$1:$H154,$H154,M$1:M154),"")</f>
        <v/>
      </c>
    </row>
    <row r="155" spans="1:14" x14ac:dyDescent="0.25">
      <c r="B155" s="13">
        <v>45110</v>
      </c>
      <c r="C155" t="s">
        <v>27</v>
      </c>
      <c r="D155" s="14" t="s">
        <v>28</v>
      </c>
      <c r="E155" s="13"/>
      <c r="F155" s="14"/>
      <c r="G155" s="14"/>
      <c r="H155" t="s">
        <v>35</v>
      </c>
      <c r="I155" t="str">
        <f>VLOOKUP($H155,инфо!$P:$Q,2,FALSE)</f>
        <v>Перловая</v>
      </c>
      <c r="J155" s="15" t="str">
        <f>VLOOKUP(I155,инфо!C:E,3,FALSE)</f>
        <v>кг</v>
      </c>
      <c r="K155" s="16"/>
      <c r="L155" s="70">
        <v>88</v>
      </c>
      <c r="M155" s="74"/>
      <c r="N155" s="77" t="str">
        <f>IF(M155&lt;&gt;"",SUMIF($H$1:$H155,$H155,L$1:L155)-SUMIF($H$1:$H155,$H155,M$1:M155),"")</f>
        <v/>
      </c>
    </row>
    <row r="156" spans="1:14" x14ac:dyDescent="0.25">
      <c r="B156" s="13">
        <v>45110</v>
      </c>
      <c r="C156" t="s">
        <v>27</v>
      </c>
      <c r="D156" s="14" t="s">
        <v>28</v>
      </c>
      <c r="E156" s="13"/>
      <c r="F156" s="14"/>
      <c r="G156" s="14"/>
      <c r="H156" t="s">
        <v>37</v>
      </c>
      <c r="I156" t="str">
        <f>VLOOKUP($H156,инфо!$P:$Q,2,FALSE)</f>
        <v>Пшено</v>
      </c>
      <c r="J156" s="15" t="str">
        <f>VLOOKUP(I156,инфо!C:E,3,FALSE)</f>
        <v>кг</v>
      </c>
      <c r="K156" s="16"/>
      <c r="L156" s="70">
        <v>56</v>
      </c>
      <c r="M156" s="74"/>
      <c r="N156" s="77" t="str">
        <f>IF(M156&lt;&gt;"",SUMIF($H$1:$H156,$H156,L$1:L156)-SUMIF($H$1:$H156,$H156,M$1:M156),"")</f>
        <v/>
      </c>
    </row>
    <row r="157" spans="1:14" x14ac:dyDescent="0.25">
      <c r="B157" s="13">
        <v>45117</v>
      </c>
      <c r="C157" t="s">
        <v>27</v>
      </c>
      <c r="D157" s="14" t="s">
        <v>28</v>
      </c>
      <c r="E157" s="13"/>
      <c r="F157" s="14"/>
      <c r="G157" s="14"/>
      <c r="H157" t="s">
        <v>31</v>
      </c>
      <c r="I157" t="str">
        <f>VLOOKUP($H157,инфо!$P:$Q,2,FALSE)</f>
        <v>Рис</v>
      </c>
      <c r="J157" s="15" t="str">
        <f>VLOOKUP(I157,инфо!C:E,3,FALSE)</f>
        <v>кг</v>
      </c>
      <c r="K157" s="16"/>
      <c r="L157" s="70">
        <v>77</v>
      </c>
      <c r="M157" s="74"/>
      <c r="N157" s="77" t="str">
        <f>IF(M157&lt;&gt;"",SUMIF($H$1:$H157,$H157,L$1:L157)-SUMIF($H$1:$H157,$H157,M$1:M157),"")</f>
        <v/>
      </c>
    </row>
    <row r="158" spans="1:14" x14ac:dyDescent="0.25">
      <c r="B158" s="13">
        <v>45117</v>
      </c>
      <c r="C158" t="s">
        <v>27</v>
      </c>
      <c r="D158" s="14" t="s">
        <v>28</v>
      </c>
      <c r="E158" s="13"/>
      <c r="F158" s="14"/>
      <c r="G158" s="14"/>
      <c r="H158" t="s">
        <v>45</v>
      </c>
      <c r="I158" t="str">
        <f>VLOOKUP($H158,инфо!$P:$Q,2,FALSE)</f>
        <v>Ячневая</v>
      </c>
      <c r="J158" s="15" t="str">
        <f>VLOOKUP(I158,инфо!C:E,3,FALSE)</f>
        <v>кг</v>
      </c>
      <c r="K158" s="16"/>
      <c r="L158" s="70">
        <v>56</v>
      </c>
      <c r="M158" s="74"/>
      <c r="N158" s="77" t="str">
        <f>IF(M158&lt;&gt;"",SUMIF($H$1:$H158,$H158,L$1:L158)-SUMIF($H$1:$H158,$H158,M$1:M158),"")</f>
        <v/>
      </c>
    </row>
    <row r="159" spans="1:14" x14ac:dyDescent="0.25">
      <c r="B159" s="13">
        <v>45110</v>
      </c>
      <c r="C159" t="s">
        <v>27</v>
      </c>
      <c r="D159" s="14" t="s">
        <v>28</v>
      </c>
      <c r="E159" s="13"/>
      <c r="F159" s="14"/>
      <c r="G159" s="14"/>
      <c r="H159" t="s">
        <v>46</v>
      </c>
      <c r="I159" t="str">
        <f>VLOOKUP($H159,инфо!$P:$Q,2,FALSE)</f>
        <v>Макаронные изделия</v>
      </c>
      <c r="J159" s="15" t="str">
        <f>VLOOKUP(I159,инфо!C:E,3,FALSE)</f>
        <v>кг</v>
      </c>
      <c r="K159" s="16"/>
      <c r="L159" s="70">
        <v>100</v>
      </c>
      <c r="M159" s="74"/>
      <c r="N159" s="77" t="str">
        <f>IF(M159&lt;&gt;"",SUMIF($H$1:$H159,$H159,L$1:L159)-SUMIF($H$1:$H159,$H159,M$1:M159),"")</f>
        <v/>
      </c>
    </row>
    <row r="160" spans="1:14" x14ac:dyDescent="0.25">
      <c r="B160" s="13">
        <v>45110</v>
      </c>
      <c r="C160" t="s">
        <v>27</v>
      </c>
      <c r="D160" s="14" t="s">
        <v>28</v>
      </c>
      <c r="E160" s="13"/>
      <c r="F160" s="14"/>
      <c r="G160" s="14"/>
      <c r="H160" t="s">
        <v>48</v>
      </c>
      <c r="I160" t="str">
        <f>VLOOKUP($H160,инфо!$P:$Q,2,FALSE)</f>
        <v>Горошек, фасоль, кукуруза консервированные</v>
      </c>
      <c r="J160" s="15" t="str">
        <f>VLOOKUP(I160,инфо!C:E,3,FALSE)</f>
        <v>кг</v>
      </c>
      <c r="K160" s="16"/>
      <c r="L160" s="70">
        <v>80</v>
      </c>
      <c r="M160" s="74"/>
      <c r="N160" s="77" t="str">
        <f>IF(M160&lt;&gt;"",SUMIF($H$1:$H160,$H160,L$1:L160)-SUMIF($H$1:$H160,$H160,M$1:M160),"")</f>
        <v/>
      </c>
    </row>
    <row r="161" spans="2:14" x14ac:dyDescent="0.25">
      <c r="B161" s="13">
        <v>45117</v>
      </c>
      <c r="C161" t="s">
        <v>27</v>
      </c>
      <c r="D161" s="14" t="s">
        <v>28</v>
      </c>
      <c r="E161" s="13"/>
      <c r="F161" s="14"/>
      <c r="G161" s="14"/>
      <c r="H161" t="s">
        <v>49</v>
      </c>
      <c r="I161" t="str">
        <f>VLOOKUP($H161,инфо!$P:$Q,2,FALSE)</f>
        <v>Капуста свежая/кваш.</v>
      </c>
      <c r="J161" s="15" t="str">
        <f>VLOOKUP(I161,инфо!C:E,3,FALSE)</f>
        <v>кг</v>
      </c>
      <c r="K161" s="16"/>
      <c r="L161" s="70">
        <v>50</v>
      </c>
      <c r="M161" s="74"/>
      <c r="N161" s="77" t="str">
        <f>IF(M161&lt;&gt;"",SUMIF($H$1:$H161,$H161,L$1:L161)-SUMIF($H$1:$H161,$H161,M$1:M161),"")</f>
        <v/>
      </c>
    </row>
    <row r="162" spans="2:14" x14ac:dyDescent="0.25">
      <c r="B162" s="13">
        <v>45097</v>
      </c>
      <c r="C162" t="s">
        <v>27</v>
      </c>
      <c r="D162" s="14" t="s">
        <v>28</v>
      </c>
      <c r="E162" s="13"/>
      <c r="F162" s="14"/>
      <c r="G162" s="14"/>
      <c r="H162" t="s">
        <v>50</v>
      </c>
      <c r="I162" t="str">
        <f>VLOOKUP($H162,инфо!$P:$Q,2,FALSE)</f>
        <v>Картофель</v>
      </c>
      <c r="J162" s="15" t="str">
        <f>VLOOKUP(I162,инфо!C:E,3,FALSE)</f>
        <v>кг</v>
      </c>
      <c r="K162" s="16"/>
      <c r="L162" s="70">
        <v>200</v>
      </c>
      <c r="M162" s="74"/>
      <c r="N162" s="77" t="str">
        <f>IF(M162&lt;&gt;"",SUMIF($H$1:$H162,$H162,L$1:L162)-SUMIF($H$1:$H162,$H162,M$1:M162),"")</f>
        <v/>
      </c>
    </row>
    <row r="163" spans="2:14" x14ac:dyDescent="0.25">
      <c r="B163" s="13">
        <v>45117</v>
      </c>
      <c r="C163" t="s">
        <v>27</v>
      </c>
      <c r="D163" s="14" t="s">
        <v>28</v>
      </c>
      <c r="E163" s="13"/>
      <c r="F163" s="14"/>
      <c r="G163" s="14"/>
      <c r="H163" t="s">
        <v>36</v>
      </c>
      <c r="I163" t="str">
        <f>VLOOKUP($H163,инфо!$P:$Q,2,FALSE)</f>
        <v>Лук репчатый</v>
      </c>
      <c r="J163" s="15" t="str">
        <f>VLOOKUP(I163,инфо!C:E,3,FALSE)</f>
        <v>кг</v>
      </c>
      <c r="K163" s="16"/>
      <c r="L163" s="70">
        <v>54</v>
      </c>
      <c r="M163" s="74"/>
      <c r="N163" s="77" t="str">
        <f>IF(M163&lt;&gt;"",SUMIF($H$1:$H163,$H163,L$1:L163)-SUMIF($H$1:$H163,$H163,M$1:M163),"")</f>
        <v/>
      </c>
    </row>
    <row r="164" spans="2:14" x14ac:dyDescent="0.25">
      <c r="B164" s="13">
        <v>45117</v>
      </c>
      <c r="C164" t="s">
        <v>27</v>
      </c>
      <c r="D164" s="14" t="s">
        <v>28</v>
      </c>
      <c r="E164" s="13"/>
      <c r="F164" s="14"/>
      <c r="G164" s="14"/>
      <c r="H164" t="s">
        <v>51</v>
      </c>
      <c r="I164" t="str">
        <f>VLOOKUP($H164,инфо!$P:$Q,2,FALSE)</f>
        <v>Морковь</v>
      </c>
      <c r="J164" s="15" t="str">
        <f>VLOOKUP(I164,инфо!C:E,3,FALSE)</f>
        <v>кг</v>
      </c>
      <c r="K164" s="16"/>
      <c r="L164" s="70">
        <v>92</v>
      </c>
      <c r="M164" s="74"/>
      <c r="N164" s="77" t="str">
        <f>IF(M164&lt;&gt;"",SUMIF($H$1:$H164,$H164,L$1:L164)-SUMIF($H$1:$H164,$H164,M$1:M164),"")</f>
        <v/>
      </c>
    </row>
    <row r="165" spans="2:14" x14ac:dyDescent="0.25">
      <c r="B165" s="13">
        <v>45078</v>
      </c>
      <c r="C165" t="s">
        <v>27</v>
      </c>
      <c r="D165" s="14" t="s">
        <v>28</v>
      </c>
      <c r="E165" s="13"/>
      <c r="F165" s="14"/>
      <c r="G165" s="14"/>
      <c r="H165" t="s">
        <v>257</v>
      </c>
      <c r="I165" t="str">
        <f>VLOOKUP($H165,инфо!$P:$Q,2,FALSE)</f>
        <v>Огурцы свежие/соленые</v>
      </c>
      <c r="J165" s="15" t="str">
        <f>VLOOKUP(I165,инфо!C:E,3,FALSE)</f>
        <v>кг</v>
      </c>
      <c r="K165" s="16"/>
      <c r="L165" s="70">
        <v>30</v>
      </c>
      <c r="M165" s="74"/>
      <c r="N165" s="77" t="str">
        <f t="shared" ref="N165:N205" si="0">IF(M165&lt;&gt;"",SUMIF($H:$H,$H165,L:L)-SUMIF($H:$H,$H165,M:M),"")</f>
        <v/>
      </c>
    </row>
    <row r="166" spans="2:14" x14ac:dyDescent="0.25">
      <c r="B166" s="13">
        <v>45117</v>
      </c>
      <c r="C166" t="s">
        <v>27</v>
      </c>
      <c r="D166" s="14" t="s">
        <v>28</v>
      </c>
      <c r="E166" s="13"/>
      <c r="F166" s="14"/>
      <c r="G166" s="14"/>
      <c r="H166" t="s">
        <v>52</v>
      </c>
      <c r="I166" t="str">
        <f>VLOOKUP($H166,инфо!$P:$Q,2,FALSE)</f>
        <v>Помидоры свежие/конс.</v>
      </c>
      <c r="J166" s="15" t="str">
        <f>VLOOKUP(I166,инфо!C:E,3,FALSE)</f>
        <v>кг</v>
      </c>
      <c r="K166" s="16"/>
      <c r="L166" s="70">
        <v>70</v>
      </c>
      <c r="M166" s="74"/>
      <c r="N166" s="77" t="str">
        <f t="shared" si="0"/>
        <v/>
      </c>
    </row>
    <row r="167" spans="2:14" x14ac:dyDescent="0.25">
      <c r="B167" s="13">
        <v>45117</v>
      </c>
      <c r="C167" t="s">
        <v>27</v>
      </c>
      <c r="D167" s="14" t="s">
        <v>28</v>
      </c>
      <c r="E167" s="13"/>
      <c r="F167" s="14"/>
      <c r="G167" s="14"/>
      <c r="H167" t="s">
        <v>53</v>
      </c>
      <c r="I167" t="str">
        <f>VLOOKUP($H167,инфо!$P:$Q,2,FALSE)</f>
        <v>Свекла</v>
      </c>
      <c r="J167" s="15" t="str">
        <f>VLOOKUP(I167,инфо!C:E,3,FALSE)</f>
        <v>кг</v>
      </c>
      <c r="K167" s="16"/>
      <c r="L167" s="70">
        <v>31</v>
      </c>
      <c r="M167" s="74"/>
      <c r="N167" s="77" t="str">
        <f t="shared" si="0"/>
        <v/>
      </c>
    </row>
    <row r="168" spans="2:14" x14ac:dyDescent="0.25">
      <c r="B168" s="13">
        <v>45110</v>
      </c>
      <c r="C168" t="s">
        <v>27</v>
      </c>
      <c r="D168" s="14" t="s">
        <v>28</v>
      </c>
      <c r="E168" s="13"/>
      <c r="F168" s="14"/>
      <c r="G168" s="14"/>
      <c r="H168" t="s">
        <v>54</v>
      </c>
      <c r="I168" t="str">
        <f>VLOOKUP($H168,инфо!$P:$Q,2,FALSE)</f>
        <v>Чеснок</v>
      </c>
      <c r="J168" s="15" t="str">
        <f>VLOOKUP(I168,инфо!C:E,3,FALSE)</f>
        <v>кг</v>
      </c>
      <c r="K168" s="16"/>
      <c r="L168" s="70">
        <v>13</v>
      </c>
      <c r="M168" s="74"/>
      <c r="N168" s="77" t="str">
        <f t="shared" si="0"/>
        <v/>
      </c>
    </row>
    <row r="169" spans="2:14" x14ac:dyDescent="0.25">
      <c r="B169" s="13">
        <v>45110</v>
      </c>
      <c r="C169" t="s">
        <v>27</v>
      </c>
      <c r="D169" s="14" t="s">
        <v>28</v>
      </c>
      <c r="E169" s="13"/>
      <c r="F169" s="14"/>
      <c r="G169" s="14"/>
      <c r="H169" t="s">
        <v>57</v>
      </c>
      <c r="I169" t="str">
        <f>VLOOKUP($H169,инфо!$P:$Q,2,FALSE)</f>
        <v>Хлеб дарницкий</v>
      </c>
      <c r="J169" s="15" t="str">
        <f>VLOOKUP(I169,инфо!C:E,3,FALSE)</f>
        <v>кг</v>
      </c>
      <c r="K169" s="16"/>
      <c r="L169" s="70">
        <v>70</v>
      </c>
      <c r="M169" s="74"/>
      <c r="N169" s="77" t="str">
        <f t="shared" si="0"/>
        <v/>
      </c>
    </row>
    <row r="170" spans="2:14" x14ac:dyDescent="0.25">
      <c r="B170" s="13">
        <v>45110</v>
      </c>
      <c r="C170" t="s">
        <v>27</v>
      </c>
      <c r="D170" s="14" t="s">
        <v>28</v>
      </c>
      <c r="E170" s="13"/>
      <c r="F170" s="14"/>
      <c r="G170" s="14"/>
      <c r="H170" t="s">
        <v>59</v>
      </c>
      <c r="I170" t="str">
        <f>VLOOKUP($H170,инфо!$P:$Q,2,FALSE)</f>
        <v>Молоко коровье</v>
      </c>
      <c r="J170" s="15" t="str">
        <f>VLOOKUP(I170,инфо!C:E,3,FALSE)</f>
        <v>кг</v>
      </c>
      <c r="K170" s="16"/>
      <c r="L170" s="70">
        <v>50</v>
      </c>
      <c r="M170" s="74"/>
      <c r="N170" s="77" t="str">
        <f t="shared" si="0"/>
        <v/>
      </c>
    </row>
    <row r="171" spans="2:14" x14ac:dyDescent="0.25">
      <c r="B171" s="13">
        <v>45117</v>
      </c>
      <c r="C171" t="s">
        <v>27</v>
      </c>
      <c r="D171" s="14" t="s">
        <v>28</v>
      </c>
      <c r="E171" s="13"/>
      <c r="F171" s="14"/>
      <c r="G171" s="14"/>
      <c r="H171" t="s">
        <v>59</v>
      </c>
      <c r="I171" t="str">
        <f>VLOOKUP($H171,инфо!$P:$Q,2,FALSE)</f>
        <v>Молоко коровье</v>
      </c>
      <c r="J171" s="15" t="str">
        <f>VLOOKUP(I171,инфо!C:E,3,FALSE)</f>
        <v>кг</v>
      </c>
      <c r="K171" s="16"/>
      <c r="L171" s="70">
        <v>17</v>
      </c>
      <c r="M171" s="74"/>
      <c r="N171" s="77" t="str">
        <f t="shared" si="0"/>
        <v/>
      </c>
    </row>
    <row r="172" spans="2:14" x14ac:dyDescent="0.25">
      <c r="B172" s="13">
        <v>45117</v>
      </c>
      <c r="C172" t="s">
        <v>27</v>
      </c>
      <c r="D172" s="14" t="s">
        <v>28</v>
      </c>
      <c r="E172" s="13"/>
      <c r="F172" s="14"/>
      <c r="G172" s="14"/>
      <c r="H172" t="s">
        <v>60</v>
      </c>
      <c r="I172" t="str">
        <f>VLOOKUP($H172,инфо!$P:$Q,2,FALSE)</f>
        <v>Сахар</v>
      </c>
      <c r="J172" s="15" t="str">
        <f>VLOOKUP(I172,инфо!C:E,3,FALSE)</f>
        <v>кг</v>
      </c>
      <c r="K172" s="16"/>
      <c r="L172" s="70">
        <v>90</v>
      </c>
      <c r="M172" s="74"/>
      <c r="N172" s="77" t="str">
        <f t="shared" si="0"/>
        <v/>
      </c>
    </row>
    <row r="173" spans="2:14" x14ac:dyDescent="0.25">
      <c r="B173" s="13">
        <v>45117</v>
      </c>
      <c r="C173" t="s">
        <v>27</v>
      </c>
      <c r="D173" s="14" t="s">
        <v>28</v>
      </c>
      <c r="E173" s="13"/>
      <c r="F173" s="14"/>
      <c r="G173" s="14"/>
      <c r="H173" t="s">
        <v>61</v>
      </c>
      <c r="I173" t="str">
        <f>VLOOKUP($H173,инфо!$P:$Q,2,FALSE)</f>
        <v>Сметана</v>
      </c>
      <c r="J173" s="15" t="str">
        <f>VLOOKUP(I173,инфо!C:E,3,FALSE)</f>
        <v>кг</v>
      </c>
      <c r="K173" s="16"/>
      <c r="L173" s="70">
        <v>22</v>
      </c>
      <c r="M173" s="74"/>
      <c r="N173" s="77" t="str">
        <f t="shared" si="0"/>
        <v/>
      </c>
    </row>
    <row r="174" spans="2:14" x14ac:dyDescent="0.25">
      <c r="B174" s="13">
        <v>45117</v>
      </c>
      <c r="C174" t="s">
        <v>27</v>
      </c>
      <c r="D174" s="14" t="s">
        <v>28</v>
      </c>
      <c r="E174" s="13"/>
      <c r="F174" s="14"/>
      <c r="G174" s="14"/>
      <c r="H174" t="s">
        <v>62</v>
      </c>
      <c r="I174" t="str">
        <f>VLOOKUP($H174,инфо!$P:$Q,2,FALSE)</f>
        <v>Соль</v>
      </c>
      <c r="J174" s="15" t="str">
        <f>VLOOKUP(I174,инфо!C:E,3,FALSE)</f>
        <v>кг</v>
      </c>
      <c r="K174" s="16"/>
      <c r="L174" s="70">
        <v>5</v>
      </c>
      <c r="M174" s="74"/>
      <c r="N174" s="77" t="str">
        <f t="shared" si="0"/>
        <v/>
      </c>
    </row>
    <row r="175" spans="2:14" x14ac:dyDescent="0.25">
      <c r="B175" s="13">
        <v>45097</v>
      </c>
      <c r="C175" t="s">
        <v>27</v>
      </c>
      <c r="D175" s="14" t="s">
        <v>28</v>
      </c>
      <c r="E175" s="13"/>
      <c r="F175" s="14"/>
      <c r="G175" s="14"/>
      <c r="H175" t="s">
        <v>63</v>
      </c>
      <c r="I175" t="str">
        <f>VLOOKUP($H175,инфо!$P:$Q,2,FALSE)</f>
        <v>Сыр плавленный</v>
      </c>
      <c r="J175" s="15" t="str">
        <f>VLOOKUP(I175,инфо!C:E,3,FALSE)</f>
        <v>кг</v>
      </c>
      <c r="K175" s="16"/>
      <c r="L175" s="70">
        <v>30</v>
      </c>
      <c r="M175" s="74"/>
      <c r="N175" s="77" t="str">
        <f t="shared" si="0"/>
        <v/>
      </c>
    </row>
    <row r="176" spans="2:14" x14ac:dyDescent="0.25">
      <c r="B176" s="13">
        <v>45117</v>
      </c>
      <c r="C176" t="s">
        <v>27</v>
      </c>
      <c r="D176" s="14" t="s">
        <v>28</v>
      </c>
      <c r="E176" s="13"/>
      <c r="F176" s="14"/>
      <c r="G176" s="14"/>
      <c r="H176" t="s">
        <v>64</v>
      </c>
      <c r="I176" t="str">
        <f>VLOOKUP($H176,инфо!$P:$Q,2,FALSE)</f>
        <v>Чай</v>
      </c>
      <c r="J176" s="15" t="str">
        <f>VLOOKUP(I176,инфо!C:E,3,FALSE)</f>
        <v>кг</v>
      </c>
      <c r="K176" s="16"/>
      <c r="L176" s="70">
        <v>15</v>
      </c>
      <c r="M176" s="74"/>
      <c r="N176" s="77" t="str">
        <f t="shared" si="0"/>
        <v/>
      </c>
    </row>
    <row r="177" spans="2:14" x14ac:dyDescent="0.25">
      <c r="B177" s="13">
        <v>45117</v>
      </c>
      <c r="C177" t="s">
        <v>27</v>
      </c>
      <c r="D177" s="14" t="s">
        <v>28</v>
      </c>
      <c r="E177" s="13"/>
      <c r="F177" s="14"/>
      <c r="G177" s="14"/>
      <c r="H177" t="s">
        <v>66</v>
      </c>
      <c r="I177" t="str">
        <f>VLOOKUP($H177,инфо!$P:$Q,2,FALSE)</f>
        <v>Колбаса с/к</v>
      </c>
      <c r="J177" s="15" t="str">
        <f>VLOOKUP(I177,инфо!C:E,3,FALSE)</f>
        <v>кг</v>
      </c>
      <c r="K177" s="16"/>
      <c r="L177" s="70">
        <v>20</v>
      </c>
      <c r="M177" s="74"/>
      <c r="N177" s="77" t="str">
        <f t="shared" si="0"/>
        <v/>
      </c>
    </row>
    <row r="178" spans="2:14" x14ac:dyDescent="0.25">
      <c r="B178" s="13">
        <v>45110</v>
      </c>
      <c r="C178" t="s">
        <v>27</v>
      </c>
      <c r="D178" s="14" t="s">
        <v>28</v>
      </c>
      <c r="E178" s="13"/>
      <c r="F178" s="14"/>
      <c r="G178" s="14"/>
      <c r="H178" t="s">
        <v>67</v>
      </c>
      <c r="I178" t="str">
        <f>VLOOKUP($H178,инфо!$P:$Q,2,FALSE)</f>
        <v>Масло коровье</v>
      </c>
      <c r="J178" s="15" t="str">
        <f>VLOOKUP(I178,инфо!C:E,3,FALSE)</f>
        <v>кг</v>
      </c>
      <c r="K178" s="16"/>
      <c r="L178" s="70">
        <v>22</v>
      </c>
      <c r="M178" s="74"/>
      <c r="N178" s="77" t="str">
        <f t="shared" si="0"/>
        <v/>
      </c>
    </row>
    <row r="179" spans="2:14" x14ac:dyDescent="0.25">
      <c r="B179" s="13">
        <v>45117</v>
      </c>
      <c r="C179" t="s">
        <v>27</v>
      </c>
      <c r="D179" s="14" t="s">
        <v>28</v>
      </c>
      <c r="E179" s="13"/>
      <c r="F179" s="14"/>
      <c r="G179" s="14"/>
      <c r="H179" t="s">
        <v>68</v>
      </c>
      <c r="I179" t="str">
        <f>VLOOKUP($H179,инфо!$P:$Q,2,FALSE)</f>
        <v>Масло растительное</v>
      </c>
      <c r="J179" s="15" t="str">
        <f>VLOOKUP(I179,инфо!C:E,3,FALSE)</f>
        <v>кг</v>
      </c>
      <c r="K179" s="16"/>
      <c r="L179" s="70">
        <v>41</v>
      </c>
      <c r="M179" s="74"/>
      <c r="N179" s="77" t="str">
        <f t="shared" si="0"/>
        <v/>
      </c>
    </row>
    <row r="180" spans="2:14" x14ac:dyDescent="0.25">
      <c r="B180" s="13">
        <v>45078</v>
      </c>
      <c r="C180" t="s">
        <v>27</v>
      </c>
      <c r="D180" s="14" t="s">
        <v>28</v>
      </c>
      <c r="E180" s="13"/>
      <c r="F180" s="14"/>
      <c r="G180" s="14"/>
      <c r="H180" t="s">
        <v>69</v>
      </c>
      <c r="I180" t="str">
        <f>VLOOKUP($H180,инфо!$P:$Q,2,FALSE)</f>
        <v>Сало-шпик</v>
      </c>
      <c r="J180" s="15" t="str">
        <f>VLOOKUP(I180,инфо!C:E,3,FALSE)</f>
        <v>кг</v>
      </c>
      <c r="K180" s="16"/>
      <c r="L180" s="70">
        <v>16</v>
      </c>
      <c r="M180" s="74"/>
      <c r="N180" s="77" t="str">
        <f t="shared" si="0"/>
        <v/>
      </c>
    </row>
    <row r="181" spans="2:14" x14ac:dyDescent="0.25">
      <c r="B181" s="13">
        <v>45117</v>
      </c>
      <c r="C181" t="s">
        <v>27</v>
      </c>
      <c r="D181" s="14" t="s">
        <v>28</v>
      </c>
      <c r="E181" s="13"/>
      <c r="F181" s="14"/>
      <c r="G181" s="14"/>
      <c r="H181" t="s">
        <v>70</v>
      </c>
      <c r="I181" t="str">
        <f>VLOOKUP($H181,инфо!$P:$Q,2,FALSE)</f>
        <v>Говядина б/к ,печень</v>
      </c>
      <c r="J181" s="15" t="str">
        <f>VLOOKUP(I181,инфо!C:E,3,FALSE)</f>
        <v>кг</v>
      </c>
      <c r="K181" s="16"/>
      <c r="L181" s="70">
        <v>71</v>
      </c>
      <c r="M181" s="74"/>
      <c r="N181" s="77" t="str">
        <f t="shared" si="0"/>
        <v/>
      </c>
    </row>
    <row r="182" spans="2:14" x14ac:dyDescent="0.25">
      <c r="B182" s="13">
        <v>45117</v>
      </c>
      <c r="C182" t="s">
        <v>27</v>
      </c>
      <c r="D182" s="14" t="s">
        <v>28</v>
      </c>
      <c r="E182" s="13"/>
      <c r="F182" s="14"/>
      <c r="G182" s="14"/>
      <c r="H182" t="s">
        <v>71</v>
      </c>
      <c r="I182" t="str">
        <f>VLOOKUP($H182,инфо!$P:$Q,2,FALSE)</f>
        <v>Колбаса п/к</v>
      </c>
      <c r="J182" s="15" t="str">
        <f>VLOOKUP(I182,инфо!C:E,3,FALSE)</f>
        <v>кг</v>
      </c>
      <c r="K182" s="16"/>
      <c r="L182" s="70">
        <v>16</v>
      </c>
      <c r="M182" s="74"/>
      <c r="N182" s="77" t="str">
        <f t="shared" si="0"/>
        <v/>
      </c>
    </row>
    <row r="183" spans="2:14" x14ac:dyDescent="0.25">
      <c r="B183" s="13">
        <v>45117</v>
      </c>
      <c r="C183" t="s">
        <v>27</v>
      </c>
      <c r="D183" s="14" t="s">
        <v>28</v>
      </c>
      <c r="E183" s="13"/>
      <c r="F183" s="14"/>
      <c r="G183" s="14"/>
      <c r="H183" t="s">
        <v>33</v>
      </c>
      <c r="I183" t="str">
        <f>VLOOKUP($H183,инфо!$P:$Q,2,FALSE)</f>
        <v>Консервы рыбные</v>
      </c>
      <c r="J183" s="15" t="str">
        <f>VLOOKUP(I183,инфо!C:E,3,FALSE)</f>
        <v>кг</v>
      </c>
      <c r="K183" s="16"/>
      <c r="L183" s="70">
        <v>51</v>
      </c>
      <c r="M183" s="74"/>
      <c r="N183" s="77" t="str">
        <f t="shared" si="0"/>
        <v/>
      </c>
    </row>
    <row r="184" spans="2:14" x14ac:dyDescent="0.25">
      <c r="B184" s="13">
        <v>45078</v>
      </c>
      <c r="C184" t="s">
        <v>27</v>
      </c>
      <c r="D184" s="14" t="s">
        <v>28</v>
      </c>
      <c r="E184" s="13"/>
      <c r="F184" s="14"/>
      <c r="G184" s="14"/>
      <c r="H184" t="s">
        <v>72</v>
      </c>
      <c r="I184" t="str">
        <f>VLOOKUP($H184,инфо!$P:$Q,2,FALSE)</f>
        <v>Мясо птицы</v>
      </c>
      <c r="J184" s="15" t="str">
        <f>VLOOKUP(I184,инфо!C:E,3,FALSE)</f>
        <v>кг</v>
      </c>
      <c r="K184" s="16"/>
      <c r="L184" s="70">
        <v>75</v>
      </c>
      <c r="M184" s="74"/>
      <c r="N184" s="77" t="str">
        <f t="shared" si="0"/>
        <v/>
      </c>
    </row>
    <row r="185" spans="2:14" x14ac:dyDescent="0.25">
      <c r="B185" s="13">
        <v>45117</v>
      </c>
      <c r="C185" t="s">
        <v>27</v>
      </c>
      <c r="D185" s="14" t="s">
        <v>28</v>
      </c>
      <c r="E185" s="13"/>
      <c r="F185" s="14"/>
      <c r="G185" s="14"/>
      <c r="H185" t="s">
        <v>73</v>
      </c>
      <c r="I185" t="str">
        <f>VLOOKUP($H185,инфо!$P:$Q,2,FALSE)</f>
        <v xml:space="preserve">Рыба с/м </v>
      </c>
      <c r="J185" s="15" t="str">
        <f>VLOOKUP(I185,инфо!C:E,3,FALSE)</f>
        <v>кг</v>
      </c>
      <c r="K185" s="16"/>
      <c r="L185" s="70">
        <v>88</v>
      </c>
      <c r="M185" s="74"/>
      <c r="N185" s="77" t="str">
        <f t="shared" si="0"/>
        <v/>
      </c>
    </row>
    <row r="186" spans="2:14" x14ac:dyDescent="0.25">
      <c r="B186" s="13">
        <v>45117</v>
      </c>
      <c r="C186" t="s">
        <v>27</v>
      </c>
      <c r="D186" s="14" t="s">
        <v>28</v>
      </c>
      <c r="E186" s="13"/>
      <c r="F186" s="14"/>
      <c r="G186" s="14"/>
      <c r="H186" t="s">
        <v>34</v>
      </c>
      <c r="I186" t="str">
        <f>VLOOKUP($H186,инфо!$P:$Q,2,FALSE)</f>
        <v>Сардельки, сосиски</v>
      </c>
      <c r="J186" s="15" t="str">
        <f>VLOOKUP(I186,инфо!C:E,3,FALSE)</f>
        <v>кг</v>
      </c>
      <c r="K186" s="16"/>
      <c r="L186" s="70">
        <v>41</v>
      </c>
      <c r="M186" s="74"/>
      <c r="N186" s="77" t="str">
        <f t="shared" si="0"/>
        <v/>
      </c>
    </row>
    <row r="187" spans="2:14" x14ac:dyDescent="0.25">
      <c r="B187" s="13">
        <v>45097</v>
      </c>
      <c r="C187" t="s">
        <v>27</v>
      </c>
      <c r="D187" s="14" t="s">
        <v>28</v>
      </c>
      <c r="E187" s="13"/>
      <c r="F187" s="14"/>
      <c r="G187" s="14"/>
      <c r="H187" t="s">
        <v>74</v>
      </c>
      <c r="I187" t="str">
        <f>VLOOKUP($H187,инфо!$P:$Q,2,FALSE)</f>
        <v>Свинина б/к</v>
      </c>
      <c r="J187" s="15" t="str">
        <f>VLOOKUP(I187,инфо!C:E,3,FALSE)</f>
        <v>кг</v>
      </c>
      <c r="K187" s="16"/>
      <c r="L187" s="70">
        <v>62</v>
      </c>
      <c r="M187" s="74"/>
      <c r="N187" s="77" t="str">
        <f t="shared" si="0"/>
        <v/>
      </c>
    </row>
    <row r="188" spans="2:14" x14ac:dyDescent="0.25">
      <c r="B188" s="13">
        <v>45097</v>
      </c>
      <c r="C188" t="s">
        <v>27</v>
      </c>
      <c r="D188" s="14" t="s">
        <v>28</v>
      </c>
      <c r="E188" s="13"/>
      <c r="F188" s="14"/>
      <c r="G188" s="14"/>
      <c r="H188" t="s">
        <v>75</v>
      </c>
      <c r="I188" t="str">
        <f>VLOOKUP($H188,инфо!$P:$Q,2,FALSE)</f>
        <v>Сельдь</v>
      </c>
      <c r="J188" s="15" t="str">
        <f>VLOOKUP(I188,инфо!C:E,3,FALSE)</f>
        <v>кг</v>
      </c>
      <c r="K188" s="16"/>
      <c r="L188" s="70">
        <v>52</v>
      </c>
      <c r="M188" s="74"/>
      <c r="N188" s="77" t="str">
        <f t="shared" si="0"/>
        <v/>
      </c>
    </row>
    <row r="189" spans="2:14" x14ac:dyDescent="0.25">
      <c r="B189" s="13">
        <v>45097</v>
      </c>
      <c r="C189" t="s">
        <v>27</v>
      </c>
      <c r="D189" s="14" t="s">
        <v>28</v>
      </c>
      <c r="E189" s="13"/>
      <c r="F189" s="14"/>
      <c r="G189" s="14"/>
      <c r="H189" t="s">
        <v>260</v>
      </c>
      <c r="I189" t="str">
        <f>VLOOKUP($H189,инфо!$P:$Q,2,FALSE)</f>
        <v>Гексавит</v>
      </c>
      <c r="J189" s="15" t="str">
        <f>VLOOKUP(I189,инфо!C:E,3,FALSE)</f>
        <v>кг</v>
      </c>
      <c r="K189" s="16"/>
      <c r="L189" s="70">
        <v>5</v>
      </c>
      <c r="M189" s="74"/>
      <c r="N189" s="77" t="str">
        <f t="shared" si="0"/>
        <v/>
      </c>
    </row>
    <row r="190" spans="2:14" x14ac:dyDescent="0.25">
      <c r="B190" s="13">
        <v>45097</v>
      </c>
      <c r="C190" t="s">
        <v>27</v>
      </c>
      <c r="D190" s="14" t="s">
        <v>28</v>
      </c>
      <c r="E190" s="13"/>
      <c r="F190" s="14"/>
      <c r="G190" s="14"/>
      <c r="H190" t="s">
        <v>77</v>
      </c>
      <c r="I190" t="str">
        <f>VLOOKUP($H190,инфо!$P:$Q,2,FALSE)</f>
        <v>Горчичный порошок</v>
      </c>
      <c r="J190" s="15" t="str">
        <f>VLOOKUP(I190,инфо!C:E,3,FALSE)</f>
        <v>кг</v>
      </c>
      <c r="K190" s="16"/>
      <c r="L190" s="70">
        <v>5</v>
      </c>
      <c r="M190" s="74"/>
      <c r="N190" s="77" t="str">
        <f t="shared" si="0"/>
        <v/>
      </c>
    </row>
    <row r="191" spans="2:14" x14ac:dyDescent="0.25">
      <c r="B191" s="13">
        <v>45097</v>
      </c>
      <c r="C191" t="s">
        <v>27</v>
      </c>
      <c r="D191" s="14" t="s">
        <v>28</v>
      </c>
      <c r="E191" s="13"/>
      <c r="F191" s="14"/>
      <c r="G191" s="14"/>
      <c r="H191" t="s">
        <v>78</v>
      </c>
      <c r="I191" t="str">
        <f>VLOOKUP($H191,инфо!$P:$Q,2,FALSE)</f>
        <v>Зелень</v>
      </c>
      <c r="J191" s="15" t="str">
        <f>VLOOKUP(I191,инфо!C:E,3,FALSE)</f>
        <v>кг</v>
      </c>
      <c r="K191" s="16"/>
      <c r="L191" s="70">
        <v>8</v>
      </c>
      <c r="M191" s="74"/>
      <c r="N191" s="77" t="str">
        <f t="shared" si="0"/>
        <v/>
      </c>
    </row>
    <row r="192" spans="2:14" x14ac:dyDescent="0.25">
      <c r="B192" s="13">
        <v>45117</v>
      </c>
      <c r="C192" t="s">
        <v>27</v>
      </c>
      <c r="D192" s="14" t="s">
        <v>28</v>
      </c>
      <c r="E192" s="13"/>
      <c r="F192" s="14"/>
      <c r="G192" s="14"/>
      <c r="H192" t="s">
        <v>79</v>
      </c>
      <c r="I192" t="str">
        <f>VLOOKUP($H192,инфо!$P:$Q,2,FALSE)</f>
        <v>Изюм</v>
      </c>
      <c r="J192" s="15" t="str">
        <f>VLOOKUP(I192,инфо!C:E,3,FALSE)</f>
        <v>кг</v>
      </c>
      <c r="K192" s="16"/>
      <c r="L192" s="70">
        <v>15</v>
      </c>
      <c r="M192" s="74"/>
      <c r="N192" s="77" t="str">
        <f t="shared" si="0"/>
        <v/>
      </c>
    </row>
    <row r="193" spans="2:14" x14ac:dyDescent="0.25">
      <c r="B193" s="13">
        <v>45117</v>
      </c>
      <c r="C193" t="s">
        <v>27</v>
      </c>
      <c r="D193" s="14" t="s">
        <v>28</v>
      </c>
      <c r="E193" s="13"/>
      <c r="F193" s="14"/>
      <c r="G193" s="14"/>
      <c r="H193" t="s">
        <v>80</v>
      </c>
      <c r="I193" t="str">
        <f>VLOOKUP($H193,инфо!$P:$Q,2,FALSE)</f>
        <v>Кефир</v>
      </c>
      <c r="J193" s="15" t="str">
        <f>VLOOKUP(I193,инфо!C:E,3,FALSE)</f>
        <v>кг</v>
      </c>
      <c r="K193" s="16"/>
      <c r="L193" s="70">
        <v>25</v>
      </c>
      <c r="M193" s="74"/>
      <c r="N193" s="77" t="str">
        <f t="shared" si="0"/>
        <v/>
      </c>
    </row>
    <row r="194" spans="2:14" x14ac:dyDescent="0.25">
      <c r="B194" s="13">
        <v>45117</v>
      </c>
      <c r="C194" t="s">
        <v>27</v>
      </c>
      <c r="D194" s="14" t="s">
        <v>28</v>
      </c>
      <c r="E194" s="13"/>
      <c r="F194" s="14"/>
      <c r="G194" s="14"/>
      <c r="H194" t="s">
        <v>81</v>
      </c>
      <c r="I194" t="str">
        <f>VLOOKUP($H194,инфо!$P:$Q,2,FALSE)</f>
        <v xml:space="preserve">Консервы овощ. закусочные, лечо </v>
      </c>
      <c r="J194" s="15" t="str">
        <f>VLOOKUP(I194,инфо!C:E,3,FALSE)</f>
        <v>кг</v>
      </c>
      <c r="K194" s="16"/>
      <c r="L194" s="70">
        <v>51</v>
      </c>
      <c r="M194" s="74"/>
      <c r="N194" s="77" t="str">
        <f t="shared" si="0"/>
        <v/>
      </c>
    </row>
    <row r="195" spans="2:14" x14ac:dyDescent="0.25">
      <c r="B195" s="13">
        <v>45110</v>
      </c>
      <c r="C195" t="s">
        <v>27</v>
      </c>
      <c r="D195" s="14" t="s">
        <v>28</v>
      </c>
      <c r="E195" s="13"/>
      <c r="F195" s="14"/>
      <c r="G195" s="14"/>
      <c r="H195" t="s">
        <v>82</v>
      </c>
      <c r="I195" t="str">
        <f>VLOOKUP($H195,инфо!$P:$Q,2,FALSE)</f>
        <v>Кофе растворимый</v>
      </c>
      <c r="J195" s="15" t="str">
        <f>VLOOKUP(I195,инфо!C:E,3,FALSE)</f>
        <v>кг</v>
      </c>
      <c r="K195" s="16"/>
      <c r="L195" s="70">
        <v>8</v>
      </c>
      <c r="M195" s="74"/>
      <c r="N195" s="77" t="str">
        <f t="shared" si="0"/>
        <v/>
      </c>
    </row>
    <row r="196" spans="2:14" x14ac:dyDescent="0.25">
      <c r="B196" s="13">
        <v>45110</v>
      </c>
      <c r="C196" t="s">
        <v>27</v>
      </c>
      <c r="D196" s="14" t="s">
        <v>28</v>
      </c>
      <c r="E196" s="13"/>
      <c r="F196" s="14"/>
      <c r="G196" s="14"/>
      <c r="H196" t="s">
        <v>83</v>
      </c>
      <c r="I196" t="str">
        <f>VLOOKUP($H196,инфо!$P:$Q,2,FALSE)</f>
        <v>Курага</v>
      </c>
      <c r="J196" s="15" t="str">
        <f>VLOOKUP(I196,инфо!C:E,3,FALSE)</f>
        <v>кг</v>
      </c>
      <c r="K196" s="16"/>
      <c r="L196" s="70">
        <v>4</v>
      </c>
      <c r="M196" s="74"/>
      <c r="N196" s="77" t="str">
        <f t="shared" si="0"/>
        <v/>
      </c>
    </row>
    <row r="197" spans="2:14" x14ac:dyDescent="0.25">
      <c r="B197" s="13">
        <v>45110</v>
      </c>
      <c r="C197" t="s">
        <v>27</v>
      </c>
      <c r="D197" s="14" t="s">
        <v>28</v>
      </c>
      <c r="E197" s="13"/>
      <c r="F197" s="14"/>
      <c r="G197" s="14"/>
      <c r="H197" t="s">
        <v>84</v>
      </c>
      <c r="I197" t="str">
        <f>VLOOKUP($H197,инфо!$P:$Q,2,FALSE)</f>
        <v>Лавровый лист</v>
      </c>
      <c r="J197" s="15" t="str">
        <f>VLOOKUP(I197,инфо!C:E,3,FALSE)</f>
        <v>кг</v>
      </c>
      <c r="K197" s="16"/>
      <c r="L197" s="70">
        <v>2</v>
      </c>
      <c r="M197" s="74"/>
      <c r="N197" s="77" t="str">
        <f t="shared" si="0"/>
        <v/>
      </c>
    </row>
    <row r="198" spans="2:14" x14ac:dyDescent="0.25">
      <c r="B198" s="13">
        <v>45117</v>
      </c>
      <c r="C198" t="s">
        <v>27</v>
      </c>
      <c r="D198" s="14" t="s">
        <v>28</v>
      </c>
      <c r="E198" s="13"/>
      <c r="F198" s="14"/>
      <c r="G198" s="14"/>
      <c r="H198" t="s">
        <v>85</v>
      </c>
      <c r="I198" t="str">
        <f>VLOOKUP($H198,инфо!$P:$Q,2,FALSE)</f>
        <v>Перец</v>
      </c>
      <c r="J198" s="15" t="str">
        <f>VLOOKUP(I198,инфо!C:E,3,FALSE)</f>
        <v>кг</v>
      </c>
      <c r="K198" s="16"/>
      <c r="L198" s="70">
        <v>5</v>
      </c>
      <c r="M198" s="74"/>
      <c r="N198" s="77" t="str">
        <f t="shared" si="0"/>
        <v/>
      </c>
    </row>
    <row r="199" spans="2:14" x14ac:dyDescent="0.25">
      <c r="B199" s="13">
        <v>45117</v>
      </c>
      <c r="C199" t="s">
        <v>27</v>
      </c>
      <c r="D199" s="14" t="s">
        <v>28</v>
      </c>
      <c r="E199" s="13"/>
      <c r="F199" s="14"/>
      <c r="G199" s="14"/>
      <c r="H199" t="s">
        <v>86</v>
      </c>
      <c r="I199" t="str">
        <f>VLOOKUP($H199,инфо!$P:$Q,2,FALSE)</f>
        <v>Сок п/я</v>
      </c>
      <c r="J199" s="15" t="str">
        <f>VLOOKUP(I199,инфо!C:E,3,FALSE)</f>
        <v>кг</v>
      </c>
      <c r="K199" s="16"/>
      <c r="L199" s="70">
        <v>70</v>
      </c>
      <c r="M199" s="74"/>
      <c r="N199" s="77" t="str">
        <f t="shared" si="0"/>
        <v/>
      </c>
    </row>
    <row r="200" spans="2:14" x14ac:dyDescent="0.25">
      <c r="B200" s="13">
        <v>45117</v>
      </c>
      <c r="C200" t="s">
        <v>27</v>
      </c>
      <c r="D200" s="14" t="s">
        <v>28</v>
      </c>
      <c r="E200" s="13"/>
      <c r="F200" s="14"/>
      <c r="G200" s="14"/>
      <c r="H200" t="s">
        <v>87</v>
      </c>
      <c r="I200" t="str">
        <f>VLOOKUP($H200,инфо!$P:$Q,2,FALSE)</f>
        <v>Томат-паста</v>
      </c>
      <c r="J200" s="15" t="str">
        <f>VLOOKUP(I200,инфо!C:E,3,FALSE)</f>
        <v>кг</v>
      </c>
      <c r="K200" s="16"/>
      <c r="L200" s="70">
        <v>4</v>
      </c>
      <c r="M200" s="74"/>
      <c r="N200" s="77" t="str">
        <f t="shared" si="0"/>
        <v/>
      </c>
    </row>
    <row r="201" spans="2:14" x14ac:dyDescent="0.25">
      <c r="B201" s="13">
        <v>45117</v>
      </c>
      <c r="C201" t="s">
        <v>27</v>
      </c>
      <c r="D201" s="14" t="s">
        <v>28</v>
      </c>
      <c r="E201" s="13"/>
      <c r="F201" s="14"/>
      <c r="G201" s="14"/>
      <c r="H201" t="s">
        <v>88</v>
      </c>
      <c r="I201" t="str">
        <f>VLOOKUP($H201,инфо!$P:$Q,2,FALSE)</f>
        <v>Уксус</v>
      </c>
      <c r="J201" s="15" t="str">
        <f>VLOOKUP(I201,инфо!C:E,3,FALSE)</f>
        <v>кг</v>
      </c>
      <c r="K201" s="16"/>
      <c r="L201" s="70">
        <v>7</v>
      </c>
      <c r="M201" s="74"/>
      <c r="N201" s="77" t="str">
        <f t="shared" si="0"/>
        <v/>
      </c>
    </row>
    <row r="202" spans="2:14" x14ac:dyDescent="0.25">
      <c r="B202" s="13">
        <v>45110</v>
      </c>
      <c r="C202" t="s">
        <v>27</v>
      </c>
      <c r="D202" s="14" t="s">
        <v>28</v>
      </c>
      <c r="E202" s="13"/>
      <c r="F202" s="14"/>
      <c r="G202" s="14"/>
      <c r="H202" t="s">
        <v>89</v>
      </c>
      <c r="I202" t="str">
        <f>VLOOKUP($H202,инфо!$P:$Q,2,FALSE)</f>
        <v>Чернослив</v>
      </c>
      <c r="J202" s="15" t="str">
        <f>VLOOKUP(I202,инфо!C:E,3,FALSE)</f>
        <v>шт</v>
      </c>
      <c r="K202" s="16"/>
      <c r="L202" s="70">
        <v>56</v>
      </c>
      <c r="M202" s="74"/>
      <c r="N202" s="77" t="str">
        <f t="shared" si="0"/>
        <v/>
      </c>
    </row>
    <row r="203" spans="2:14" x14ac:dyDescent="0.25">
      <c r="B203" s="13">
        <v>45110</v>
      </c>
      <c r="C203" t="s">
        <v>27</v>
      </c>
      <c r="D203" s="14" t="s">
        <v>28</v>
      </c>
      <c r="E203" s="13"/>
      <c r="F203" s="14"/>
      <c r="G203" s="14"/>
      <c r="H203" t="s">
        <v>90</v>
      </c>
      <c r="I203" t="str">
        <f>VLOOKUP($H203,инфо!$P:$Q,2,FALSE)</f>
        <v>Яйцо</v>
      </c>
      <c r="J203" s="15" t="str">
        <f>VLOOKUP(I203,инфо!C:E,3,FALSE)</f>
        <v>кг</v>
      </c>
      <c r="K203" s="16"/>
      <c r="L203" s="70">
        <v>300</v>
      </c>
      <c r="M203" s="74"/>
      <c r="N203" s="77" t="str">
        <f t="shared" si="0"/>
        <v/>
      </c>
    </row>
    <row r="204" spans="2:14" x14ac:dyDescent="0.25">
      <c r="B204" s="13">
        <v>45110</v>
      </c>
      <c r="C204" t="s">
        <v>27</v>
      </c>
      <c r="D204" s="14" t="s">
        <v>28</v>
      </c>
      <c r="E204" s="13"/>
      <c r="F204" s="14"/>
      <c r="G204" s="14"/>
      <c r="H204" t="s">
        <v>92</v>
      </c>
      <c r="I204" t="str">
        <f>VLOOKUP($H204,инфо!$P:$Q,2,FALSE)</f>
        <v>Апельсины</v>
      </c>
      <c r="J204" s="15" t="str">
        <f>VLOOKUP(I204,инфо!C:E,3,FALSE)</f>
        <v>кг</v>
      </c>
      <c r="K204" s="16"/>
      <c r="L204" s="70">
        <v>6</v>
      </c>
      <c r="M204" s="74"/>
      <c r="N204" s="77" t="str">
        <f t="shared" si="0"/>
        <v/>
      </c>
    </row>
    <row r="205" spans="2:14" x14ac:dyDescent="0.25">
      <c r="B205" s="13">
        <v>45117</v>
      </c>
      <c r="C205" t="s">
        <v>27</v>
      </c>
      <c r="D205" s="14" t="s">
        <v>28</v>
      </c>
      <c r="E205" s="13"/>
      <c r="F205" s="14"/>
      <c r="G205" s="14"/>
      <c r="H205" t="s">
        <v>93</v>
      </c>
      <c r="I205" t="str">
        <f>VLOOKUP($H205,инфо!$P:$Q,2,FALSE)</f>
        <v>Вафли</v>
      </c>
      <c r="J205" s="15" t="str">
        <f>VLOOKUP(I205,инфо!C:E,3,FALSE)</f>
        <v>кг</v>
      </c>
      <c r="K205" s="16"/>
      <c r="L205" s="70">
        <v>27</v>
      </c>
      <c r="M205" s="74"/>
      <c r="N205" s="77" t="str">
        <f t="shared" si="0"/>
        <v/>
      </c>
    </row>
    <row r="206" spans="2:14" x14ac:dyDescent="0.25">
      <c r="B206" s="13">
        <v>45097</v>
      </c>
      <c r="C206" t="s">
        <v>27</v>
      </c>
      <c r="D206" s="14" t="s">
        <v>28</v>
      </c>
      <c r="E206" s="13"/>
      <c r="F206" s="14"/>
      <c r="G206" s="14"/>
      <c r="H206" t="s">
        <v>94</v>
      </c>
      <c r="I206" t="str">
        <f>VLOOKUP($H206,инфо!$P:$Q,2,FALSE)</f>
        <v>Карамель</v>
      </c>
      <c r="J206" s="15" t="str">
        <f>VLOOKUP(I206,инфо!C:E,3,FALSE)</f>
        <v>кг</v>
      </c>
      <c r="K206" s="16"/>
      <c r="L206" s="70">
        <v>80</v>
      </c>
      <c r="M206" s="74"/>
      <c r="N206" s="77" t="str">
        <f t="shared" ref="N206:N269" si="1">IF(M206&lt;&gt;"",SUMIF($H:$H,$H206,L:L)-SUMIF($H:$H,$H206,M:M),"")</f>
        <v/>
      </c>
    </row>
    <row r="207" spans="2:14" x14ac:dyDescent="0.25">
      <c r="B207" s="13">
        <v>45097</v>
      </c>
      <c r="C207" t="s">
        <v>27</v>
      </c>
      <c r="D207" s="14" t="s">
        <v>28</v>
      </c>
      <c r="E207" s="13"/>
      <c r="F207" s="14"/>
      <c r="G207" s="14"/>
      <c r="H207" t="s">
        <v>95</v>
      </c>
      <c r="I207" t="str">
        <f>VLOOKUP($H207,инфо!$P:$Q,2,FALSE)</f>
        <v>Конфеты шоколадные</v>
      </c>
      <c r="J207" s="15" t="str">
        <f>VLOOKUP(I207,инфо!C:E,3,FALSE)</f>
        <v>кг</v>
      </c>
      <c r="K207" s="16"/>
      <c r="L207" s="70">
        <v>57</v>
      </c>
      <c r="M207" s="74"/>
      <c r="N207" s="77" t="str">
        <f t="shared" si="1"/>
        <v/>
      </c>
    </row>
    <row r="208" spans="2:14" x14ac:dyDescent="0.25">
      <c r="B208" s="13">
        <v>45097</v>
      </c>
      <c r="C208" t="s">
        <v>27</v>
      </c>
      <c r="D208" s="14" t="s">
        <v>28</v>
      </c>
      <c r="E208" s="13"/>
      <c r="F208" s="14"/>
      <c r="G208" s="14"/>
      <c r="H208" t="s">
        <v>96</v>
      </c>
      <c r="I208" t="str">
        <f>VLOOKUP($H208,инфо!$P:$Q,2,FALSE)</f>
        <v>Кофе БС</v>
      </c>
      <c r="J208" s="15" t="str">
        <f>VLOOKUP(I208,инфо!C:E,3,FALSE)</f>
        <v>кг</v>
      </c>
      <c r="K208" s="16"/>
      <c r="L208" s="70">
        <v>2</v>
      </c>
      <c r="M208" s="74"/>
      <c r="N208" s="77" t="str">
        <f t="shared" si="1"/>
        <v/>
      </c>
    </row>
    <row r="209" spans="2:14" x14ac:dyDescent="0.25">
      <c r="B209" s="13">
        <v>45097</v>
      </c>
      <c r="C209" t="s">
        <v>27</v>
      </c>
      <c r="D209" s="14" t="s">
        <v>28</v>
      </c>
      <c r="E209" s="13"/>
      <c r="F209" s="14"/>
      <c r="G209" s="14"/>
      <c r="H209" t="s">
        <v>97</v>
      </c>
      <c r="I209" t="str">
        <f>VLOOKUP($H209,инфо!$P:$Q,2,FALSE)</f>
        <v xml:space="preserve">Молоко сгущ. </v>
      </c>
      <c r="J209" s="15" t="str">
        <f>VLOOKUP(I209,инфо!C:E,3,FALSE)</f>
        <v>кг</v>
      </c>
      <c r="K209" s="16"/>
      <c r="L209" s="70">
        <v>3</v>
      </c>
      <c r="M209" s="74"/>
      <c r="N209" s="77" t="str">
        <f t="shared" si="1"/>
        <v/>
      </c>
    </row>
    <row r="210" spans="2:14" x14ac:dyDescent="0.25">
      <c r="B210" s="13">
        <v>45097</v>
      </c>
      <c r="C210" t="s">
        <v>27</v>
      </c>
      <c r="D210" s="14" t="s">
        <v>28</v>
      </c>
      <c r="E210" s="13"/>
      <c r="F210" s="14"/>
      <c r="G210" s="14"/>
      <c r="H210" t="s">
        <v>98</v>
      </c>
      <c r="I210" t="str">
        <f>VLOOKUP($H210,инфо!$P:$Q,2,FALSE)</f>
        <v>Печенье</v>
      </c>
      <c r="J210" s="15" t="str">
        <f>VLOOKUP(I210,инфо!C:E,3,FALSE)</f>
        <v>кг</v>
      </c>
      <c r="K210" s="16"/>
      <c r="L210" s="70">
        <v>40</v>
      </c>
      <c r="M210" s="74"/>
      <c r="N210" s="77" t="str">
        <f t="shared" si="1"/>
        <v/>
      </c>
    </row>
    <row r="211" spans="2:14" x14ac:dyDescent="0.25">
      <c r="B211" s="13">
        <v>45117</v>
      </c>
      <c r="C211" t="s">
        <v>27</v>
      </c>
      <c r="D211" s="14" t="s">
        <v>28</v>
      </c>
      <c r="E211" s="13"/>
      <c r="F211" s="14"/>
      <c r="G211" s="14"/>
      <c r="H211" t="s">
        <v>99</v>
      </c>
      <c r="I211" t="str">
        <f>VLOOKUP($H211,инфо!$P:$Q,2,FALSE)</f>
        <v>Печенье БС</v>
      </c>
      <c r="J211" s="15" t="str">
        <f>VLOOKUP(I211,инфо!C:E,3,FALSE)</f>
        <v>кг</v>
      </c>
      <c r="K211" s="16"/>
      <c r="L211" s="70">
        <v>13</v>
      </c>
      <c r="M211" s="74"/>
      <c r="N211" s="77" t="str">
        <f t="shared" si="1"/>
        <v/>
      </c>
    </row>
    <row r="212" spans="2:14" x14ac:dyDescent="0.25">
      <c r="B212" s="13">
        <v>45110</v>
      </c>
      <c r="C212" t="s">
        <v>27</v>
      </c>
      <c r="D212" s="14" t="s">
        <v>28</v>
      </c>
      <c r="E212" s="13"/>
      <c r="F212" s="14"/>
      <c r="G212" s="14"/>
      <c r="H212" t="s">
        <v>100</v>
      </c>
      <c r="I212" t="str">
        <f>VLOOKUP($H212,инфо!$P:$Q,2,FALSE)</f>
        <v>Пряники, печенье</v>
      </c>
      <c r="J212" s="15" t="str">
        <f>VLOOKUP(I212,инфо!C:E,3,FALSE)</f>
        <v>кг</v>
      </c>
      <c r="K212" s="16"/>
      <c r="L212" s="70">
        <v>20</v>
      </c>
      <c r="M212" s="74"/>
      <c r="N212" s="77" t="str">
        <f t="shared" si="1"/>
        <v/>
      </c>
    </row>
    <row r="213" spans="2:14" x14ac:dyDescent="0.25">
      <c r="B213" s="13">
        <v>45110</v>
      </c>
      <c r="C213" t="s">
        <v>27</v>
      </c>
      <c r="D213" s="14" t="s">
        <v>28</v>
      </c>
      <c r="E213" s="13"/>
      <c r="F213" s="14"/>
      <c r="G213" s="14"/>
      <c r="H213" t="s">
        <v>101</v>
      </c>
      <c r="I213" t="str">
        <f>VLOOKUP($H213,инфо!$P:$Q,2,FALSE)</f>
        <v>Сок яблочный</v>
      </c>
      <c r="J213" s="15" t="str">
        <f>VLOOKUP(I213,инфо!C:E,3,FALSE)</f>
        <v>кг</v>
      </c>
      <c r="K213" s="16"/>
      <c r="L213" s="70">
        <v>40</v>
      </c>
      <c r="M213" s="74"/>
      <c r="N213" s="77" t="str">
        <f t="shared" si="1"/>
        <v/>
      </c>
    </row>
    <row r="214" spans="2:14" x14ac:dyDescent="0.25">
      <c r="B214" s="13">
        <v>45097</v>
      </c>
      <c r="C214" t="s">
        <v>27</v>
      </c>
      <c r="D214" s="14" t="s">
        <v>28</v>
      </c>
      <c r="E214" s="13"/>
      <c r="F214" s="14"/>
      <c r="G214" s="14"/>
      <c r="H214" t="s">
        <v>102</v>
      </c>
      <c r="I214" t="str">
        <f>VLOOKUP($H214,инфо!$P:$Q,2,FALSE)</f>
        <v>Яблоки свежие</v>
      </c>
      <c r="J214" s="15" t="str">
        <f>VLOOKUP(I214,инфо!C:E,3,FALSE)</f>
        <v>кг</v>
      </c>
      <c r="K214" s="16"/>
      <c r="L214" s="70">
        <v>40</v>
      </c>
      <c r="M214" s="74"/>
      <c r="N214" s="77" t="str">
        <f t="shared" si="1"/>
        <v/>
      </c>
    </row>
    <row r="215" spans="2:14" x14ac:dyDescent="0.25">
      <c r="B215" s="13">
        <v>45097</v>
      </c>
      <c r="C215" t="s">
        <v>27</v>
      </c>
      <c r="D215" s="14" t="s">
        <v>28</v>
      </c>
      <c r="E215" s="13"/>
      <c r="F215" s="14"/>
      <c r="G215" s="14"/>
      <c r="H215" t="s">
        <v>29</v>
      </c>
      <c r="I215" t="str">
        <f>VLOOKUP($H215,инфо!$P:$Q,2,FALSE)</f>
        <v>Горох</v>
      </c>
      <c r="J215" s="15" t="str">
        <f>VLOOKUP(I215,инфо!C:E,3,FALSE)</f>
        <v>кг</v>
      </c>
      <c r="K215" s="16"/>
      <c r="L215" s="70"/>
      <c r="M215" s="74">
        <v>2</v>
      </c>
      <c r="N215" s="77">
        <f t="shared" si="1"/>
        <v>48</v>
      </c>
    </row>
    <row r="216" spans="2:14" x14ac:dyDescent="0.25">
      <c r="B216" s="13"/>
      <c r="D216" s="14"/>
      <c r="E216" s="13"/>
      <c r="F216" s="14"/>
      <c r="G216" s="14"/>
      <c r="H216" t="s">
        <v>43</v>
      </c>
      <c r="I216" t="str">
        <f>VLOOKUP($H216,инфо!$P:$Q,2,FALSE)</f>
        <v>Гречневая</v>
      </c>
      <c r="J216" s="15" t="str">
        <f>VLOOKUP(I216,инфо!C:E,3,FALSE)</f>
        <v>кг</v>
      </c>
      <c r="K216" s="16"/>
      <c r="L216" s="70"/>
      <c r="M216" s="74">
        <v>3</v>
      </c>
      <c r="N216" s="77">
        <f t="shared" si="1"/>
        <v>57</v>
      </c>
    </row>
    <row r="217" spans="2:14" x14ac:dyDescent="0.25">
      <c r="B217" s="13"/>
      <c r="D217" s="14"/>
      <c r="E217" s="13"/>
      <c r="F217" s="14"/>
      <c r="G217" s="14"/>
      <c r="H217" t="s">
        <v>44</v>
      </c>
      <c r="I217" t="str">
        <f>VLOOKUP($H217,инфо!$P:$Q,2,FALSE)</f>
        <v>Манная</v>
      </c>
      <c r="J217" s="15" t="str">
        <f>VLOOKUP(I217,инфо!C:E,3,FALSE)</f>
        <v>кг</v>
      </c>
      <c r="K217" s="16"/>
      <c r="L217" s="70"/>
      <c r="M217" s="74">
        <v>1</v>
      </c>
      <c r="N217" s="77">
        <f t="shared" si="1"/>
        <v>39</v>
      </c>
    </row>
    <row r="218" spans="2:14" x14ac:dyDescent="0.25">
      <c r="B218" s="13"/>
      <c r="D218" s="14"/>
      <c r="E218" s="13"/>
      <c r="F218" s="14"/>
      <c r="G218" s="14"/>
      <c r="H218" t="s">
        <v>30</v>
      </c>
      <c r="I218" t="str">
        <f>VLOOKUP($H218,инфо!$P:$Q,2,FALSE)</f>
        <v>Овсяная</v>
      </c>
      <c r="J218" s="15" t="str">
        <f>VLOOKUP(I218,инфо!C:E,3,FALSE)</f>
        <v>кг</v>
      </c>
      <c r="K218" s="16"/>
      <c r="L218" s="70"/>
      <c r="M218" s="74">
        <v>1</v>
      </c>
      <c r="N218" s="77">
        <f t="shared" si="1"/>
        <v>66</v>
      </c>
    </row>
    <row r="219" spans="2:14" x14ac:dyDescent="0.25">
      <c r="B219" s="13"/>
      <c r="D219" s="14"/>
      <c r="E219" s="13"/>
      <c r="F219" s="14"/>
      <c r="G219" s="14"/>
      <c r="H219" t="s">
        <v>35</v>
      </c>
      <c r="I219" t="str">
        <f>VLOOKUP($H219,инфо!$P:$Q,2,FALSE)</f>
        <v>Перловая</v>
      </c>
      <c r="J219" s="15" t="str">
        <f>VLOOKUP(I219,инфо!C:E,3,FALSE)</f>
        <v>кг</v>
      </c>
      <c r="K219" s="16"/>
      <c r="L219" s="70"/>
      <c r="M219" s="74">
        <v>1</v>
      </c>
      <c r="N219" s="77">
        <f t="shared" si="1"/>
        <v>87</v>
      </c>
    </row>
    <row r="220" spans="2:14" x14ac:dyDescent="0.25">
      <c r="B220" s="13"/>
      <c r="D220" s="14"/>
      <c r="E220" s="13"/>
      <c r="F220" s="14"/>
      <c r="G220" s="14"/>
      <c r="H220" t="s">
        <v>37</v>
      </c>
      <c r="I220" t="str">
        <f>VLOOKUP($H220,инфо!$P:$Q,2,FALSE)</f>
        <v>Пшено</v>
      </c>
      <c r="J220" s="15" t="str">
        <f>VLOOKUP(I220,инфо!C:E,3,FALSE)</f>
        <v>кг</v>
      </c>
      <c r="K220" s="16"/>
      <c r="L220" s="70"/>
      <c r="M220" s="74">
        <v>5</v>
      </c>
      <c r="N220" s="77">
        <f t="shared" si="1"/>
        <v>51</v>
      </c>
    </row>
    <row r="221" spans="2:14" x14ac:dyDescent="0.25">
      <c r="B221" s="13"/>
      <c r="D221" s="14"/>
      <c r="E221" s="13"/>
      <c r="F221" s="14"/>
      <c r="G221" s="14"/>
      <c r="H221" t="s">
        <v>31</v>
      </c>
      <c r="I221" t="str">
        <f>VLOOKUP($H221,инфо!$P:$Q,2,FALSE)</f>
        <v>Рис</v>
      </c>
      <c r="J221" s="15" t="str">
        <f>VLOOKUP(I221,инфо!C:E,3,FALSE)</f>
        <v>кг</v>
      </c>
      <c r="K221" s="16"/>
      <c r="L221" s="70"/>
      <c r="M221" s="74">
        <v>3</v>
      </c>
      <c r="N221" s="77">
        <f t="shared" si="1"/>
        <v>84</v>
      </c>
    </row>
    <row r="222" spans="2:14" x14ac:dyDescent="0.25">
      <c r="B222" s="13"/>
      <c r="D222" s="14"/>
      <c r="E222" s="13"/>
      <c r="F222" s="14"/>
      <c r="G222" s="14"/>
      <c r="H222" t="s">
        <v>45</v>
      </c>
      <c r="I222" t="str">
        <f>VLOOKUP($H222,инфо!$P:$Q,2,FALSE)</f>
        <v>Ячневая</v>
      </c>
      <c r="J222" s="15" t="str">
        <f>VLOOKUP(I222,инфо!C:E,3,FALSE)</f>
        <v>кг</v>
      </c>
      <c r="K222" s="16"/>
      <c r="L222" s="70"/>
      <c r="M222" s="74">
        <v>1</v>
      </c>
      <c r="N222" s="77">
        <f t="shared" si="1"/>
        <v>55</v>
      </c>
    </row>
    <row r="223" spans="2:14" x14ac:dyDescent="0.25">
      <c r="B223" s="13"/>
      <c r="D223" s="14"/>
      <c r="E223" s="13"/>
      <c r="F223" s="14"/>
      <c r="G223" s="14"/>
      <c r="H223" t="s">
        <v>46</v>
      </c>
      <c r="I223" t="str">
        <f>VLOOKUP($H223,инфо!$P:$Q,2,FALSE)</f>
        <v>Макаронные изделия</v>
      </c>
      <c r="J223" s="15" t="str">
        <f>VLOOKUP(I223,инфо!C:E,3,FALSE)</f>
        <v>кг</v>
      </c>
      <c r="K223" s="16"/>
      <c r="L223" s="70"/>
      <c r="M223" s="74">
        <v>2</v>
      </c>
      <c r="N223" s="77">
        <f t="shared" si="1"/>
        <v>98</v>
      </c>
    </row>
    <row r="224" spans="2:14" x14ac:dyDescent="0.25">
      <c r="B224" s="13"/>
      <c r="D224" s="14"/>
      <c r="E224" s="13"/>
      <c r="F224" s="14"/>
      <c r="G224" s="14"/>
      <c r="H224" t="s">
        <v>48</v>
      </c>
      <c r="I224" t="str">
        <f>VLOOKUP($H224,инфо!$P:$Q,2,FALSE)</f>
        <v>Горошек, фасоль, кукуруза консервированные</v>
      </c>
      <c r="J224" s="15" t="str">
        <f>VLOOKUP(I224,инфо!C:E,3,FALSE)</f>
        <v>кг</v>
      </c>
      <c r="K224" s="16"/>
      <c r="L224" s="70"/>
      <c r="M224" s="74">
        <v>6</v>
      </c>
      <c r="N224" s="77">
        <f t="shared" si="1"/>
        <v>74</v>
      </c>
    </row>
    <row r="225" spans="2:14" x14ac:dyDescent="0.25">
      <c r="B225" s="13"/>
      <c r="D225" s="14"/>
      <c r="E225" s="13"/>
      <c r="F225" s="14"/>
      <c r="G225" s="14"/>
      <c r="H225" t="s">
        <v>49</v>
      </c>
      <c r="I225" t="str">
        <f>VLOOKUP($H225,инфо!$P:$Q,2,FALSE)</f>
        <v>Капуста свежая/кваш.</v>
      </c>
      <c r="J225" s="15" t="str">
        <f>VLOOKUP(I225,инфо!C:E,3,FALSE)</f>
        <v>кг</v>
      </c>
      <c r="K225" s="16"/>
      <c r="L225" s="70"/>
      <c r="M225" s="74">
        <v>7</v>
      </c>
      <c r="N225" s="77">
        <f t="shared" si="1"/>
        <v>43</v>
      </c>
    </row>
    <row r="226" spans="2:14" x14ac:dyDescent="0.25">
      <c r="B226" s="13"/>
      <c r="D226" s="14"/>
      <c r="E226" s="13"/>
      <c r="F226" s="14"/>
      <c r="G226" s="14"/>
      <c r="H226" t="s">
        <v>50</v>
      </c>
      <c r="I226" t="str">
        <f>VLOOKUP($H226,инфо!$P:$Q,2,FALSE)</f>
        <v>Картофель</v>
      </c>
      <c r="J226" s="15" t="str">
        <f>VLOOKUP(I226,инфо!C:E,3,FALSE)</f>
        <v>кг</v>
      </c>
      <c r="K226" s="16"/>
      <c r="L226" s="70"/>
      <c r="M226" s="74">
        <v>8</v>
      </c>
      <c r="N226" s="77">
        <f t="shared" si="1"/>
        <v>192</v>
      </c>
    </row>
    <row r="227" spans="2:14" x14ac:dyDescent="0.25">
      <c r="B227" s="13"/>
      <c r="D227" s="14"/>
      <c r="E227" s="13"/>
      <c r="F227" s="14"/>
      <c r="G227" s="14"/>
      <c r="H227" t="s">
        <v>36</v>
      </c>
      <c r="I227" t="str">
        <f>VLOOKUP($H227,инфо!$P:$Q,2,FALSE)</f>
        <v>Лук репчатый</v>
      </c>
      <c r="J227" s="15" t="str">
        <f>VLOOKUP(I227,инфо!C:E,3,FALSE)</f>
        <v>кг</v>
      </c>
      <c r="K227" s="16"/>
      <c r="L227" s="70"/>
      <c r="M227" s="74">
        <v>2</v>
      </c>
      <c r="N227" s="77">
        <f t="shared" si="1"/>
        <v>52</v>
      </c>
    </row>
    <row r="228" spans="2:14" x14ac:dyDescent="0.25">
      <c r="B228" s="13"/>
      <c r="D228" s="14"/>
      <c r="E228" s="13"/>
      <c r="F228" s="14"/>
      <c r="G228" s="14"/>
      <c r="H228" t="s">
        <v>51</v>
      </c>
      <c r="I228" t="str">
        <f>VLOOKUP($H228,инфо!$P:$Q,2,FALSE)</f>
        <v>Морковь</v>
      </c>
      <c r="J228" s="15" t="str">
        <f>VLOOKUP(I228,инфо!C:E,3,FALSE)</f>
        <v>кг</v>
      </c>
      <c r="K228" s="16"/>
      <c r="L228" s="70"/>
      <c r="M228" s="74">
        <v>1</v>
      </c>
      <c r="N228" s="77">
        <f t="shared" si="1"/>
        <v>91</v>
      </c>
    </row>
    <row r="229" spans="2:14" x14ac:dyDescent="0.25">
      <c r="B229" s="13"/>
      <c r="D229" s="14"/>
      <c r="E229" s="13"/>
      <c r="F229" s="14"/>
      <c r="G229" s="14"/>
      <c r="H229" t="s">
        <v>257</v>
      </c>
      <c r="I229" t="str">
        <f>VLOOKUP($H229,инфо!$P:$Q,2,FALSE)</f>
        <v>Огурцы свежие/соленые</v>
      </c>
      <c r="J229" s="15" t="str">
        <f>VLOOKUP(I229,инфо!C:E,3,FALSE)</f>
        <v>кг</v>
      </c>
      <c r="K229" s="16"/>
      <c r="L229" s="70"/>
      <c r="M229" s="74">
        <v>5</v>
      </c>
      <c r="N229" s="77">
        <f t="shared" si="1"/>
        <v>25</v>
      </c>
    </row>
    <row r="230" spans="2:14" x14ac:dyDescent="0.25">
      <c r="B230" s="13"/>
      <c r="D230" s="14"/>
      <c r="E230" s="13"/>
      <c r="F230" s="14"/>
      <c r="G230" s="14"/>
      <c r="H230" t="s">
        <v>52</v>
      </c>
      <c r="I230" t="str">
        <f>VLOOKUP($H230,инфо!$P:$Q,2,FALSE)</f>
        <v>Помидоры свежие/конс.</v>
      </c>
      <c r="J230" s="15" t="str">
        <f>VLOOKUP(I230,инфо!C:E,3,FALSE)</f>
        <v>кг</v>
      </c>
      <c r="K230" s="16"/>
      <c r="L230" s="70"/>
      <c r="M230" s="74">
        <v>3</v>
      </c>
      <c r="N230" s="77">
        <f t="shared" si="1"/>
        <v>67</v>
      </c>
    </row>
    <row r="231" spans="2:14" x14ac:dyDescent="0.25">
      <c r="B231" s="13"/>
      <c r="D231" s="14"/>
      <c r="E231" s="13"/>
      <c r="F231" s="14"/>
      <c r="G231" s="14"/>
      <c r="H231" t="s">
        <v>53</v>
      </c>
      <c r="I231" t="str">
        <f>VLOOKUP($H231,инфо!$P:$Q,2,FALSE)</f>
        <v>Свекла</v>
      </c>
      <c r="J231" s="15" t="str">
        <f>VLOOKUP(I231,инфо!C:E,3,FALSE)</f>
        <v>кг</v>
      </c>
      <c r="K231" s="16"/>
      <c r="L231" s="70"/>
      <c r="M231" s="74">
        <v>2</v>
      </c>
      <c r="N231" s="77">
        <f t="shared" si="1"/>
        <v>29</v>
      </c>
    </row>
    <row r="232" spans="2:14" x14ac:dyDescent="0.25">
      <c r="B232" s="13"/>
      <c r="D232" s="14"/>
      <c r="E232" s="13"/>
      <c r="F232" s="14"/>
      <c r="G232" s="14"/>
      <c r="H232" t="s">
        <v>54</v>
      </c>
      <c r="I232" t="str">
        <f>VLOOKUP($H232,инфо!$P:$Q,2,FALSE)</f>
        <v>Чеснок</v>
      </c>
      <c r="J232" s="15" t="str">
        <f>VLOOKUP(I232,инфо!C:E,3,FALSE)</f>
        <v>кг</v>
      </c>
      <c r="K232" s="16"/>
      <c r="L232" s="70"/>
      <c r="M232" s="74">
        <v>1</v>
      </c>
      <c r="N232" s="77">
        <f t="shared" si="1"/>
        <v>12</v>
      </c>
    </row>
    <row r="233" spans="2:14" x14ac:dyDescent="0.25">
      <c r="B233" s="13"/>
      <c r="D233" s="14"/>
      <c r="E233" s="13"/>
      <c r="F233" s="14"/>
      <c r="G233" s="14"/>
      <c r="H233" t="s">
        <v>57</v>
      </c>
      <c r="I233" t="str">
        <f>VLOOKUP($H233,инфо!$P:$Q,2,FALSE)</f>
        <v>Хлеб дарницкий</v>
      </c>
      <c r="J233" s="15" t="str">
        <f>VLOOKUP(I233,инфо!C:E,3,FALSE)</f>
        <v>кг</v>
      </c>
      <c r="K233" s="16"/>
      <c r="L233" s="70"/>
      <c r="M233" s="74">
        <v>5</v>
      </c>
      <c r="N233" s="77">
        <f t="shared" si="1"/>
        <v>65</v>
      </c>
    </row>
    <row r="234" spans="2:14" x14ac:dyDescent="0.25">
      <c r="B234" s="13"/>
      <c r="D234" s="14"/>
      <c r="E234" s="13"/>
      <c r="F234" s="14"/>
      <c r="G234" s="14"/>
      <c r="H234" t="s">
        <v>31</v>
      </c>
      <c r="I234" t="str">
        <f>VLOOKUP($H234,инфо!$P:$Q,2,FALSE)</f>
        <v>Рис</v>
      </c>
      <c r="J234" s="15" t="str">
        <f>VLOOKUP(I234,инфо!C:E,3,FALSE)</f>
        <v>кг</v>
      </c>
      <c r="K234" s="16"/>
      <c r="L234" s="70">
        <v>10</v>
      </c>
      <c r="M234" s="74"/>
      <c r="N234" s="77" t="str">
        <f t="shared" si="1"/>
        <v/>
      </c>
    </row>
    <row r="235" spans="2:14" x14ac:dyDescent="0.25">
      <c r="B235" s="13"/>
      <c r="D235" s="14"/>
      <c r="E235" s="13"/>
      <c r="F235" s="14"/>
      <c r="G235" s="14"/>
      <c r="H235" t="s">
        <v>59</v>
      </c>
      <c r="I235" t="str">
        <f>VLOOKUP($H235,инфо!$P:$Q,2,FALSE)</f>
        <v>Молоко коровье</v>
      </c>
      <c r="J235" s="15" t="str">
        <f>VLOOKUP(I235,инфо!C:E,3,FALSE)</f>
        <v>кг</v>
      </c>
      <c r="K235" s="16"/>
      <c r="L235" s="70"/>
      <c r="M235" s="74">
        <v>7</v>
      </c>
      <c r="N235" s="77">
        <f t="shared" si="1"/>
        <v>60</v>
      </c>
    </row>
    <row r="236" spans="2:14" x14ac:dyDescent="0.25">
      <c r="B236" s="13"/>
      <c r="D236" s="14"/>
      <c r="E236" s="13"/>
      <c r="F236" s="14"/>
      <c r="G236" s="14"/>
      <c r="H236" t="s">
        <v>60</v>
      </c>
      <c r="I236" t="str">
        <f>VLOOKUP($H236,инфо!$P:$Q,2,FALSE)</f>
        <v>Сахар</v>
      </c>
      <c r="J236" s="15" t="str">
        <f>VLOOKUP(I236,инфо!C:E,3,FALSE)</f>
        <v>кг</v>
      </c>
      <c r="K236" s="16"/>
      <c r="L236" s="70"/>
      <c r="M236" s="74">
        <v>4</v>
      </c>
      <c r="N236" s="77">
        <f t="shared" si="1"/>
        <v>86</v>
      </c>
    </row>
    <row r="237" spans="2:14" x14ac:dyDescent="0.25">
      <c r="B237" s="13"/>
      <c r="D237" s="14"/>
      <c r="E237" s="13"/>
      <c r="F237" s="14"/>
      <c r="G237" s="14"/>
      <c r="H237" t="s">
        <v>61</v>
      </c>
      <c r="I237" t="str">
        <f>VLOOKUP($H237,инфо!$P:$Q,2,FALSE)</f>
        <v>Сметана</v>
      </c>
      <c r="J237" s="15" t="str">
        <f>VLOOKUP(I237,инфо!C:E,3,FALSE)</f>
        <v>кг</v>
      </c>
      <c r="K237" s="16"/>
      <c r="L237" s="70"/>
      <c r="M237" s="74">
        <v>1</v>
      </c>
      <c r="N237" s="77">
        <f t="shared" si="1"/>
        <v>21</v>
      </c>
    </row>
    <row r="238" spans="2:14" x14ac:dyDescent="0.25">
      <c r="B238" s="13"/>
      <c r="D238" s="14"/>
      <c r="E238" s="13"/>
      <c r="F238" s="14"/>
      <c r="G238" s="14"/>
      <c r="H238" t="s">
        <v>62</v>
      </c>
      <c r="I238" t="str">
        <f>VLOOKUP($H238,инфо!$P:$Q,2,FALSE)</f>
        <v>Соль</v>
      </c>
      <c r="J238" s="15" t="str">
        <f>VLOOKUP(I238,инфо!C:E,3,FALSE)</f>
        <v>кг</v>
      </c>
      <c r="K238" s="16"/>
      <c r="L238" s="70"/>
      <c r="M238" s="74">
        <v>2</v>
      </c>
      <c r="N238" s="77">
        <f t="shared" si="1"/>
        <v>3</v>
      </c>
    </row>
    <row r="239" spans="2:14" x14ac:dyDescent="0.25">
      <c r="B239" s="13"/>
      <c r="D239" s="14"/>
      <c r="E239" s="13"/>
      <c r="F239" s="14"/>
      <c r="G239" s="14"/>
      <c r="H239" t="s">
        <v>63</v>
      </c>
      <c r="I239" t="str">
        <f>VLOOKUP($H239,инфо!$P:$Q,2,FALSE)</f>
        <v>Сыр плавленный</v>
      </c>
      <c r="J239" s="15" t="str">
        <f>VLOOKUP(I239,инфо!C:E,3,FALSE)</f>
        <v>кг</v>
      </c>
      <c r="K239" s="16"/>
      <c r="L239" s="70"/>
      <c r="M239" s="74">
        <v>3</v>
      </c>
      <c r="N239" s="77">
        <f t="shared" si="1"/>
        <v>27</v>
      </c>
    </row>
    <row r="240" spans="2:14" x14ac:dyDescent="0.25">
      <c r="B240" s="13"/>
      <c r="D240" s="14"/>
      <c r="E240" s="13"/>
      <c r="F240" s="14"/>
      <c r="G240" s="14"/>
      <c r="H240" t="s">
        <v>64</v>
      </c>
      <c r="I240" t="str">
        <f>VLOOKUP($H240,инфо!$P:$Q,2,FALSE)</f>
        <v>Чай</v>
      </c>
      <c r="J240" s="15" t="str">
        <f>VLOOKUP(I240,инфо!C:E,3,FALSE)</f>
        <v>кг</v>
      </c>
      <c r="K240" s="16"/>
      <c r="L240" s="70"/>
      <c r="M240" s="74">
        <v>4</v>
      </c>
      <c r="N240" s="77">
        <f t="shared" si="1"/>
        <v>11</v>
      </c>
    </row>
    <row r="241" spans="2:14" x14ac:dyDescent="0.25">
      <c r="B241" s="13"/>
      <c r="D241" s="14"/>
      <c r="E241" s="13"/>
      <c r="F241" s="14"/>
      <c r="G241" s="14"/>
      <c r="H241" t="s">
        <v>66</v>
      </c>
      <c r="I241" t="str">
        <f>VLOOKUP($H241,инфо!$P:$Q,2,FALSE)</f>
        <v>Колбаса с/к</v>
      </c>
      <c r="J241" s="15" t="str">
        <f>VLOOKUP(I241,инфо!C:E,3,FALSE)</f>
        <v>кг</v>
      </c>
      <c r="K241" s="16"/>
      <c r="L241" s="70"/>
      <c r="M241" s="74">
        <v>5</v>
      </c>
      <c r="N241" s="77">
        <f t="shared" si="1"/>
        <v>15</v>
      </c>
    </row>
    <row r="242" spans="2:14" x14ac:dyDescent="0.25">
      <c r="B242" s="13"/>
      <c r="D242" s="14"/>
      <c r="E242" s="13"/>
      <c r="F242" s="14"/>
      <c r="G242" s="14"/>
      <c r="H242" t="s">
        <v>67</v>
      </c>
      <c r="I242" t="str">
        <f>VLOOKUP($H242,инфо!$P:$Q,2,FALSE)</f>
        <v>Масло коровье</v>
      </c>
      <c r="J242" s="15" t="str">
        <f>VLOOKUP(I242,инфо!C:E,3,FALSE)</f>
        <v>кг</v>
      </c>
      <c r="K242" s="16"/>
      <c r="L242" s="70"/>
      <c r="M242" s="74">
        <v>6</v>
      </c>
      <c r="N242" s="77">
        <f t="shared" si="1"/>
        <v>16</v>
      </c>
    </row>
    <row r="243" spans="2:14" x14ac:dyDescent="0.25">
      <c r="B243" s="13"/>
      <c r="D243" s="14"/>
      <c r="E243" s="13"/>
      <c r="F243" s="14"/>
      <c r="G243" s="14"/>
      <c r="H243" t="s">
        <v>68</v>
      </c>
      <c r="I243" t="str">
        <f>VLOOKUP($H243,инфо!$P:$Q,2,FALSE)</f>
        <v>Масло растительное</v>
      </c>
      <c r="J243" s="15" t="str">
        <f>VLOOKUP(I243,инфо!C:E,3,FALSE)</f>
        <v>кг</v>
      </c>
      <c r="K243" s="16"/>
      <c r="L243" s="70"/>
      <c r="M243" s="74">
        <v>2</v>
      </c>
      <c r="N243" s="77">
        <f t="shared" si="1"/>
        <v>39</v>
      </c>
    </row>
    <row r="244" spans="2:14" x14ac:dyDescent="0.25">
      <c r="B244" s="13"/>
      <c r="D244" s="14"/>
      <c r="E244" s="13"/>
      <c r="F244" s="14"/>
      <c r="G244" s="14"/>
      <c r="H244" t="s">
        <v>69</v>
      </c>
      <c r="I244" t="str">
        <f>VLOOKUP($H244,инфо!$P:$Q,2,FALSE)</f>
        <v>Сало-шпик</v>
      </c>
      <c r="J244" s="15" t="str">
        <f>VLOOKUP(I244,инфо!C:E,3,FALSE)</f>
        <v>кг</v>
      </c>
      <c r="K244" s="16"/>
      <c r="L244" s="70"/>
      <c r="M244" s="74">
        <v>1</v>
      </c>
      <c r="N244" s="77">
        <f t="shared" si="1"/>
        <v>15</v>
      </c>
    </row>
    <row r="245" spans="2:14" x14ac:dyDescent="0.25">
      <c r="B245" s="13"/>
      <c r="D245" s="14"/>
      <c r="E245" s="13"/>
      <c r="F245" s="14"/>
      <c r="G245" s="14"/>
      <c r="H245" t="s">
        <v>70</v>
      </c>
      <c r="I245" t="str">
        <f>VLOOKUP($H245,инфо!$P:$Q,2,FALSE)</f>
        <v>Говядина б/к ,печень</v>
      </c>
      <c r="J245" s="15" t="str">
        <f>VLOOKUP(I245,инфо!C:E,3,FALSE)</f>
        <v>кг</v>
      </c>
      <c r="K245" s="16"/>
      <c r="L245" s="70"/>
      <c r="M245" s="74">
        <v>3</v>
      </c>
      <c r="N245" s="77">
        <f t="shared" si="1"/>
        <v>68</v>
      </c>
    </row>
    <row r="246" spans="2:14" x14ac:dyDescent="0.25">
      <c r="B246" s="13"/>
      <c r="D246" s="14"/>
      <c r="E246" s="13"/>
      <c r="F246" s="14"/>
      <c r="G246" s="14"/>
      <c r="H246" t="s">
        <v>71</v>
      </c>
      <c r="I246" t="str">
        <f>VLOOKUP($H246,инфо!$P:$Q,2,FALSE)</f>
        <v>Колбаса п/к</v>
      </c>
      <c r="J246" s="15" t="str">
        <f>VLOOKUP(I246,инфо!C:E,3,FALSE)</f>
        <v>кг</v>
      </c>
      <c r="K246" s="16"/>
      <c r="L246" s="70"/>
      <c r="M246" s="74">
        <v>4</v>
      </c>
      <c r="N246" s="77">
        <f t="shared" si="1"/>
        <v>12</v>
      </c>
    </row>
    <row r="247" spans="2:14" x14ac:dyDescent="0.25">
      <c r="B247" s="13"/>
      <c r="D247" s="14"/>
      <c r="E247" s="13"/>
      <c r="F247" s="14"/>
      <c r="G247" s="14"/>
      <c r="H247" t="s">
        <v>33</v>
      </c>
      <c r="I247" t="str">
        <f>VLOOKUP($H247,инфо!$P:$Q,2,FALSE)</f>
        <v>Консервы рыбные</v>
      </c>
      <c r="J247" s="15" t="str">
        <f>VLOOKUP(I247,инфо!C:E,3,FALSE)</f>
        <v>кг</v>
      </c>
      <c r="K247" s="16"/>
      <c r="L247" s="70"/>
      <c r="M247" s="74">
        <v>5</v>
      </c>
      <c r="N247" s="77">
        <f t="shared" si="1"/>
        <v>46</v>
      </c>
    </row>
    <row r="248" spans="2:14" x14ac:dyDescent="0.25">
      <c r="B248" s="13"/>
      <c r="D248" s="14"/>
      <c r="E248" s="13"/>
      <c r="F248" s="14"/>
      <c r="G248" s="14"/>
      <c r="H248" t="s">
        <v>72</v>
      </c>
      <c r="I248" t="str">
        <f>VLOOKUP($H248,инфо!$P:$Q,2,FALSE)</f>
        <v>Мясо птицы</v>
      </c>
      <c r="J248" s="15" t="str">
        <f>VLOOKUP(I248,инфо!C:E,3,FALSE)</f>
        <v>кг</v>
      </c>
      <c r="K248" s="16"/>
      <c r="L248" s="70"/>
      <c r="M248" s="74">
        <v>2</v>
      </c>
      <c r="N248" s="77">
        <f t="shared" si="1"/>
        <v>73</v>
      </c>
    </row>
    <row r="249" spans="2:14" x14ac:dyDescent="0.25">
      <c r="B249" s="13"/>
      <c r="D249" s="14"/>
      <c r="E249" s="13"/>
      <c r="F249" s="14"/>
      <c r="G249" s="14"/>
      <c r="H249" t="s">
        <v>73</v>
      </c>
      <c r="I249" t="str">
        <f>VLOOKUP($H249,инфо!$P:$Q,2,FALSE)</f>
        <v xml:space="preserve">Рыба с/м </v>
      </c>
      <c r="J249" s="15" t="str">
        <f>VLOOKUP(I249,инфо!C:E,3,FALSE)</f>
        <v>кг</v>
      </c>
      <c r="K249" s="16"/>
      <c r="L249" s="70"/>
      <c r="M249" s="74">
        <v>1</v>
      </c>
      <c r="N249" s="77">
        <f t="shared" si="1"/>
        <v>87</v>
      </c>
    </row>
    <row r="250" spans="2:14" x14ac:dyDescent="0.25">
      <c r="B250" s="13"/>
      <c r="D250" s="14"/>
      <c r="E250" s="13"/>
      <c r="F250" s="14"/>
      <c r="G250" s="14"/>
      <c r="H250" t="s">
        <v>34</v>
      </c>
      <c r="I250" t="str">
        <f>VLOOKUP($H250,инфо!$P:$Q,2,FALSE)</f>
        <v>Сардельки, сосиски</v>
      </c>
      <c r="J250" s="15" t="str">
        <f>VLOOKUP(I250,инфо!C:E,3,FALSE)</f>
        <v>кг</v>
      </c>
      <c r="K250" s="16"/>
      <c r="L250" s="70"/>
      <c r="M250" s="74">
        <v>1</v>
      </c>
      <c r="N250" s="77">
        <f t="shared" si="1"/>
        <v>40</v>
      </c>
    </row>
    <row r="251" spans="2:14" x14ac:dyDescent="0.25">
      <c r="B251" s="13"/>
      <c r="D251" s="14"/>
      <c r="E251" s="13"/>
      <c r="F251" s="14"/>
      <c r="G251" s="14"/>
      <c r="H251" t="s">
        <v>74</v>
      </c>
      <c r="I251" t="str">
        <f>VLOOKUP($H251,инфо!$P:$Q,2,FALSE)</f>
        <v>Свинина б/к</v>
      </c>
      <c r="J251" s="15" t="str">
        <f>VLOOKUP(I251,инфо!C:E,3,FALSE)</f>
        <v>кг</v>
      </c>
      <c r="K251" s="16"/>
      <c r="L251" s="70"/>
      <c r="M251" s="74">
        <v>5</v>
      </c>
      <c r="N251" s="77">
        <f t="shared" si="1"/>
        <v>57</v>
      </c>
    </row>
    <row r="252" spans="2:14" x14ac:dyDescent="0.25">
      <c r="B252" s="13"/>
      <c r="D252" s="14"/>
      <c r="E252" s="13"/>
      <c r="F252" s="14"/>
      <c r="G252" s="14"/>
      <c r="H252" t="s">
        <v>75</v>
      </c>
      <c r="I252" t="str">
        <f>VLOOKUP($H252,инфо!$P:$Q,2,FALSE)</f>
        <v>Сельдь</v>
      </c>
      <c r="J252" s="15" t="str">
        <f>VLOOKUP(I252,инфо!C:E,3,FALSE)</f>
        <v>кг</v>
      </c>
      <c r="K252" s="16"/>
      <c r="L252" s="70"/>
      <c r="M252" s="74">
        <v>6</v>
      </c>
      <c r="N252" s="77">
        <f t="shared" si="1"/>
        <v>46</v>
      </c>
    </row>
    <row r="253" spans="2:14" x14ac:dyDescent="0.25">
      <c r="B253" s="13"/>
      <c r="D253" s="14"/>
      <c r="E253" s="13"/>
      <c r="F253" s="14"/>
      <c r="G253" s="14"/>
      <c r="H253" t="s">
        <v>260</v>
      </c>
      <c r="I253" t="str">
        <f>VLOOKUP($H253,инфо!$P:$Q,2,FALSE)</f>
        <v>Гексавит</v>
      </c>
      <c r="J253" s="15" t="str">
        <f>VLOOKUP(I253,инфо!C:E,3,FALSE)</f>
        <v>кг</v>
      </c>
      <c r="K253" s="16"/>
      <c r="L253" s="70"/>
      <c r="M253" s="74">
        <v>2</v>
      </c>
      <c r="N253" s="77">
        <f t="shared" si="1"/>
        <v>3</v>
      </c>
    </row>
    <row r="254" spans="2:14" x14ac:dyDescent="0.25">
      <c r="B254" s="13"/>
      <c r="D254" s="14"/>
      <c r="E254" s="13"/>
      <c r="F254" s="14"/>
      <c r="G254" s="14"/>
      <c r="H254" t="s">
        <v>77</v>
      </c>
      <c r="I254" t="str">
        <f>VLOOKUP($H254,инфо!$P:$Q,2,FALSE)</f>
        <v>Горчичный порошок</v>
      </c>
      <c r="J254" s="15" t="str">
        <f>VLOOKUP(I254,инфо!C:E,3,FALSE)</f>
        <v>кг</v>
      </c>
      <c r="K254" s="16"/>
      <c r="L254" s="70"/>
      <c r="M254" s="74">
        <v>3</v>
      </c>
      <c r="N254" s="77">
        <f t="shared" si="1"/>
        <v>2</v>
      </c>
    </row>
    <row r="255" spans="2:14" x14ac:dyDescent="0.25">
      <c r="B255" s="13"/>
      <c r="D255" s="14"/>
      <c r="E255" s="13"/>
      <c r="F255" s="14"/>
      <c r="G255" s="14"/>
      <c r="H255" t="s">
        <v>78</v>
      </c>
      <c r="I255" t="str">
        <f>VLOOKUP($H255,инфо!$P:$Q,2,FALSE)</f>
        <v>Зелень</v>
      </c>
      <c r="J255" s="15" t="str">
        <f>VLOOKUP(I255,инфо!C:E,3,FALSE)</f>
        <v>кг</v>
      </c>
      <c r="K255" s="16"/>
      <c r="L255" s="70"/>
      <c r="M255" s="74">
        <v>1</v>
      </c>
      <c r="N255" s="77">
        <f t="shared" si="1"/>
        <v>7</v>
      </c>
    </row>
    <row r="256" spans="2:14" x14ac:dyDescent="0.25">
      <c r="B256" s="13"/>
      <c r="D256" s="14"/>
      <c r="E256" s="13"/>
      <c r="F256" s="14"/>
      <c r="G256" s="14"/>
      <c r="H256" t="s">
        <v>79</v>
      </c>
      <c r="I256" t="str">
        <f>VLOOKUP($H256,инфо!$P:$Q,2,FALSE)</f>
        <v>Изюм</v>
      </c>
      <c r="J256" s="15" t="str">
        <f>VLOOKUP(I256,инфо!C:E,3,FALSE)</f>
        <v>кг</v>
      </c>
      <c r="K256" s="16"/>
      <c r="L256" s="70"/>
      <c r="M256" s="74">
        <v>1</v>
      </c>
      <c r="N256" s="77">
        <f t="shared" si="1"/>
        <v>14</v>
      </c>
    </row>
    <row r="257" spans="2:14" x14ac:dyDescent="0.25">
      <c r="B257" s="13"/>
      <c r="D257" s="14"/>
      <c r="E257" s="13"/>
      <c r="F257" s="14"/>
      <c r="G257" s="14"/>
      <c r="H257" t="s">
        <v>80</v>
      </c>
      <c r="I257" t="str">
        <f>VLOOKUP($H257,инфо!$P:$Q,2,FALSE)</f>
        <v>Кефир</v>
      </c>
      <c r="J257" s="15" t="str">
        <f>VLOOKUP(I257,инфо!C:E,3,FALSE)</f>
        <v>кг</v>
      </c>
      <c r="K257" s="16"/>
      <c r="L257" s="70"/>
      <c r="M257" s="74">
        <v>3</v>
      </c>
      <c r="N257" s="77">
        <f t="shared" si="1"/>
        <v>22</v>
      </c>
    </row>
    <row r="258" spans="2:14" x14ac:dyDescent="0.25">
      <c r="B258" s="13"/>
      <c r="D258" s="14"/>
      <c r="E258" s="13"/>
      <c r="F258" s="14"/>
      <c r="G258" s="14"/>
      <c r="H258" t="s">
        <v>81</v>
      </c>
      <c r="I258" t="str">
        <f>VLOOKUP($H258,инфо!$P:$Q,2,FALSE)</f>
        <v xml:space="preserve">Консервы овощ. закусочные, лечо </v>
      </c>
      <c r="J258" s="15" t="str">
        <f>VLOOKUP(I258,инфо!C:E,3,FALSE)</f>
        <v>кг</v>
      </c>
      <c r="K258" s="16"/>
      <c r="L258" s="70"/>
      <c r="M258" s="74">
        <v>5</v>
      </c>
      <c r="N258" s="77">
        <f t="shared" si="1"/>
        <v>46</v>
      </c>
    </row>
    <row r="259" spans="2:14" x14ac:dyDescent="0.25">
      <c r="B259" s="13"/>
      <c r="D259" s="14"/>
      <c r="E259" s="13"/>
      <c r="F259" s="14"/>
      <c r="G259" s="14"/>
      <c r="H259" t="s">
        <v>82</v>
      </c>
      <c r="I259" t="str">
        <f>VLOOKUP($H259,инфо!$P:$Q,2,FALSE)</f>
        <v>Кофе растворимый</v>
      </c>
      <c r="J259" s="15" t="str">
        <f>VLOOKUP(I259,инфо!C:E,3,FALSE)</f>
        <v>кг</v>
      </c>
      <c r="K259" s="16"/>
      <c r="L259" s="70"/>
      <c r="M259" s="74">
        <v>6</v>
      </c>
      <c r="N259" s="77">
        <f t="shared" si="1"/>
        <v>2</v>
      </c>
    </row>
    <row r="260" spans="2:14" x14ac:dyDescent="0.25">
      <c r="B260" s="13"/>
      <c r="D260" s="14"/>
      <c r="E260" s="13"/>
      <c r="F260" s="14"/>
      <c r="G260" s="14"/>
      <c r="H260" t="s">
        <v>83</v>
      </c>
      <c r="I260" t="str">
        <f>VLOOKUP($H260,инфо!$P:$Q,2,FALSE)</f>
        <v>Курага</v>
      </c>
      <c r="J260" s="15" t="str">
        <f>VLOOKUP(I260,инфо!C:E,3,FALSE)</f>
        <v>кг</v>
      </c>
      <c r="K260" s="16"/>
      <c r="L260" s="70"/>
      <c r="M260" s="74">
        <v>1</v>
      </c>
      <c r="N260" s="77">
        <f t="shared" si="1"/>
        <v>3</v>
      </c>
    </row>
    <row r="261" spans="2:14" x14ac:dyDescent="0.25">
      <c r="B261" s="13"/>
      <c r="D261" s="14"/>
      <c r="E261" s="13"/>
      <c r="F261" s="14"/>
      <c r="G261" s="14"/>
      <c r="H261" t="s">
        <v>84</v>
      </c>
      <c r="I261" t="str">
        <f>VLOOKUP($H261,инфо!$P:$Q,2,FALSE)</f>
        <v>Лавровый лист</v>
      </c>
      <c r="J261" s="15" t="str">
        <f>VLOOKUP(I261,инфо!C:E,3,FALSE)</f>
        <v>кг</v>
      </c>
      <c r="K261" s="16"/>
      <c r="L261" s="70"/>
      <c r="M261" s="74">
        <v>0.2</v>
      </c>
      <c r="N261" s="77">
        <f t="shared" si="1"/>
        <v>1.8</v>
      </c>
    </row>
    <row r="262" spans="2:14" x14ac:dyDescent="0.25">
      <c r="B262" s="13"/>
      <c r="D262" s="14"/>
      <c r="E262" s="13"/>
      <c r="F262" s="14"/>
      <c r="G262" s="14"/>
      <c r="H262" t="s">
        <v>85</v>
      </c>
      <c r="I262" t="str">
        <f>VLOOKUP($H262,инфо!$P:$Q,2,FALSE)</f>
        <v>Перец</v>
      </c>
      <c r="J262" s="15" t="str">
        <f>VLOOKUP(I262,инфо!C:E,3,FALSE)</f>
        <v>кг</v>
      </c>
      <c r="K262" s="16"/>
      <c r="L262" s="70"/>
      <c r="M262" s="74">
        <v>0.4</v>
      </c>
      <c r="N262" s="77">
        <f t="shared" si="1"/>
        <v>4.5999999999999996</v>
      </c>
    </row>
    <row r="263" spans="2:14" x14ac:dyDescent="0.25">
      <c r="B263" s="13"/>
      <c r="D263" s="14"/>
      <c r="E263" s="13"/>
      <c r="F263" s="14"/>
      <c r="G263" s="14"/>
      <c r="H263" t="s">
        <v>86</v>
      </c>
      <c r="I263" t="str">
        <f>VLOOKUP($H263,инфо!$P:$Q,2,FALSE)</f>
        <v>Сок п/я</v>
      </c>
      <c r="J263" s="15" t="str">
        <f>VLOOKUP(I263,инфо!C:E,3,FALSE)</f>
        <v>кг</v>
      </c>
      <c r="K263" s="16"/>
      <c r="L263" s="70"/>
      <c r="M263" s="74">
        <v>2</v>
      </c>
      <c r="N263" s="77">
        <f t="shared" si="1"/>
        <v>68</v>
      </c>
    </row>
    <row r="264" spans="2:14" x14ac:dyDescent="0.25">
      <c r="B264" s="13"/>
      <c r="D264" s="14"/>
      <c r="E264" s="13"/>
      <c r="F264" s="14"/>
      <c r="G264" s="14"/>
      <c r="H264" t="s">
        <v>87</v>
      </c>
      <c r="I264" t="str">
        <f>VLOOKUP($H264,инфо!$P:$Q,2,FALSE)</f>
        <v>Томат-паста</v>
      </c>
      <c r="J264" s="15" t="str">
        <f>VLOOKUP(I264,инфо!C:E,3,FALSE)</f>
        <v>кг</v>
      </c>
      <c r="K264" s="16"/>
      <c r="L264" s="70"/>
      <c r="M264" s="74">
        <v>1</v>
      </c>
      <c r="N264" s="77">
        <f t="shared" si="1"/>
        <v>3</v>
      </c>
    </row>
    <row r="265" spans="2:14" x14ac:dyDescent="0.25">
      <c r="B265" s="13"/>
      <c r="D265" s="14"/>
      <c r="E265" s="13"/>
      <c r="F265" s="14"/>
      <c r="G265" s="14"/>
      <c r="H265" t="s">
        <v>88</v>
      </c>
      <c r="I265" t="str">
        <f>VLOOKUP($H265,инфо!$P:$Q,2,FALSE)</f>
        <v>Уксус</v>
      </c>
      <c r="J265" s="15" t="str">
        <f>VLOOKUP(I265,инфо!C:E,3,FALSE)</f>
        <v>кг</v>
      </c>
      <c r="K265" s="16"/>
      <c r="L265" s="70"/>
      <c r="M265" s="74">
        <v>0.5</v>
      </c>
      <c r="N265" s="77">
        <f t="shared" si="1"/>
        <v>6.5</v>
      </c>
    </row>
    <row r="266" spans="2:14" x14ac:dyDescent="0.25">
      <c r="B266" s="13"/>
      <c r="D266" s="14"/>
      <c r="E266" s="13"/>
      <c r="F266" s="14"/>
      <c r="G266" s="14"/>
      <c r="H266" t="s">
        <v>89</v>
      </c>
      <c r="I266" t="str">
        <f>VLOOKUP($H266,инфо!$P:$Q,2,FALSE)</f>
        <v>Чернослив</v>
      </c>
      <c r="J266" s="15" t="str">
        <f>VLOOKUP(I266,инфо!C:E,3,FALSE)</f>
        <v>шт</v>
      </c>
      <c r="K266" s="16"/>
      <c r="L266" s="70"/>
      <c r="M266" s="74">
        <v>3</v>
      </c>
      <c r="N266" s="77">
        <f t="shared" si="1"/>
        <v>53</v>
      </c>
    </row>
    <row r="267" spans="2:14" x14ac:dyDescent="0.25">
      <c r="B267" s="13"/>
      <c r="D267" s="14"/>
      <c r="E267" s="13"/>
      <c r="F267" s="14"/>
      <c r="G267" s="14"/>
      <c r="H267" t="s">
        <v>90</v>
      </c>
      <c r="I267" t="str">
        <f>VLOOKUP($H267,инфо!$P:$Q,2,FALSE)</f>
        <v>Яйцо</v>
      </c>
      <c r="J267" s="15" t="str">
        <f>VLOOKUP(I267,инфо!C:E,3,FALSE)</f>
        <v>кг</v>
      </c>
      <c r="K267" s="16"/>
      <c r="L267" s="70"/>
      <c r="M267" s="74">
        <v>3</v>
      </c>
      <c r="N267" s="77">
        <f t="shared" si="1"/>
        <v>297</v>
      </c>
    </row>
    <row r="268" spans="2:14" x14ac:dyDescent="0.25">
      <c r="B268" s="13"/>
      <c r="D268" s="14"/>
      <c r="E268" s="13"/>
      <c r="F268" s="14"/>
      <c r="G268" s="14"/>
      <c r="H268" t="s">
        <v>92</v>
      </c>
      <c r="I268" t="str">
        <f>VLOOKUP($H268,инфо!$P:$Q,2,FALSE)</f>
        <v>Апельсины</v>
      </c>
      <c r="J268" s="15" t="str">
        <f>VLOOKUP(I268,инфо!C:E,3,FALSE)</f>
        <v>кг</v>
      </c>
      <c r="K268" s="16"/>
      <c r="L268" s="70"/>
      <c r="M268" s="74">
        <v>2</v>
      </c>
      <c r="N268" s="77">
        <f t="shared" si="1"/>
        <v>4</v>
      </c>
    </row>
    <row r="269" spans="2:14" x14ac:dyDescent="0.25">
      <c r="B269" s="13"/>
      <c r="D269" s="14"/>
      <c r="E269" s="13"/>
      <c r="F269" s="14"/>
      <c r="G269" s="14"/>
      <c r="H269" t="s">
        <v>93</v>
      </c>
      <c r="I269" t="str">
        <f>VLOOKUP($H269,инфо!$P:$Q,2,FALSE)</f>
        <v>Вафли</v>
      </c>
      <c r="J269" s="15" t="str">
        <f>VLOOKUP(I269,инфо!C:E,3,FALSE)</f>
        <v>кг</v>
      </c>
      <c r="K269" s="16"/>
      <c r="L269" s="70"/>
      <c r="M269" s="74">
        <v>4</v>
      </c>
      <c r="N269" s="77">
        <f t="shared" si="1"/>
        <v>23</v>
      </c>
    </row>
    <row r="270" spans="2:14" x14ac:dyDescent="0.25">
      <c r="B270" s="13"/>
      <c r="D270" s="14"/>
      <c r="E270" s="13"/>
      <c r="F270" s="14"/>
      <c r="G270" s="14"/>
      <c r="H270" t="s">
        <v>94</v>
      </c>
      <c r="I270" t="str">
        <f>VLOOKUP($H270,инфо!$P:$Q,2,FALSE)</f>
        <v>Карамель</v>
      </c>
      <c r="J270" s="15" t="str">
        <f>VLOOKUP(I270,инфо!C:E,3,FALSE)</f>
        <v>кг</v>
      </c>
      <c r="K270" s="16"/>
      <c r="L270" s="70"/>
      <c r="M270" s="74">
        <v>2</v>
      </c>
      <c r="N270" s="77">
        <f t="shared" ref="N270:N278" si="2">IF(M270&lt;&gt;"",SUMIF($H:$H,$H270,L:L)-SUMIF($H:$H,$H270,M:M),"")</f>
        <v>78</v>
      </c>
    </row>
    <row r="271" spans="2:14" x14ac:dyDescent="0.25">
      <c r="B271" s="13"/>
      <c r="D271" s="14"/>
      <c r="E271" s="13"/>
      <c r="F271" s="14"/>
      <c r="G271" s="14"/>
      <c r="H271" t="s">
        <v>95</v>
      </c>
      <c r="I271" t="str">
        <f>VLOOKUP($H271,инфо!$P:$Q,2,FALSE)</f>
        <v>Конфеты шоколадные</v>
      </c>
      <c r="J271" s="15" t="str">
        <f>VLOOKUP(I271,инфо!C:E,3,FALSE)</f>
        <v>кг</v>
      </c>
      <c r="K271" s="16"/>
      <c r="L271" s="70"/>
      <c r="M271" s="74">
        <v>3</v>
      </c>
      <c r="N271" s="77">
        <f t="shared" si="2"/>
        <v>54</v>
      </c>
    </row>
    <row r="272" spans="2:14" x14ac:dyDescent="0.25">
      <c r="B272" s="13"/>
      <c r="D272" s="14"/>
      <c r="E272" s="13"/>
      <c r="F272" s="14"/>
      <c r="G272" s="14"/>
      <c r="H272" t="s">
        <v>96</v>
      </c>
      <c r="I272" t="str">
        <f>VLOOKUP($H272,инфо!$P:$Q,2,FALSE)</f>
        <v>Кофе БС</v>
      </c>
      <c r="J272" s="15" t="str">
        <f>VLOOKUP(I272,инфо!C:E,3,FALSE)</f>
        <v>кг</v>
      </c>
      <c r="K272" s="16"/>
      <c r="L272" s="70"/>
      <c r="M272" s="74">
        <v>1</v>
      </c>
      <c r="N272" s="77">
        <f t="shared" si="2"/>
        <v>1</v>
      </c>
    </row>
    <row r="273" spans="2:14" x14ac:dyDescent="0.25">
      <c r="B273" s="13"/>
      <c r="D273" s="14"/>
      <c r="E273" s="13"/>
      <c r="F273" s="14"/>
      <c r="G273" s="14"/>
      <c r="H273" t="s">
        <v>97</v>
      </c>
      <c r="I273" t="str">
        <f>VLOOKUP($H273,инфо!$P:$Q,2,FALSE)</f>
        <v xml:space="preserve">Молоко сгущ. </v>
      </c>
      <c r="J273" s="15" t="str">
        <f>VLOOKUP(I273,инфо!C:E,3,FALSE)</f>
        <v>кг</v>
      </c>
      <c r="K273" s="16"/>
      <c r="L273" s="70"/>
      <c r="M273" s="74">
        <v>2</v>
      </c>
      <c r="N273" s="77">
        <f t="shared" si="2"/>
        <v>1</v>
      </c>
    </row>
    <row r="274" spans="2:14" x14ac:dyDescent="0.25">
      <c r="B274" s="13"/>
      <c r="D274" s="14"/>
      <c r="E274" s="13"/>
      <c r="F274" s="14"/>
      <c r="G274" s="14"/>
      <c r="H274" t="s">
        <v>98</v>
      </c>
      <c r="I274" t="str">
        <f>VLOOKUP($H274,инфо!$P:$Q,2,FALSE)</f>
        <v>Печенье</v>
      </c>
      <c r="J274" s="15" t="str">
        <f>VLOOKUP(I274,инфо!C:E,3,FALSE)</f>
        <v>кг</v>
      </c>
      <c r="K274" s="16"/>
      <c r="L274" s="70"/>
      <c r="M274" s="74">
        <v>6</v>
      </c>
      <c r="N274" s="77">
        <f t="shared" si="2"/>
        <v>34</v>
      </c>
    </row>
    <row r="275" spans="2:14" x14ac:dyDescent="0.25">
      <c r="B275" s="13"/>
      <c r="D275" s="14"/>
      <c r="E275" s="13"/>
      <c r="F275" s="14"/>
      <c r="G275" s="14"/>
      <c r="H275" t="s">
        <v>99</v>
      </c>
      <c r="I275" t="str">
        <f>VLOOKUP($H275,инфо!$P:$Q,2,FALSE)</f>
        <v>Печенье БС</v>
      </c>
      <c r="J275" s="15" t="str">
        <f>VLOOKUP(I275,инфо!C:E,3,FALSE)</f>
        <v>кг</v>
      </c>
      <c r="K275" s="16"/>
      <c r="L275" s="70"/>
      <c r="M275" s="74">
        <v>2</v>
      </c>
      <c r="N275" s="77">
        <f t="shared" si="2"/>
        <v>11</v>
      </c>
    </row>
    <row r="276" spans="2:14" x14ac:dyDescent="0.25">
      <c r="B276" s="13"/>
      <c r="D276" s="14"/>
      <c r="E276" s="13"/>
      <c r="F276" s="14"/>
      <c r="G276" s="14"/>
      <c r="H276" t="s">
        <v>100</v>
      </c>
      <c r="I276" t="str">
        <f>VLOOKUP($H276,инфо!$P:$Q,2,FALSE)</f>
        <v>Пряники, печенье</v>
      </c>
      <c r="J276" s="15" t="str">
        <f>VLOOKUP(I276,инфо!C:E,3,FALSE)</f>
        <v>кг</v>
      </c>
      <c r="K276" s="16"/>
      <c r="L276" s="70"/>
      <c r="M276" s="74">
        <v>3</v>
      </c>
      <c r="N276" s="77">
        <f t="shared" si="2"/>
        <v>17</v>
      </c>
    </row>
    <row r="277" spans="2:14" x14ac:dyDescent="0.25">
      <c r="B277" s="13"/>
      <c r="D277" s="14"/>
      <c r="E277" s="13"/>
      <c r="F277" s="14"/>
      <c r="G277" s="14"/>
      <c r="H277" t="s">
        <v>101</v>
      </c>
      <c r="I277" t="str">
        <f>VLOOKUP($H277,инфо!$P:$Q,2,FALSE)</f>
        <v>Сок яблочный</v>
      </c>
      <c r="J277" s="15" t="str">
        <f>VLOOKUP(I277,инфо!C:E,3,FALSE)</f>
        <v>кг</v>
      </c>
      <c r="K277" s="16"/>
      <c r="L277" s="70"/>
      <c r="M277" s="74">
        <v>3</v>
      </c>
      <c r="N277" s="77">
        <f t="shared" si="2"/>
        <v>37</v>
      </c>
    </row>
    <row r="278" spans="2:14" x14ac:dyDescent="0.25">
      <c r="B278" s="13"/>
      <c r="D278" s="14"/>
      <c r="E278" s="13"/>
      <c r="F278" s="14"/>
      <c r="G278" s="14"/>
      <c r="H278" t="s">
        <v>102</v>
      </c>
      <c r="I278" t="str">
        <f>VLOOKUP($H278,инфо!$P:$Q,2,FALSE)</f>
        <v>Яблоки свежие</v>
      </c>
      <c r="J278" s="15" t="str">
        <f>VLOOKUP(I278,инфо!C:E,3,FALSE)</f>
        <v>кг</v>
      </c>
      <c r="K278" s="16"/>
      <c r="L278" s="70"/>
      <c r="M278" s="74">
        <v>4</v>
      </c>
      <c r="N278" s="77">
        <f t="shared" si="2"/>
        <v>36</v>
      </c>
    </row>
    <row r="279" spans="2:14" x14ac:dyDescent="0.25">
      <c r="B279" s="13"/>
      <c r="D279" s="14"/>
      <c r="E279" s="13"/>
      <c r="F279" s="14"/>
      <c r="G279" s="14"/>
      <c r="J279" s="15" t="str">
        <f>IF($H279&lt;&gt;"",VLOOKUP($H279,#REF!,3,FALSE),"")</f>
        <v/>
      </c>
      <c r="K279" s="16"/>
      <c r="L279" s="70"/>
      <c r="M279" s="74"/>
    </row>
    <row r="280" spans="2:14" x14ac:dyDescent="0.25">
      <c r="B280" s="13"/>
      <c r="D280" s="14"/>
      <c r="E280" s="13"/>
      <c r="F280" s="14"/>
      <c r="G280" s="14"/>
      <c r="J280" s="15" t="str">
        <f>IF($H280&lt;&gt;"",VLOOKUP($H280,#REF!,3,FALSE),"")</f>
        <v/>
      </c>
      <c r="K280" s="16"/>
      <c r="L280" s="70"/>
      <c r="M280" s="74"/>
    </row>
    <row r="281" spans="2:14" x14ac:dyDescent="0.25">
      <c r="B281" s="13"/>
      <c r="D281" s="14"/>
      <c r="E281" s="13"/>
      <c r="F281" s="14"/>
      <c r="G281" s="14"/>
      <c r="J281" s="15" t="str">
        <f>IF($H281&lt;&gt;"",VLOOKUP($H281,#REF!,3,FALSE),"")</f>
        <v/>
      </c>
      <c r="K281" s="16"/>
      <c r="L281" s="70"/>
      <c r="M281" s="74"/>
    </row>
    <row r="282" spans="2:14" x14ac:dyDescent="0.25">
      <c r="B282" s="13"/>
      <c r="D282" s="14"/>
      <c r="E282" s="13"/>
      <c r="F282" s="14"/>
      <c r="G282" s="14"/>
      <c r="J282" s="15" t="str">
        <f>IF($H282&lt;&gt;"",VLOOKUP($H282,#REF!,3,FALSE),"")</f>
        <v/>
      </c>
      <c r="K282" s="16"/>
      <c r="L282" s="70"/>
      <c r="M282" s="74"/>
    </row>
    <row r="283" spans="2:14" x14ac:dyDescent="0.25">
      <c r="B283" s="13"/>
      <c r="D283" s="14"/>
      <c r="E283" s="13"/>
      <c r="F283" s="14"/>
      <c r="G283" s="14"/>
      <c r="J283" s="15" t="str">
        <f>IF($H283&lt;&gt;"",VLOOKUP($H283,#REF!,3,FALSE),"")</f>
        <v/>
      </c>
      <c r="K283" s="16"/>
      <c r="L283" s="70"/>
      <c r="M283" s="74"/>
    </row>
    <row r="284" spans="2:14" x14ac:dyDescent="0.25">
      <c r="B284" s="13"/>
      <c r="D284" s="14"/>
      <c r="E284" s="13"/>
      <c r="F284" s="14"/>
      <c r="G284" s="14"/>
      <c r="J284" s="15" t="str">
        <f>IF($H284&lt;&gt;"",VLOOKUP($H284,#REF!,3,FALSE),"")</f>
        <v/>
      </c>
      <c r="K284" s="16"/>
      <c r="L284" s="70"/>
      <c r="M284" s="74"/>
    </row>
    <row r="285" spans="2:14" x14ac:dyDescent="0.25">
      <c r="B285" s="13"/>
      <c r="D285" s="14"/>
      <c r="E285" s="13"/>
      <c r="F285" s="14"/>
      <c r="G285" s="14"/>
      <c r="J285" s="15" t="str">
        <f>IF($H285&lt;&gt;"",VLOOKUP($H285,#REF!,3,FALSE),"")</f>
        <v/>
      </c>
      <c r="K285" s="16"/>
      <c r="L285" s="70"/>
      <c r="M285" s="74"/>
    </row>
    <row r="286" spans="2:14" x14ac:dyDescent="0.25">
      <c r="B286" s="13"/>
      <c r="D286" s="14"/>
      <c r="E286" s="13"/>
      <c r="F286" s="14"/>
      <c r="G286" s="14"/>
      <c r="J286" s="15" t="str">
        <f>IF($H286&lt;&gt;"",VLOOKUP($H286,#REF!,3,FALSE),"")</f>
        <v/>
      </c>
      <c r="K286" s="16"/>
      <c r="L286" s="70"/>
      <c r="M286" s="74"/>
    </row>
    <row r="287" spans="2:14" x14ac:dyDescent="0.25">
      <c r="B287" s="13"/>
      <c r="D287" s="14"/>
      <c r="E287" s="13"/>
      <c r="F287" s="14"/>
      <c r="G287" s="14"/>
      <c r="J287" s="15" t="str">
        <f>IF($H287&lt;&gt;"",VLOOKUP($H287,#REF!,3,FALSE),"")</f>
        <v/>
      </c>
      <c r="K287" s="16"/>
      <c r="L287" s="70"/>
      <c r="M287" s="74"/>
    </row>
    <row r="288" spans="2:14" x14ac:dyDescent="0.25">
      <c r="B288" s="13"/>
      <c r="D288" s="14"/>
      <c r="E288" s="13"/>
      <c r="F288" s="14"/>
      <c r="G288" s="14"/>
      <c r="J288" s="15" t="str">
        <f>IF($H288&lt;&gt;"",VLOOKUP($H288,#REF!,3,FALSE),"")</f>
        <v/>
      </c>
      <c r="K288" s="16"/>
      <c r="L288" s="70"/>
      <c r="M288" s="74"/>
    </row>
    <row r="289" spans="2:13" x14ac:dyDescent="0.25">
      <c r="B289" s="13"/>
      <c r="D289" s="14"/>
      <c r="E289" s="13"/>
      <c r="F289" s="14"/>
      <c r="G289" s="14"/>
      <c r="J289" s="15" t="str">
        <f>IF($H289&lt;&gt;"",VLOOKUP($H289,#REF!,3,FALSE),"")</f>
        <v/>
      </c>
      <c r="K289" s="16"/>
      <c r="L289" s="70"/>
      <c r="M289" s="74"/>
    </row>
    <row r="290" spans="2:13" x14ac:dyDescent="0.25">
      <c r="B290" s="13"/>
      <c r="D290" s="14"/>
      <c r="E290" s="13"/>
      <c r="F290" s="14"/>
      <c r="G290" s="14"/>
      <c r="J290" s="15" t="str">
        <f>IF($H290&lt;&gt;"",VLOOKUP($H290,#REF!,3,FALSE),"")</f>
        <v/>
      </c>
      <c r="K290" s="16"/>
      <c r="L290" s="70"/>
      <c r="M290" s="74"/>
    </row>
    <row r="291" spans="2:13" x14ac:dyDescent="0.25">
      <c r="B291" s="13"/>
      <c r="D291" s="14"/>
      <c r="E291" s="13"/>
      <c r="F291" s="14"/>
      <c r="G291" s="14"/>
      <c r="J291" s="15" t="str">
        <f>IF($H291&lt;&gt;"",VLOOKUP($H291,#REF!,3,FALSE),"")</f>
        <v/>
      </c>
      <c r="K291" s="16"/>
      <c r="L291" s="70"/>
      <c r="M291" s="74"/>
    </row>
    <row r="292" spans="2:13" x14ac:dyDescent="0.25">
      <c r="B292" s="13"/>
      <c r="D292" s="14"/>
      <c r="E292" s="13"/>
      <c r="F292" s="14"/>
      <c r="G292" s="14"/>
      <c r="J292" s="15" t="str">
        <f>IF($H292&lt;&gt;"",VLOOKUP($H292,#REF!,3,FALSE),"")</f>
        <v/>
      </c>
      <c r="K292" s="16"/>
      <c r="L292" s="70"/>
      <c r="M292" s="74"/>
    </row>
    <row r="293" spans="2:13" x14ac:dyDescent="0.25">
      <c r="B293" s="13"/>
      <c r="D293" s="14"/>
      <c r="E293" s="13"/>
      <c r="F293" s="14"/>
      <c r="G293" s="14"/>
      <c r="J293" s="15" t="str">
        <f>IF($H293&lt;&gt;"",VLOOKUP($H293,#REF!,3,FALSE),"")</f>
        <v/>
      </c>
      <c r="K293" s="16"/>
      <c r="L293" s="70"/>
      <c r="M293" s="74"/>
    </row>
    <row r="294" spans="2:13" x14ac:dyDescent="0.25">
      <c r="B294" s="13"/>
      <c r="D294" s="14"/>
      <c r="E294" s="13"/>
      <c r="F294" s="14"/>
      <c r="G294" s="14"/>
      <c r="J294" s="15" t="str">
        <f>IF($H294&lt;&gt;"",VLOOKUP($H294,#REF!,3,FALSE),"")</f>
        <v/>
      </c>
      <c r="K294" s="16"/>
      <c r="L294" s="70"/>
      <c r="M294" s="74"/>
    </row>
    <row r="295" spans="2:13" x14ac:dyDescent="0.25">
      <c r="B295" s="13"/>
      <c r="D295" s="14"/>
      <c r="E295" s="13"/>
      <c r="F295" s="14"/>
      <c r="G295" s="14"/>
      <c r="J295" s="15" t="str">
        <f>IF($H295&lt;&gt;"",VLOOKUP($H295,#REF!,3,FALSE),"")</f>
        <v/>
      </c>
      <c r="K295" s="16"/>
      <c r="L295" s="70"/>
      <c r="M295" s="74"/>
    </row>
    <row r="296" spans="2:13" x14ac:dyDescent="0.25">
      <c r="B296" s="13"/>
      <c r="D296" s="14"/>
      <c r="E296" s="13"/>
      <c r="F296" s="14"/>
      <c r="G296" s="14"/>
      <c r="J296" s="15" t="str">
        <f>IF($H296&lt;&gt;"",VLOOKUP($H296,#REF!,3,FALSE),"")</f>
        <v/>
      </c>
      <c r="K296" s="16"/>
      <c r="L296" s="70"/>
      <c r="M296" s="74"/>
    </row>
    <row r="297" spans="2:13" x14ac:dyDescent="0.25">
      <c r="B297" s="13"/>
      <c r="D297" s="14"/>
      <c r="E297" s="13"/>
      <c r="F297" s="14"/>
      <c r="G297" s="14"/>
      <c r="J297" s="15" t="str">
        <f>IF($H297&lt;&gt;"",VLOOKUP($H297,#REF!,3,FALSE),"")</f>
        <v/>
      </c>
      <c r="K297" s="16"/>
      <c r="L297" s="70"/>
      <c r="M297" s="74"/>
    </row>
    <row r="298" spans="2:13" x14ac:dyDescent="0.25">
      <c r="B298" s="13"/>
      <c r="D298" s="14"/>
      <c r="E298" s="13"/>
      <c r="F298" s="14"/>
      <c r="G298" s="14"/>
      <c r="J298" s="15" t="str">
        <f>IF($H298&lt;&gt;"",VLOOKUP($H298,#REF!,3,FALSE),"")</f>
        <v/>
      </c>
      <c r="K298" s="16"/>
      <c r="L298" s="70"/>
      <c r="M298" s="74"/>
    </row>
    <row r="299" spans="2:13" x14ac:dyDescent="0.25">
      <c r="B299" s="13"/>
      <c r="D299" s="14"/>
      <c r="E299" s="13"/>
      <c r="F299" s="14"/>
      <c r="G299" s="14"/>
      <c r="J299" s="15" t="str">
        <f>IF($H299&lt;&gt;"",VLOOKUP($H299,#REF!,3,FALSE),"")</f>
        <v/>
      </c>
      <c r="K299" s="16"/>
      <c r="L299" s="70"/>
      <c r="M299" s="74"/>
    </row>
    <row r="300" spans="2:13" x14ac:dyDescent="0.25">
      <c r="B300" s="13"/>
      <c r="D300" s="14"/>
      <c r="E300" s="13"/>
      <c r="F300" s="14"/>
      <c r="G300" s="14"/>
      <c r="J300" s="15" t="str">
        <f>IF($H300&lt;&gt;"",VLOOKUP($H300,#REF!,3,FALSE),"")</f>
        <v/>
      </c>
      <c r="K300" s="16"/>
      <c r="L300" s="70"/>
      <c r="M300" s="74"/>
    </row>
    <row r="301" spans="2:13" x14ac:dyDescent="0.25">
      <c r="B301" s="13"/>
      <c r="D301" s="14"/>
      <c r="E301" s="13"/>
      <c r="F301" s="14"/>
      <c r="G301" s="14"/>
      <c r="J301" s="15" t="str">
        <f>IF($H301&lt;&gt;"",VLOOKUP($H301,#REF!,3,FALSE),"")</f>
        <v/>
      </c>
      <c r="K301" s="16"/>
      <c r="L301" s="70"/>
      <c r="M301" s="74"/>
    </row>
    <row r="302" spans="2:13" x14ac:dyDescent="0.25">
      <c r="B302" s="13"/>
      <c r="D302" s="14"/>
      <c r="E302" s="13"/>
      <c r="F302" s="14"/>
      <c r="G302" s="14"/>
      <c r="J302" s="15" t="str">
        <f>IF($H302&lt;&gt;"",VLOOKUP($H302,#REF!,3,FALSE),"")</f>
        <v/>
      </c>
      <c r="K302" s="16"/>
      <c r="L302" s="70"/>
      <c r="M302" s="74"/>
    </row>
    <row r="303" spans="2:13" x14ac:dyDescent="0.25">
      <c r="B303" s="13"/>
      <c r="D303" s="14"/>
      <c r="E303" s="13"/>
      <c r="F303" s="14"/>
      <c r="G303" s="14"/>
      <c r="J303" s="15" t="str">
        <f>IF($H303&lt;&gt;"",VLOOKUP($H303,#REF!,3,FALSE),"")</f>
        <v/>
      </c>
      <c r="K303" s="16"/>
      <c r="L303" s="70"/>
      <c r="M303" s="74"/>
    </row>
    <row r="304" spans="2:13" x14ac:dyDescent="0.25">
      <c r="B304" s="13"/>
      <c r="D304" s="14"/>
      <c r="E304" s="13"/>
      <c r="F304" s="14"/>
      <c r="G304" s="14"/>
      <c r="J304" s="15" t="str">
        <f>IF($H304&lt;&gt;"",VLOOKUP($H304,#REF!,3,FALSE),"")</f>
        <v/>
      </c>
      <c r="K304" s="16"/>
      <c r="L304" s="70"/>
      <c r="M304" s="74"/>
    </row>
    <row r="305" spans="2:13" x14ac:dyDescent="0.25">
      <c r="B305" s="13"/>
      <c r="D305" s="14"/>
      <c r="E305" s="13"/>
      <c r="F305" s="14"/>
      <c r="G305" s="14"/>
      <c r="J305" s="15" t="str">
        <f>IF($H305&lt;&gt;"",VLOOKUP($H305,#REF!,3,FALSE),"")</f>
        <v/>
      </c>
      <c r="K305" s="16"/>
      <c r="L305" s="70"/>
      <c r="M305" s="74"/>
    </row>
    <row r="306" spans="2:13" x14ac:dyDescent="0.25">
      <c r="B306" s="13"/>
      <c r="D306" s="14"/>
      <c r="E306" s="13"/>
      <c r="F306" s="14"/>
      <c r="G306" s="14"/>
      <c r="J306" s="15" t="str">
        <f>IF($H306&lt;&gt;"",VLOOKUP($H306,#REF!,3,FALSE),"")</f>
        <v/>
      </c>
      <c r="K306" s="16"/>
      <c r="L306" s="70"/>
      <c r="M306" s="74"/>
    </row>
    <row r="307" spans="2:13" x14ac:dyDescent="0.25">
      <c r="B307" s="13"/>
      <c r="D307" s="14"/>
      <c r="E307" s="13"/>
      <c r="F307" s="14"/>
      <c r="G307" s="14"/>
      <c r="J307" s="15" t="str">
        <f>IF($H307&lt;&gt;"",VLOOKUP($H307,#REF!,3,FALSE),"")</f>
        <v/>
      </c>
      <c r="K307" s="16"/>
      <c r="L307" s="70"/>
      <c r="M307" s="74"/>
    </row>
    <row r="308" spans="2:13" x14ac:dyDescent="0.25">
      <c r="B308" s="13"/>
      <c r="D308" s="14"/>
      <c r="E308" s="13"/>
      <c r="F308" s="14"/>
      <c r="G308" s="14"/>
      <c r="J308" s="15" t="str">
        <f>IF($H308&lt;&gt;"",VLOOKUP($H308,#REF!,3,FALSE),"")</f>
        <v/>
      </c>
      <c r="K308" s="16"/>
      <c r="L308" s="70"/>
      <c r="M308" s="74"/>
    </row>
    <row r="309" spans="2:13" x14ac:dyDescent="0.25">
      <c r="B309" s="13"/>
      <c r="D309" s="14"/>
      <c r="E309" s="13"/>
      <c r="F309" s="14"/>
      <c r="G309" s="14"/>
      <c r="J309" s="15" t="str">
        <f>IF($H309&lt;&gt;"",VLOOKUP($H309,#REF!,3,FALSE),"")</f>
        <v/>
      </c>
      <c r="K309" s="16"/>
      <c r="L309" s="70"/>
      <c r="M309" s="74"/>
    </row>
    <row r="310" spans="2:13" x14ac:dyDescent="0.25">
      <c r="B310" s="13"/>
      <c r="D310" s="14"/>
      <c r="E310" s="13"/>
      <c r="F310" s="14"/>
      <c r="G310" s="14"/>
      <c r="J310" s="15" t="str">
        <f>IF($H310&lt;&gt;"",VLOOKUP($H310,#REF!,3,FALSE),"")</f>
        <v/>
      </c>
      <c r="K310" s="16"/>
      <c r="L310" s="70"/>
      <c r="M310" s="74"/>
    </row>
    <row r="311" spans="2:13" x14ac:dyDescent="0.25">
      <c r="B311" s="13"/>
      <c r="D311" s="14"/>
      <c r="E311" s="13"/>
      <c r="F311" s="14"/>
      <c r="G311" s="14"/>
      <c r="J311" s="15" t="str">
        <f>IF($H311&lt;&gt;"",VLOOKUP($H311,#REF!,3,FALSE),"")</f>
        <v/>
      </c>
      <c r="K311" s="16"/>
      <c r="L311" s="70"/>
      <c r="M311" s="74"/>
    </row>
    <row r="312" spans="2:13" x14ac:dyDescent="0.25">
      <c r="B312" s="13"/>
      <c r="D312" s="14"/>
      <c r="E312" s="13"/>
      <c r="F312" s="14"/>
      <c r="G312" s="14"/>
      <c r="J312" s="15" t="str">
        <f>IF($H312&lt;&gt;"",VLOOKUP($H312,#REF!,3,FALSE),"")</f>
        <v/>
      </c>
      <c r="K312" s="16"/>
      <c r="L312" s="70"/>
      <c r="M312" s="74"/>
    </row>
    <row r="313" spans="2:13" x14ac:dyDescent="0.25">
      <c r="B313" s="13"/>
      <c r="D313" s="14"/>
      <c r="E313" s="13"/>
      <c r="F313" s="14"/>
      <c r="G313" s="14"/>
      <c r="J313" s="15" t="str">
        <f>IF($H313&lt;&gt;"",VLOOKUP($H313,#REF!,3,FALSE),"")</f>
        <v/>
      </c>
      <c r="K313" s="16"/>
      <c r="L313" s="70"/>
      <c r="M313" s="74"/>
    </row>
    <row r="314" spans="2:13" x14ac:dyDescent="0.25">
      <c r="B314" s="13"/>
      <c r="D314" s="14"/>
      <c r="E314" s="13"/>
      <c r="F314" s="14"/>
      <c r="G314" s="14"/>
      <c r="J314" s="15" t="str">
        <f>IF($H314&lt;&gt;"",VLOOKUP($H314,#REF!,3,FALSE),"")</f>
        <v/>
      </c>
      <c r="K314" s="16"/>
      <c r="L314" s="70"/>
      <c r="M314" s="74"/>
    </row>
    <row r="315" spans="2:13" x14ac:dyDescent="0.25">
      <c r="B315" s="13"/>
      <c r="D315" s="14"/>
      <c r="E315" s="13"/>
      <c r="F315" s="14"/>
      <c r="G315" s="14"/>
      <c r="J315" s="15" t="str">
        <f>IF($H315&lt;&gt;"",VLOOKUP($H315,#REF!,3,FALSE),"")</f>
        <v/>
      </c>
      <c r="K315" s="16"/>
      <c r="L315" s="70"/>
      <c r="M315" s="74"/>
    </row>
    <row r="316" spans="2:13" x14ac:dyDescent="0.25">
      <c r="B316" s="13"/>
      <c r="D316" s="14"/>
      <c r="E316" s="13"/>
      <c r="F316" s="14"/>
      <c r="G316" s="14"/>
      <c r="J316" s="15" t="str">
        <f>IF($H316&lt;&gt;"",VLOOKUP($H316,#REF!,3,FALSE),"")</f>
        <v/>
      </c>
      <c r="K316" s="16"/>
      <c r="L316" s="70"/>
      <c r="M316" s="74"/>
    </row>
    <row r="317" spans="2:13" x14ac:dyDescent="0.25">
      <c r="B317" s="13"/>
      <c r="D317" s="14"/>
      <c r="E317" s="13"/>
      <c r="F317" s="14"/>
      <c r="G317" s="14"/>
      <c r="J317" s="15" t="str">
        <f>IF($H317&lt;&gt;"",VLOOKUP($H317,#REF!,3,FALSE),"")</f>
        <v/>
      </c>
      <c r="K317" s="16"/>
      <c r="L317" s="70"/>
      <c r="M317" s="74"/>
    </row>
    <row r="318" spans="2:13" x14ac:dyDescent="0.25">
      <c r="B318" s="13"/>
      <c r="D318" s="14"/>
      <c r="E318" s="13"/>
      <c r="F318" s="14"/>
      <c r="G318" s="14"/>
      <c r="J318" s="15" t="str">
        <f>IF($H318&lt;&gt;"",VLOOKUP($H318,#REF!,3,FALSE),"")</f>
        <v/>
      </c>
      <c r="K318" s="16"/>
      <c r="L318" s="70"/>
      <c r="M318" s="74"/>
    </row>
    <row r="319" spans="2:13" x14ac:dyDescent="0.25">
      <c r="B319" s="13"/>
      <c r="D319" s="14"/>
      <c r="E319" s="13"/>
      <c r="F319" s="14"/>
      <c r="G319" s="14"/>
      <c r="J319" s="15" t="str">
        <f>IF($H319&lt;&gt;"",VLOOKUP($H319,#REF!,3,FALSE),"")</f>
        <v/>
      </c>
      <c r="K319" s="16"/>
      <c r="L319" s="70"/>
      <c r="M319" s="74"/>
    </row>
    <row r="320" spans="2:13" x14ac:dyDescent="0.25">
      <c r="B320" s="13"/>
      <c r="D320" s="14"/>
      <c r="E320" s="13"/>
      <c r="F320" s="14"/>
      <c r="G320" s="14"/>
      <c r="J320" s="15" t="str">
        <f>IF($H320&lt;&gt;"",VLOOKUP($H320,#REF!,3,FALSE),"")</f>
        <v/>
      </c>
      <c r="K320" s="16"/>
      <c r="L320" s="70"/>
      <c r="M320" s="74"/>
    </row>
    <row r="321" spans="2:13" x14ac:dyDescent="0.25">
      <c r="B321" s="13"/>
      <c r="D321" s="14"/>
      <c r="E321" s="13"/>
      <c r="F321" s="14"/>
      <c r="G321" s="14"/>
      <c r="J321" s="15" t="str">
        <f>IF($H321&lt;&gt;"",VLOOKUP($H321,#REF!,3,FALSE),"")</f>
        <v/>
      </c>
      <c r="K321" s="16"/>
      <c r="L321" s="70"/>
      <c r="M321" s="74"/>
    </row>
    <row r="322" spans="2:13" x14ac:dyDescent="0.25">
      <c r="B322" s="13"/>
      <c r="D322" s="14"/>
      <c r="E322" s="13"/>
      <c r="F322" s="14"/>
      <c r="G322" s="14"/>
      <c r="J322" s="15" t="str">
        <f>IF($H322&lt;&gt;"",VLOOKUP($H322,#REF!,3,FALSE),"")</f>
        <v/>
      </c>
      <c r="K322" s="16"/>
      <c r="L322" s="70"/>
      <c r="M322" s="74"/>
    </row>
    <row r="323" spans="2:13" x14ac:dyDescent="0.25">
      <c r="B323" s="13"/>
      <c r="D323" s="14"/>
      <c r="E323" s="13"/>
      <c r="F323" s="14"/>
      <c r="G323" s="14"/>
      <c r="J323" s="15" t="str">
        <f>IF($H323&lt;&gt;"",VLOOKUP($H323,#REF!,3,FALSE),"")</f>
        <v/>
      </c>
      <c r="K323" s="16"/>
      <c r="L323" s="70"/>
      <c r="M323" s="74"/>
    </row>
    <row r="324" spans="2:13" x14ac:dyDescent="0.25">
      <c r="B324" s="13"/>
      <c r="D324" s="14"/>
      <c r="E324" s="13"/>
      <c r="F324" s="14"/>
      <c r="G324" s="14"/>
      <c r="J324" s="15" t="str">
        <f>IF($H324&lt;&gt;"",VLOOKUP($H324,#REF!,3,FALSE),"")</f>
        <v/>
      </c>
      <c r="K324" s="16"/>
      <c r="L324" s="70"/>
      <c r="M324" s="74"/>
    </row>
    <row r="325" spans="2:13" x14ac:dyDescent="0.25">
      <c r="B325" s="13"/>
      <c r="D325" s="14"/>
      <c r="E325" s="13"/>
      <c r="F325" s="14"/>
      <c r="G325" s="14"/>
      <c r="J325" s="15" t="str">
        <f>IF($H325&lt;&gt;"",VLOOKUP($H325,#REF!,3,FALSE),"")</f>
        <v/>
      </c>
      <c r="K325" s="16"/>
      <c r="L325" s="70"/>
      <c r="M325" s="74"/>
    </row>
    <row r="326" spans="2:13" x14ac:dyDescent="0.25">
      <c r="B326" s="13"/>
      <c r="D326" s="14"/>
      <c r="E326" s="13"/>
      <c r="F326" s="14"/>
      <c r="G326" s="14"/>
      <c r="J326" s="15" t="str">
        <f>IF($H326&lt;&gt;"",VLOOKUP($H326,#REF!,3,FALSE),"")</f>
        <v/>
      </c>
      <c r="K326" s="16"/>
      <c r="L326" s="70"/>
      <c r="M326" s="74"/>
    </row>
    <row r="327" spans="2:13" x14ac:dyDescent="0.25">
      <c r="B327" s="13"/>
      <c r="D327" s="14"/>
      <c r="E327" s="13"/>
      <c r="F327" s="14"/>
      <c r="G327" s="14"/>
      <c r="J327" s="15" t="str">
        <f>IF($H327&lt;&gt;"",VLOOKUP($H327,#REF!,3,FALSE),"")</f>
        <v/>
      </c>
      <c r="K327" s="16"/>
      <c r="L327" s="70"/>
      <c r="M327" s="74"/>
    </row>
    <row r="328" spans="2:13" x14ac:dyDescent="0.25">
      <c r="B328" s="13"/>
      <c r="D328" s="14"/>
      <c r="E328" s="13"/>
      <c r="F328" s="14"/>
      <c r="G328" s="14"/>
      <c r="J328" s="15" t="str">
        <f>IF($H328&lt;&gt;"",VLOOKUP($H328,#REF!,3,FALSE),"")</f>
        <v/>
      </c>
      <c r="K328" s="16"/>
      <c r="L328" s="70"/>
      <c r="M328" s="74"/>
    </row>
    <row r="329" spans="2:13" x14ac:dyDescent="0.25">
      <c r="B329" s="13"/>
      <c r="D329" s="14"/>
      <c r="E329" s="13"/>
      <c r="F329" s="14"/>
      <c r="G329" s="14"/>
      <c r="J329" s="15" t="str">
        <f>IF($H329&lt;&gt;"",VLOOKUP($H329,#REF!,3,FALSE),"")</f>
        <v/>
      </c>
      <c r="K329" s="16"/>
      <c r="L329" s="70"/>
      <c r="M329" s="74"/>
    </row>
    <row r="330" spans="2:13" x14ac:dyDescent="0.25">
      <c r="B330" s="13"/>
      <c r="D330" s="14"/>
      <c r="E330" s="13"/>
      <c r="F330" s="14"/>
      <c r="G330" s="14"/>
      <c r="J330" s="15" t="str">
        <f>IF($H330&lt;&gt;"",VLOOKUP($H330,#REF!,3,FALSE),"")</f>
        <v/>
      </c>
      <c r="K330" s="16"/>
      <c r="L330" s="70"/>
      <c r="M330" s="74"/>
    </row>
    <row r="331" spans="2:13" x14ac:dyDescent="0.25">
      <c r="B331" s="13"/>
      <c r="D331" s="14"/>
      <c r="E331" s="13"/>
      <c r="F331" s="14"/>
      <c r="G331" s="14"/>
      <c r="J331" s="15" t="str">
        <f>IF($H331&lt;&gt;"",VLOOKUP($H331,#REF!,3,FALSE),"")</f>
        <v/>
      </c>
      <c r="K331" s="16"/>
      <c r="L331" s="70"/>
      <c r="M331" s="74"/>
    </row>
    <row r="332" spans="2:13" x14ac:dyDescent="0.25">
      <c r="B332" s="13"/>
      <c r="D332" s="14"/>
      <c r="E332" s="13"/>
      <c r="F332" s="14"/>
      <c r="G332" s="14"/>
      <c r="J332" s="15" t="str">
        <f>IF($H332&lt;&gt;"",VLOOKUP($H332,#REF!,3,FALSE),"")</f>
        <v/>
      </c>
      <c r="K332" s="16"/>
      <c r="L332" s="70"/>
      <c r="M332" s="74"/>
    </row>
    <row r="333" spans="2:13" x14ac:dyDescent="0.25">
      <c r="B333" s="13"/>
      <c r="D333" s="14"/>
      <c r="E333" s="13"/>
      <c r="F333" s="14"/>
      <c r="G333" s="14"/>
      <c r="J333" s="15" t="str">
        <f>IF($H333&lt;&gt;"",VLOOKUP($H333,#REF!,3,FALSE),"")</f>
        <v/>
      </c>
      <c r="K333" s="16"/>
      <c r="L333" s="70"/>
      <c r="M333" s="74"/>
    </row>
    <row r="334" spans="2:13" x14ac:dyDescent="0.25">
      <c r="B334" s="13"/>
      <c r="D334" s="14"/>
      <c r="E334" s="13"/>
      <c r="F334" s="14"/>
      <c r="G334" s="14"/>
      <c r="J334" s="15" t="str">
        <f>IF($H334&lt;&gt;"",VLOOKUP($H334,#REF!,3,FALSE),"")</f>
        <v/>
      </c>
      <c r="K334" s="16"/>
      <c r="L334" s="70"/>
      <c r="M334" s="74"/>
    </row>
    <row r="335" spans="2:13" x14ac:dyDescent="0.25">
      <c r="B335" s="13"/>
      <c r="D335" s="14"/>
      <c r="E335" s="13"/>
      <c r="F335" s="14"/>
      <c r="G335" s="14"/>
      <c r="J335" s="15" t="str">
        <f>IF($H335&lt;&gt;"",VLOOKUP($H335,#REF!,3,FALSE),"")</f>
        <v/>
      </c>
      <c r="K335" s="16"/>
      <c r="L335" s="70"/>
      <c r="M335" s="74"/>
    </row>
  </sheetData>
  <autoFilter ref="A1:P335" xr:uid="{00000000-0009-0000-0000-000001000000}"/>
  <mergeCells count="1">
    <mergeCell ref="E2:E150"/>
  </mergeCells>
  <dataValidations count="1">
    <dataValidation type="list" allowBlank="1" showInputMessage="1" showErrorMessage="1" sqref="C1:C335" xr:uid="{00000000-0002-0000-0100-000000000000}">
      <formula1>"Приход, Расход"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1:DW354"/>
  <sheetViews>
    <sheetView showGridLines="0" zoomScale="60" zoomScaleNormal="60" workbookViewId="0">
      <pane xSplit="8" ySplit="8" topLeftCell="I107" activePane="bottomRight" state="frozen"/>
      <selection pane="topRight" activeCell="I1" sqref="I1"/>
      <selection pane="bottomLeft" activeCell="A9" sqref="A9"/>
      <selection pane="bottomRight" activeCell="I117" sqref="I117"/>
    </sheetView>
  </sheetViews>
  <sheetFormatPr defaultRowHeight="28.5" outlineLevelRow="1" x14ac:dyDescent="0.45"/>
  <cols>
    <col min="1" max="1" width="3.140625" style="80" customWidth="1"/>
    <col min="2" max="2" width="7.7109375" style="817" customWidth="1"/>
    <col min="3" max="3" width="7" style="818" customWidth="1"/>
    <col min="4" max="4" width="8.28515625" style="806" customWidth="1"/>
    <col min="5" max="5" width="13.7109375" style="789" customWidth="1"/>
    <col min="6" max="6" width="7.42578125" style="80" hidden="1" customWidth="1"/>
    <col min="7" max="7" width="10" style="80" hidden="1" customWidth="1"/>
    <col min="8" max="8" width="9.7109375" style="80" hidden="1" customWidth="1"/>
    <col min="9" max="9" width="48.28515625" style="80" customWidth="1"/>
    <col min="10" max="12" width="11.5703125" style="132" bestFit="1" customWidth="1"/>
    <col min="13" max="13" width="11.7109375" style="132" bestFit="1" customWidth="1"/>
    <col min="14" max="14" width="11.5703125" style="132" bestFit="1" customWidth="1"/>
    <col min="15" max="16" width="11.7109375" style="132" bestFit="1" customWidth="1"/>
    <col min="17" max="17" width="11.5703125" style="132" bestFit="1" customWidth="1"/>
    <col min="18" max="19" width="9.7109375" style="132" bestFit="1" customWidth="1"/>
    <col min="20" max="20" width="11.7109375" style="132" bestFit="1" customWidth="1"/>
    <col min="21" max="21" width="11.5703125" style="133" bestFit="1" customWidth="1"/>
    <col min="22" max="22" width="11.7109375" style="133" bestFit="1" customWidth="1"/>
    <col min="23" max="23" width="13" style="133" bestFit="1" customWidth="1"/>
    <col min="24" max="24" width="11.7109375" style="133" bestFit="1" customWidth="1"/>
    <col min="25" max="27" width="11.5703125" style="133" bestFit="1" customWidth="1"/>
    <col min="28" max="30" width="11.5703125" style="133" customWidth="1"/>
    <col min="31" max="31" width="11.5703125" style="133" bestFit="1" customWidth="1"/>
    <col min="32" max="32" width="10.28515625" style="133" bestFit="1" customWidth="1"/>
    <col min="33" max="33" width="11.7109375" style="133" bestFit="1" customWidth="1"/>
    <col min="34" max="34" width="11.5703125" style="133" bestFit="1" customWidth="1"/>
    <col min="35" max="38" width="11.5703125" style="133" customWidth="1"/>
    <col min="39" max="39" width="9.42578125" style="133" bestFit="1" customWidth="1"/>
    <col min="40" max="40" width="9.42578125" style="133" customWidth="1"/>
    <col min="41" max="41" width="9.7109375" style="133" bestFit="1" customWidth="1"/>
    <col min="42" max="42" width="9.7109375" style="71" bestFit="1" customWidth="1"/>
    <col min="43" max="43" width="9.7109375" style="71" customWidth="1"/>
    <col min="44" max="44" width="11.5703125" style="71" bestFit="1" customWidth="1"/>
    <col min="45" max="46" width="9.7109375" style="71" bestFit="1" customWidth="1"/>
    <col min="47" max="47" width="11.7109375" style="144" bestFit="1" customWidth="1"/>
    <col min="48" max="49" width="11.5703125" style="144" bestFit="1" customWidth="1"/>
    <col min="50" max="51" width="11.5703125" style="144" customWidth="1"/>
    <col min="52" max="52" width="10.28515625" style="144" bestFit="1" customWidth="1"/>
    <col min="53" max="53" width="9.7109375" style="140" customWidth="1"/>
    <col min="54" max="54" width="10" style="140" customWidth="1"/>
    <col min="55" max="56" width="9.7109375" style="140" bestFit="1" customWidth="1"/>
    <col min="57" max="59" width="11.5703125" style="132" bestFit="1" customWidth="1"/>
    <col min="60" max="60" width="11.7109375" style="132" bestFit="1" customWidth="1"/>
    <col min="61" max="62" width="9.7109375" style="132" bestFit="1" customWidth="1"/>
    <col min="63" max="63" width="11.7109375" style="133" bestFit="1" customWidth="1"/>
    <col min="64" max="64" width="11.5703125" style="133" bestFit="1" customWidth="1"/>
    <col min="65" max="66" width="11.7109375" style="133" bestFit="1" customWidth="1"/>
    <col min="67" max="67" width="11.5703125" style="133" bestFit="1" customWidth="1"/>
    <col min="68" max="68" width="11.7109375" style="133" bestFit="1" customWidth="1"/>
    <col min="69" max="69" width="11.5703125" style="133" bestFit="1" customWidth="1"/>
    <col min="70" max="71" width="11.5703125" style="133" customWidth="1"/>
    <col min="72" max="72" width="11.7109375" style="133" bestFit="1" customWidth="1"/>
    <col min="73" max="73" width="11.7109375" style="133" customWidth="1"/>
    <col min="74" max="74" width="9.7109375" style="133" bestFit="1" customWidth="1"/>
    <col min="75" max="75" width="11.7109375" style="71" bestFit="1" customWidth="1"/>
    <col min="76" max="79" width="10.28515625" style="71" bestFit="1" customWidth="1"/>
    <col min="80" max="80" width="10.28515625" style="71" customWidth="1"/>
    <col min="81" max="82" width="10.28515625" style="71" bestFit="1" customWidth="1"/>
    <col min="83" max="83" width="11.7109375" style="71" bestFit="1" customWidth="1"/>
    <col min="84" max="84" width="11.5703125" style="71" bestFit="1" customWidth="1"/>
    <col min="85" max="85" width="10.28515625" style="71" bestFit="1" customWidth="1"/>
    <col min="86" max="86" width="11.7109375" style="71" bestFit="1" customWidth="1"/>
    <col min="87" max="87" width="10.28515625" style="71" bestFit="1" customWidth="1"/>
    <col min="88" max="88" width="11.28515625" style="71" bestFit="1" customWidth="1"/>
    <col min="89" max="89" width="11.5703125" style="71" bestFit="1" customWidth="1"/>
    <col min="90" max="90" width="11.7109375" style="71" bestFit="1" customWidth="1"/>
    <col min="91" max="92" width="9.7109375" style="71" bestFit="1" customWidth="1"/>
    <col min="93" max="93" width="10.28515625" style="144" bestFit="1" customWidth="1"/>
    <col min="94" max="94" width="11.7109375" style="144" bestFit="1" customWidth="1"/>
    <col min="95" max="95" width="11.5703125" style="144" bestFit="1" customWidth="1"/>
    <col min="96" max="96" width="11.7109375" style="144" bestFit="1" customWidth="1"/>
    <col min="97" max="97" width="9.140625" style="144" customWidth="1"/>
    <col min="98" max="99" width="11.7109375" style="144" bestFit="1" customWidth="1"/>
    <col min="100" max="102" width="11.5703125" style="144" bestFit="1" customWidth="1"/>
    <col min="103" max="106" width="9.7109375" style="144" bestFit="1" customWidth="1"/>
    <col min="107" max="107" width="9.7109375" style="132" bestFit="1" customWidth="1"/>
    <col min="108" max="108" width="8.5703125" style="132" customWidth="1"/>
    <col min="109" max="115" width="9.7109375" style="132" bestFit="1" customWidth="1"/>
    <col min="116" max="116" width="9.140625" style="150"/>
    <col min="117" max="117" width="10.140625" style="150" customWidth="1"/>
    <col min="118" max="123" width="9.140625" style="150"/>
    <col min="124" max="16384" width="9.140625" style="80"/>
  </cols>
  <sheetData>
    <row r="1" spans="2:123" s="356" customFormat="1" ht="31.5" hidden="1" outlineLevel="1" x14ac:dyDescent="0.25">
      <c r="B1" s="991"/>
      <c r="C1" s="992"/>
      <c r="D1" s="993"/>
      <c r="E1" s="987"/>
      <c r="F1" s="987"/>
      <c r="G1" s="987"/>
      <c r="H1" s="987"/>
      <c r="I1" s="1007"/>
      <c r="J1" s="987"/>
      <c r="K1" s="987"/>
      <c r="L1" s="987"/>
      <c r="M1" s="987"/>
      <c r="N1" s="987"/>
      <c r="O1" s="987"/>
      <c r="P1" s="987"/>
      <c r="Q1" s="987"/>
      <c r="R1" s="987"/>
      <c r="S1" s="987"/>
      <c r="T1" s="987"/>
      <c r="U1" s="987"/>
      <c r="V1" s="987"/>
      <c r="W1" s="987"/>
      <c r="X1" s="987"/>
      <c r="Y1" s="987"/>
      <c r="Z1" s="987"/>
      <c r="AA1" s="987"/>
      <c r="AB1" s="987"/>
      <c r="AC1" s="987"/>
      <c r="AD1" s="987"/>
      <c r="AE1" s="987"/>
      <c r="AF1" s="987"/>
      <c r="AG1" s="987"/>
      <c r="AH1" s="987"/>
      <c r="AI1" s="987"/>
      <c r="AJ1" s="987"/>
      <c r="AK1" s="987"/>
      <c r="AL1" s="987"/>
      <c r="AM1" s="987"/>
      <c r="AN1" s="987"/>
      <c r="AO1" s="1008"/>
      <c r="AP1" s="987"/>
      <c r="AQ1" s="987"/>
      <c r="AR1" s="987"/>
      <c r="AS1" s="987"/>
      <c r="AT1" s="987"/>
      <c r="AU1" s="987"/>
      <c r="AV1" s="987"/>
      <c r="AW1" s="987"/>
      <c r="AX1" s="987"/>
      <c r="AY1" s="987"/>
      <c r="AZ1" s="987"/>
      <c r="BA1" s="987"/>
      <c r="BB1" s="987"/>
      <c r="BC1" s="987"/>
      <c r="BD1" s="987"/>
      <c r="BE1" s="987"/>
      <c r="BF1" s="987"/>
      <c r="BG1" s="987"/>
      <c r="BH1" s="987"/>
      <c r="BI1" s="987"/>
      <c r="BJ1" s="987"/>
      <c r="BK1" s="987"/>
      <c r="BL1" s="987" t="s">
        <v>460</v>
      </c>
      <c r="BM1" s="987"/>
      <c r="BN1" s="987"/>
      <c r="BO1" s="987"/>
      <c r="BP1" s="987"/>
      <c r="BQ1" s="987"/>
      <c r="BR1" s="987"/>
      <c r="BS1" s="987"/>
      <c r="BT1" s="987"/>
      <c r="BU1" s="987"/>
      <c r="BV1" s="987"/>
      <c r="BW1" s="987"/>
      <c r="BX1" s="987"/>
      <c r="BY1" s="987"/>
      <c r="BZ1" s="987"/>
      <c r="CA1" s="987"/>
      <c r="CB1" s="987"/>
      <c r="CC1" s="987"/>
      <c r="CD1" s="987"/>
      <c r="CE1" s="987"/>
      <c r="CF1" s="987"/>
      <c r="CG1" s="987"/>
      <c r="CH1" s="1009"/>
      <c r="CI1" s="987"/>
      <c r="CJ1" s="994"/>
      <c r="CK1" s="994"/>
      <c r="CL1" s="994"/>
      <c r="CM1" s="994"/>
      <c r="CN1" s="994"/>
      <c r="CO1" s="994"/>
      <c r="CP1" s="994"/>
      <c r="CQ1" s="998"/>
      <c r="CR1" s="994"/>
      <c r="CS1" s="994"/>
      <c r="CT1" s="994"/>
      <c r="CU1" s="994"/>
      <c r="CV1" s="994"/>
      <c r="CW1" s="994"/>
      <c r="CX1" s="994"/>
      <c r="CY1" s="994"/>
      <c r="CZ1" s="994"/>
      <c r="DA1" s="994"/>
      <c r="DB1" s="994"/>
      <c r="DC1" s="994"/>
      <c r="DD1" s="994"/>
      <c r="DE1" s="994"/>
      <c r="DF1" s="994"/>
      <c r="DG1" s="994"/>
      <c r="DH1" s="994"/>
      <c r="DI1" s="994"/>
      <c r="DJ1" s="994"/>
      <c r="DK1" s="994"/>
      <c r="DL1" s="999"/>
      <c r="DM1" s="999"/>
      <c r="DN1" s="999"/>
      <c r="DO1" s="999" t="s">
        <v>121</v>
      </c>
    </row>
    <row r="2" spans="2:123" s="356" customFormat="1" ht="31.5" hidden="1" outlineLevel="1" x14ac:dyDescent="0.25">
      <c r="B2" s="991"/>
      <c r="C2" s="992"/>
      <c r="D2" s="993"/>
      <c r="E2" s="987"/>
      <c r="F2" s="987"/>
      <c r="G2" s="987"/>
      <c r="H2" s="987"/>
      <c r="I2" s="1007"/>
      <c r="J2" s="987"/>
      <c r="K2" s="987"/>
      <c r="L2" s="987"/>
      <c r="M2" s="987"/>
      <c r="N2" s="987"/>
      <c r="O2" s="987"/>
      <c r="P2" s="987"/>
      <c r="Q2" s="987"/>
      <c r="R2" s="987"/>
      <c r="S2" s="987"/>
      <c r="T2" s="987"/>
      <c r="U2" s="987"/>
      <c r="V2" s="987"/>
      <c r="W2" s="987"/>
      <c r="X2" s="987"/>
      <c r="Y2" s="987"/>
      <c r="Z2" s="987"/>
      <c r="AA2" s="987"/>
      <c r="AB2" s="987"/>
      <c r="AC2" s="987"/>
      <c r="AD2" s="987"/>
      <c r="AE2" s="987"/>
      <c r="AF2" s="987"/>
      <c r="AG2" s="987"/>
      <c r="AH2" s="987"/>
      <c r="AI2" s="987"/>
      <c r="AJ2" s="987"/>
      <c r="AK2" s="987"/>
      <c r="AL2" s="987"/>
      <c r="AM2" s="987"/>
      <c r="AN2" s="987"/>
      <c r="AO2" s="987"/>
      <c r="AP2" s="987"/>
      <c r="AQ2" s="987"/>
      <c r="AR2" s="987"/>
      <c r="AS2" s="1008"/>
      <c r="AT2" s="987"/>
      <c r="AU2" s="987"/>
      <c r="AV2" s="987"/>
      <c r="AW2" s="987"/>
      <c r="AX2" s="987"/>
      <c r="AY2" s="987"/>
      <c r="AZ2" s="987"/>
      <c r="BA2" s="987"/>
      <c r="BB2" s="987"/>
      <c r="BC2" s="987"/>
      <c r="BD2" s="987"/>
      <c r="BE2" s="1008"/>
      <c r="BF2" s="987"/>
      <c r="BG2" s="987"/>
      <c r="BH2" s="987"/>
      <c r="BI2" s="987"/>
      <c r="BJ2" s="987"/>
      <c r="BK2" s="987"/>
      <c r="BL2" s="987" t="s">
        <v>122</v>
      </c>
      <c r="BM2" s="987"/>
      <c r="BN2" s="987"/>
      <c r="BO2" s="987"/>
      <c r="BP2" s="987"/>
      <c r="BQ2" s="987"/>
      <c r="BR2" s="987"/>
      <c r="BS2" s="987"/>
      <c r="BT2" s="987"/>
      <c r="BU2" s="987"/>
      <c r="BV2" s="987"/>
      <c r="BW2" s="987"/>
      <c r="BX2" s="987"/>
      <c r="BY2" s="987"/>
      <c r="BZ2" s="987"/>
      <c r="CA2" s="987"/>
      <c r="CB2" s="987"/>
      <c r="CC2" s="987"/>
      <c r="CD2" s="987"/>
      <c r="CE2" s="987"/>
      <c r="CF2" s="987" t="s">
        <v>123</v>
      </c>
      <c r="CG2" s="987"/>
      <c r="CH2" s="1009"/>
      <c r="CI2" s="987"/>
      <c r="CJ2" s="994"/>
      <c r="CK2" s="994"/>
      <c r="CL2" s="994"/>
      <c r="CM2" s="994"/>
      <c r="CN2" s="994"/>
      <c r="CO2" s="998"/>
      <c r="CP2" s="994"/>
      <c r="CQ2" s="994"/>
      <c r="CR2" s="994"/>
      <c r="CS2" s="994"/>
      <c r="CT2" s="994"/>
      <c r="CU2" s="994"/>
      <c r="CV2" s="994"/>
      <c r="CW2" s="994"/>
      <c r="CX2" s="998"/>
      <c r="CY2" s="997"/>
      <c r="CZ2" s="994"/>
      <c r="DA2" s="994"/>
      <c r="DB2" s="994"/>
      <c r="DC2" s="994"/>
      <c r="DD2" s="994"/>
      <c r="DE2" s="994"/>
      <c r="DF2" s="994"/>
      <c r="DG2" s="994"/>
      <c r="DH2" s="994"/>
      <c r="DI2" s="994"/>
      <c r="DJ2" s="994"/>
      <c r="DK2" s="994"/>
      <c r="DL2" s="999"/>
      <c r="DM2" s="999"/>
      <c r="DN2" s="999"/>
      <c r="DO2" s="999" t="s">
        <v>193</v>
      </c>
    </row>
    <row r="3" spans="2:123" s="356" customFormat="1" ht="31.5" hidden="1" outlineLevel="1" x14ac:dyDescent="0.25">
      <c r="B3" s="991"/>
      <c r="C3" s="992"/>
      <c r="D3" s="993"/>
      <c r="E3" s="987"/>
      <c r="F3" s="987"/>
      <c r="G3" s="987"/>
      <c r="H3" s="987"/>
      <c r="I3" s="1007"/>
      <c r="J3" s="987"/>
      <c r="K3" s="987"/>
      <c r="L3" s="987"/>
      <c r="M3" s="987"/>
      <c r="N3" s="987"/>
      <c r="O3" s="987"/>
      <c r="P3" s="987"/>
      <c r="Q3" s="987"/>
      <c r="R3" s="987"/>
      <c r="S3" s="987"/>
      <c r="T3" s="987"/>
      <c r="U3" s="987"/>
      <c r="V3" s="987"/>
      <c r="W3" s="987"/>
      <c r="X3" s="987"/>
      <c r="Y3" s="987"/>
      <c r="Z3" s="987"/>
      <c r="AA3" s="987"/>
      <c r="AB3" s="987"/>
      <c r="AC3" s="987"/>
      <c r="AD3" s="987"/>
      <c r="AE3" s="987"/>
      <c r="AF3" s="987"/>
      <c r="AG3" s="987"/>
      <c r="AH3" s="987"/>
      <c r="AI3" s="987"/>
      <c r="AJ3" s="987"/>
      <c r="AK3" s="987"/>
      <c r="AL3" s="987"/>
      <c r="AM3" s="987"/>
      <c r="AN3" s="987"/>
      <c r="AO3" s="987"/>
      <c r="AP3" s="987"/>
      <c r="AQ3" s="987"/>
      <c r="AR3" s="987"/>
      <c r="AS3" s="987"/>
      <c r="AT3" s="987"/>
      <c r="AU3" s="987"/>
      <c r="AV3" s="987"/>
      <c r="AW3" s="987"/>
      <c r="AX3" s="987"/>
      <c r="AY3" s="987"/>
      <c r="AZ3" s="987"/>
      <c r="BA3" s="987"/>
      <c r="BB3" s="987"/>
      <c r="BC3" s="987"/>
      <c r="BD3" s="987"/>
      <c r="BE3" s="987"/>
      <c r="BF3" s="987"/>
      <c r="BG3" s="987"/>
      <c r="BH3" s="987"/>
      <c r="BI3" s="987"/>
      <c r="BJ3" s="987"/>
      <c r="BK3" s="987"/>
      <c r="BL3" s="987"/>
      <c r="BM3" s="987"/>
      <c r="BN3" s="987"/>
      <c r="BO3" s="987"/>
      <c r="BP3" s="987"/>
      <c r="BQ3" s="987"/>
      <c r="BR3" s="987"/>
      <c r="BS3" s="987"/>
      <c r="BT3" s="987"/>
      <c r="BU3" s="987"/>
      <c r="BV3" s="987"/>
      <c r="BW3" s="987"/>
      <c r="BX3" s="987"/>
      <c r="BY3" s="987"/>
      <c r="BZ3" s="987"/>
      <c r="CA3" s="987"/>
      <c r="CB3" s="987"/>
      <c r="CC3" s="987"/>
      <c r="CD3" s="987"/>
      <c r="CE3" s="987"/>
      <c r="CF3" s="987"/>
      <c r="CG3" s="987"/>
      <c r="CH3" s="1009"/>
      <c r="CI3" s="987"/>
      <c r="CJ3" s="994"/>
      <c r="CK3" s="994"/>
      <c r="CL3" s="994"/>
      <c r="CM3" s="994"/>
      <c r="CN3" s="994"/>
      <c r="CO3" s="994"/>
      <c r="CP3" s="998"/>
      <c r="CQ3" s="998"/>
      <c r="CR3" s="994"/>
      <c r="CS3" s="994"/>
      <c r="CT3" s="994"/>
      <c r="CU3" s="994"/>
      <c r="CV3" s="994"/>
      <c r="CW3" s="994"/>
      <c r="CX3" s="998"/>
      <c r="CY3" s="994"/>
      <c r="CZ3" s="994"/>
      <c r="DA3" s="994"/>
      <c r="DB3" s="994"/>
      <c r="DC3" s="1000"/>
      <c r="DD3" s="1000"/>
      <c r="DE3" s="1000"/>
      <c r="DF3" s="1000"/>
      <c r="DG3" s="1000"/>
      <c r="DH3" s="1000"/>
      <c r="DI3" s="1000"/>
      <c r="DJ3" s="1000"/>
      <c r="DK3" s="1000"/>
      <c r="DL3" s="1001"/>
      <c r="DM3" s="1001"/>
      <c r="DN3" s="999"/>
      <c r="DO3" s="999" t="s">
        <v>459</v>
      </c>
    </row>
    <row r="4" spans="2:123" s="150" customFormat="1" hidden="1" outlineLevel="1" x14ac:dyDescent="0.45">
      <c r="B4" s="807"/>
      <c r="C4" s="808"/>
      <c r="D4" s="790"/>
      <c r="E4" s="996"/>
      <c r="F4" s="996"/>
      <c r="G4" s="996"/>
      <c r="H4" s="996"/>
      <c r="I4" s="1010"/>
      <c r="J4" s="996"/>
      <c r="K4" s="996"/>
      <c r="L4" s="996"/>
      <c r="M4" s="996"/>
      <c r="N4" s="996"/>
      <c r="O4" s="996"/>
      <c r="P4" s="996"/>
      <c r="Q4" s="996"/>
      <c r="R4" s="996"/>
      <c r="S4" s="996"/>
      <c r="T4" s="996"/>
      <c r="U4" s="996"/>
      <c r="V4" s="996"/>
      <c r="W4" s="996"/>
      <c r="X4" s="996"/>
      <c r="Y4" s="996"/>
      <c r="Z4" s="996"/>
      <c r="AA4" s="996"/>
      <c r="AB4" s="996"/>
      <c r="AC4" s="996"/>
      <c r="AD4" s="996"/>
      <c r="AE4" s="996"/>
      <c r="AF4" s="996"/>
      <c r="AG4" s="996"/>
      <c r="AH4" s="996"/>
      <c r="AI4" s="996"/>
      <c r="AJ4" s="996"/>
      <c r="AK4" s="996"/>
      <c r="AL4" s="996"/>
      <c r="AM4" s="996"/>
      <c r="AN4" s="996"/>
      <c r="AO4" s="996"/>
      <c r="AP4" s="996"/>
      <c r="AQ4" s="996"/>
      <c r="AR4" s="996"/>
      <c r="AS4" s="996"/>
      <c r="AT4" s="996"/>
      <c r="AU4" s="996"/>
      <c r="AV4" s="996"/>
      <c r="AW4" s="1011"/>
      <c r="AX4" s="1011"/>
      <c r="AY4" s="1011"/>
      <c r="AZ4" s="81"/>
      <c r="BA4" s="81"/>
      <c r="BB4" s="81"/>
      <c r="BC4" s="81"/>
      <c r="BD4" s="81"/>
      <c r="BE4" s="81"/>
      <c r="BF4" s="1011"/>
      <c r="BG4" s="1011"/>
      <c r="BH4" s="81" t="s">
        <v>124</v>
      </c>
      <c r="BI4" s="1011"/>
      <c r="BJ4" s="720">
        <f>Обложка!D13</f>
        <v>45117</v>
      </c>
      <c r="BK4" s="720"/>
      <c r="BL4" s="720"/>
      <c r="BM4" s="720"/>
      <c r="BN4" s="82" t="s">
        <v>125</v>
      </c>
      <c r="BO4" s="720">
        <f>BJ4+6</f>
        <v>45123</v>
      </c>
      <c r="BP4" s="720"/>
      <c r="BQ4" s="720"/>
      <c r="BR4" s="986"/>
      <c r="BS4" s="986"/>
      <c r="BT4" s="986"/>
      <c r="BU4" s="81"/>
      <c r="BV4" s="81"/>
      <c r="BW4" s="986"/>
      <c r="BX4" s="986"/>
      <c r="BY4" s="986"/>
      <c r="BZ4" s="986"/>
      <c r="CA4" s="82"/>
      <c r="CB4" s="986"/>
      <c r="CC4" s="986"/>
      <c r="CD4" s="986"/>
      <c r="CE4" s="1012"/>
      <c r="CF4" s="996"/>
      <c r="CG4" s="996"/>
      <c r="CH4" s="1013"/>
      <c r="CI4" s="996"/>
      <c r="CJ4" s="996"/>
      <c r="CK4" s="996"/>
      <c r="CL4" s="996"/>
      <c r="CM4" s="996"/>
      <c r="CN4" s="996"/>
      <c r="CO4" s="996"/>
      <c r="CP4" s="996"/>
      <c r="CQ4" s="996"/>
      <c r="CR4" s="996"/>
      <c r="CS4" s="1014"/>
      <c r="CT4" s="1014"/>
      <c r="CU4" s="1014"/>
      <c r="CV4" s="1014"/>
      <c r="CW4" s="1014"/>
      <c r="CX4" s="996"/>
      <c r="CY4" s="1015"/>
      <c r="CZ4" s="996"/>
      <c r="DA4" s="79"/>
      <c r="DB4" s="79"/>
      <c r="DC4" s="1002"/>
      <c r="DD4" s="1003"/>
      <c r="DE4" s="1003"/>
      <c r="DF4" s="1003"/>
      <c r="DG4" s="1003"/>
      <c r="DH4" s="1003"/>
      <c r="DI4" s="1003"/>
      <c r="DJ4" s="1003"/>
      <c r="DK4" s="1003"/>
      <c r="DL4" s="1004">
        <f>$BJ$4-3</f>
        <v>45114</v>
      </c>
      <c r="DM4" s="1004"/>
      <c r="DN4" s="1004"/>
      <c r="DO4" s="1004"/>
    </row>
    <row r="5" spans="2:123" s="150" customFormat="1" ht="29.25" hidden="1" outlineLevel="1" thickBot="1" x14ac:dyDescent="0.5">
      <c r="B5" s="809"/>
      <c r="C5" s="810"/>
      <c r="D5" s="791"/>
      <c r="E5" s="1016"/>
      <c r="F5" s="1016"/>
      <c r="G5" s="1016"/>
      <c r="H5" s="1016"/>
      <c r="I5" s="1017"/>
      <c r="J5" s="1018"/>
      <c r="K5" s="1018"/>
      <c r="L5" s="1018"/>
      <c r="M5" s="1018"/>
      <c r="N5" s="1018"/>
      <c r="O5" s="1018"/>
      <c r="P5" s="1018"/>
      <c r="Q5" s="1018"/>
      <c r="R5" s="1018"/>
      <c r="S5" s="1018"/>
      <c r="T5" s="1018"/>
      <c r="U5" s="1018"/>
      <c r="V5" s="1018"/>
      <c r="W5" s="1018"/>
      <c r="X5" s="1018"/>
      <c r="Y5" s="1018"/>
      <c r="Z5" s="1018"/>
      <c r="AA5" s="1018"/>
      <c r="AB5" s="1018"/>
      <c r="AC5" s="1018"/>
      <c r="AD5" s="1018"/>
      <c r="AE5" s="1018"/>
      <c r="AF5" s="1018"/>
      <c r="AG5" s="1018"/>
      <c r="AH5" s="1018"/>
      <c r="AI5" s="1018"/>
      <c r="AJ5" s="1018"/>
      <c r="AK5" s="1018"/>
      <c r="AL5" s="1018"/>
      <c r="AM5" s="1018"/>
      <c r="AN5" s="1018"/>
      <c r="AO5" s="1018"/>
      <c r="AP5" s="1018"/>
      <c r="AQ5" s="1018"/>
      <c r="AR5" s="1018"/>
      <c r="AS5" s="1018"/>
      <c r="AT5" s="1018"/>
      <c r="AU5" s="1018"/>
      <c r="AV5" s="1018"/>
      <c r="AW5" s="1018"/>
      <c r="AX5" s="1018"/>
      <c r="AY5" s="1018"/>
      <c r="AZ5" s="1018"/>
      <c r="BA5" s="1018"/>
      <c r="BB5" s="1018"/>
      <c r="BC5" s="1018"/>
      <c r="BD5" s="1018"/>
      <c r="BE5" s="1018"/>
      <c r="BF5" s="1018"/>
      <c r="BG5" s="1018"/>
      <c r="BH5" s="1018"/>
      <c r="BI5" s="1018"/>
      <c r="BJ5" s="1018"/>
      <c r="BK5" s="1018"/>
      <c r="BL5" s="1018"/>
      <c r="BM5" s="1018"/>
      <c r="BN5" s="1018"/>
      <c r="BO5" s="1018"/>
      <c r="BP5" s="1018"/>
      <c r="BQ5" s="1018"/>
      <c r="BR5" s="1018"/>
      <c r="BS5" s="1018"/>
      <c r="BT5" s="1018"/>
      <c r="BU5" s="1018"/>
      <c r="BV5" s="1018"/>
      <c r="BW5" s="1018"/>
      <c r="BX5" s="1018"/>
      <c r="BY5" s="1018"/>
      <c r="BZ5" s="1018"/>
      <c r="CA5" s="1018"/>
      <c r="CB5" s="1018"/>
      <c r="CC5" s="1018"/>
      <c r="CD5" s="1018"/>
      <c r="CE5" s="1018"/>
      <c r="CF5" s="1018"/>
      <c r="CG5" s="1018"/>
      <c r="CH5" s="1019"/>
      <c r="CI5" s="1018"/>
      <c r="CJ5" s="1018"/>
      <c r="CK5" s="1018"/>
      <c r="CL5" s="1018"/>
      <c r="CM5" s="1018"/>
      <c r="CN5" s="1018"/>
      <c r="CO5" s="1018"/>
      <c r="CP5" s="1018"/>
      <c r="CQ5" s="1018"/>
      <c r="CR5" s="1018"/>
      <c r="CS5" s="1020"/>
      <c r="CT5" s="1020"/>
      <c r="CU5" s="1020"/>
      <c r="CV5" s="1020"/>
      <c r="CW5" s="1018"/>
      <c r="CX5" s="1018"/>
      <c r="CY5" s="1021"/>
      <c r="CZ5" s="1018"/>
      <c r="DA5" s="83"/>
      <c r="DB5" s="83"/>
      <c r="DC5" s="83"/>
      <c r="DD5" s="83"/>
      <c r="DE5" s="83"/>
      <c r="DF5" s="83"/>
      <c r="DG5" s="83"/>
      <c r="DH5" s="83"/>
      <c r="DI5" s="83"/>
      <c r="DJ5" s="83"/>
      <c r="DK5" s="83"/>
      <c r="DL5" s="1005"/>
      <c r="DM5" s="1006"/>
      <c r="DN5" s="1006"/>
      <c r="DO5" s="1006"/>
    </row>
    <row r="6" spans="2:123" ht="24" collapsed="1" thickBot="1" x14ac:dyDescent="0.4">
      <c r="B6" s="721" t="s">
        <v>126</v>
      </c>
      <c r="C6" s="722"/>
      <c r="D6" s="721" t="s">
        <v>127</v>
      </c>
      <c r="E6" s="722"/>
      <c r="F6" s="115"/>
      <c r="G6" s="115"/>
      <c r="H6" s="116"/>
      <c r="I6" s="727" t="s">
        <v>128</v>
      </c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8"/>
      <c r="U6" s="134"/>
      <c r="V6" s="134"/>
      <c r="W6" s="134"/>
      <c r="X6" s="134"/>
      <c r="Y6" s="134"/>
      <c r="Z6" s="134"/>
      <c r="AA6" s="134"/>
      <c r="AB6" s="134"/>
      <c r="AC6" s="134"/>
      <c r="AD6" s="134"/>
      <c r="AE6" s="134"/>
      <c r="AF6" s="134"/>
      <c r="AG6" s="134"/>
      <c r="AH6" s="134"/>
      <c r="AI6" s="134"/>
      <c r="AJ6" s="134"/>
      <c r="AK6" s="134"/>
      <c r="AL6" s="134"/>
      <c r="AM6" s="134"/>
      <c r="AN6" s="134"/>
      <c r="AO6" s="134"/>
      <c r="AP6" s="137"/>
      <c r="AQ6" s="137"/>
      <c r="AR6" s="137"/>
      <c r="AS6" s="137"/>
      <c r="AT6" s="137"/>
      <c r="AU6" s="145"/>
      <c r="AV6" s="145"/>
      <c r="AW6" s="145"/>
      <c r="AX6" s="145"/>
      <c r="AY6" s="145"/>
      <c r="AZ6" s="145"/>
      <c r="BA6" s="141"/>
      <c r="BB6" s="141"/>
      <c r="BC6" s="141"/>
      <c r="BD6" s="141"/>
      <c r="BE6" s="128"/>
      <c r="BF6" s="128"/>
      <c r="BG6" s="128"/>
      <c r="BH6" s="128"/>
      <c r="BI6" s="128"/>
      <c r="BJ6" s="128"/>
      <c r="BK6" s="134"/>
      <c r="BL6" s="148" t="s">
        <v>196</v>
      </c>
      <c r="BM6" s="134"/>
      <c r="BN6" s="134"/>
      <c r="BO6" s="134"/>
      <c r="BP6" s="134"/>
      <c r="BQ6" s="134"/>
      <c r="BR6" s="134"/>
      <c r="BS6" s="134"/>
      <c r="BT6" s="134"/>
      <c r="BU6" s="134"/>
      <c r="BV6" s="134"/>
      <c r="BW6" s="137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45"/>
      <c r="CP6" s="145"/>
      <c r="CQ6" s="145"/>
      <c r="CR6" s="145"/>
      <c r="CS6" s="145"/>
      <c r="CT6" s="510"/>
      <c r="CU6" s="510"/>
      <c r="CV6" s="510"/>
      <c r="CW6" s="510"/>
      <c r="CX6" s="510"/>
      <c r="CY6" s="510"/>
      <c r="CZ6" s="510"/>
      <c r="DA6" s="510"/>
      <c r="DB6" s="510"/>
      <c r="DC6" s="609"/>
      <c r="DD6" s="609"/>
      <c r="DE6" s="609"/>
      <c r="DF6" s="609"/>
      <c r="DG6" s="609"/>
      <c r="DH6" s="609"/>
      <c r="DI6" s="609"/>
      <c r="DJ6" s="609"/>
      <c r="DK6" s="609"/>
      <c r="DL6" s="705" t="s">
        <v>131</v>
      </c>
      <c r="DM6" s="730" t="s">
        <v>129</v>
      </c>
      <c r="DN6" s="717" t="s">
        <v>130</v>
      </c>
      <c r="DO6" s="702" t="s">
        <v>195</v>
      </c>
    </row>
    <row r="7" spans="2:123" ht="26.25" customHeight="1" x14ac:dyDescent="0.4">
      <c r="B7" s="723"/>
      <c r="C7" s="724"/>
      <c r="D7" s="723"/>
      <c r="E7" s="724"/>
      <c r="F7" s="117"/>
      <c r="G7" s="117"/>
      <c r="H7" s="117"/>
      <c r="I7" s="728"/>
      <c r="J7" s="711" t="str">
        <f>инфо!B2</f>
        <v>Крупы</v>
      </c>
      <c r="K7" s="712"/>
      <c r="L7" s="712"/>
      <c r="M7" s="712"/>
      <c r="N7" s="712"/>
      <c r="O7" s="712"/>
      <c r="P7" s="712"/>
      <c r="Q7" s="712"/>
      <c r="R7" s="712"/>
      <c r="S7" s="713"/>
      <c r="T7" s="503"/>
      <c r="U7" s="733" t="str">
        <f>инфо!B13</f>
        <v>Овощи</v>
      </c>
      <c r="V7" s="733"/>
      <c r="W7" s="733"/>
      <c r="X7" s="733"/>
      <c r="Y7" s="733"/>
      <c r="Z7" s="733"/>
      <c r="AA7" s="733"/>
      <c r="AB7" s="733"/>
      <c r="AC7" s="733"/>
      <c r="AD7" s="733"/>
      <c r="AE7" s="733"/>
      <c r="AF7" s="733"/>
      <c r="AG7" s="733"/>
      <c r="AH7" s="733"/>
      <c r="AI7" s="733"/>
      <c r="AJ7" s="733"/>
      <c r="AK7" s="733"/>
      <c r="AL7" s="733"/>
      <c r="AM7" s="733"/>
      <c r="AN7" s="733"/>
      <c r="AO7" s="734"/>
      <c r="AP7" s="739" t="str">
        <f>инфо!B34</f>
        <v>Мучное</v>
      </c>
      <c r="AQ7" s="740"/>
      <c r="AR7" s="740"/>
      <c r="AS7" s="740"/>
      <c r="AT7" s="741"/>
      <c r="AU7" s="742" t="str">
        <f>инфо!B38</f>
        <v>Молочные</v>
      </c>
      <c r="AV7" s="743"/>
      <c r="AW7" s="743"/>
      <c r="AX7" s="743"/>
      <c r="AY7" s="743"/>
      <c r="AZ7" s="744"/>
      <c r="BA7" s="745" t="str">
        <f>инфо!B46</f>
        <v>Разное</v>
      </c>
      <c r="BB7" s="746"/>
      <c r="BC7" s="746"/>
      <c r="BD7" s="747"/>
      <c r="BE7" s="735" t="str">
        <f>инфо!B50</f>
        <v>Жиры</v>
      </c>
      <c r="BF7" s="712"/>
      <c r="BG7" s="712"/>
      <c r="BH7" s="712"/>
      <c r="BI7" s="712"/>
      <c r="BJ7" s="713"/>
      <c r="BK7" s="736" t="str">
        <f>инфо!B56</f>
        <v>Мясо-рыба</v>
      </c>
      <c r="BL7" s="737"/>
      <c r="BM7" s="737"/>
      <c r="BN7" s="737"/>
      <c r="BO7" s="737"/>
      <c r="BP7" s="737"/>
      <c r="BQ7" s="737"/>
      <c r="BR7" s="737"/>
      <c r="BS7" s="737"/>
      <c r="BT7" s="737"/>
      <c r="BU7" s="737"/>
      <c r="BV7" s="738"/>
      <c r="BW7" s="708" t="str">
        <f>инфо!B68</f>
        <v>Прочие</v>
      </c>
      <c r="BX7" s="709"/>
      <c r="BY7" s="709"/>
      <c r="BZ7" s="709"/>
      <c r="CA7" s="709"/>
      <c r="CB7" s="709"/>
      <c r="CC7" s="709"/>
      <c r="CD7" s="709"/>
      <c r="CE7" s="709"/>
      <c r="CF7" s="709"/>
      <c r="CG7" s="709"/>
      <c r="CH7" s="709"/>
      <c r="CI7" s="709"/>
      <c r="CJ7" s="709"/>
      <c r="CK7" s="709"/>
      <c r="CL7" s="709"/>
      <c r="CM7" s="709"/>
      <c r="CN7" s="710"/>
      <c r="CO7" s="714" t="str">
        <f>инфо!B86</f>
        <v>Сладости и фрукты</v>
      </c>
      <c r="CP7" s="715"/>
      <c r="CQ7" s="715"/>
      <c r="CR7" s="715"/>
      <c r="CS7" s="715"/>
      <c r="CT7" s="715"/>
      <c r="CU7" s="715"/>
      <c r="CV7" s="715"/>
      <c r="CW7" s="715"/>
      <c r="CX7" s="715"/>
      <c r="CY7" s="715"/>
      <c r="CZ7" s="715"/>
      <c r="DA7" s="715"/>
      <c r="DB7" s="715"/>
      <c r="DC7" s="716" t="s">
        <v>207</v>
      </c>
      <c r="DD7" s="716"/>
      <c r="DE7" s="716"/>
      <c r="DF7" s="716"/>
      <c r="DG7" s="716"/>
      <c r="DH7" s="716"/>
      <c r="DI7" s="716"/>
      <c r="DJ7" s="716"/>
      <c r="DK7" s="716"/>
      <c r="DL7" s="706"/>
      <c r="DM7" s="731"/>
      <c r="DN7" s="718"/>
      <c r="DO7" s="703"/>
    </row>
    <row r="8" spans="2:123" s="87" customFormat="1" ht="289.5" customHeight="1" thickBot="1" x14ac:dyDescent="0.3">
      <c r="B8" s="725"/>
      <c r="C8" s="726"/>
      <c r="D8" s="725"/>
      <c r="E8" s="726"/>
      <c r="F8" s="118"/>
      <c r="G8" s="118"/>
      <c r="H8" s="118"/>
      <c r="I8" s="729"/>
      <c r="J8" s="500" t="str">
        <f>инфо!$C2</f>
        <v>Горох</v>
      </c>
      <c r="K8" s="501" t="str">
        <f>инфо!$C3</f>
        <v>Гречневая</v>
      </c>
      <c r="L8" s="501" t="str">
        <f>инфо!$C4</f>
        <v>Манная</v>
      </c>
      <c r="M8" s="501" t="str">
        <f>инфо!$C5</f>
        <v>Овсяная</v>
      </c>
      <c r="N8" s="501" t="str">
        <f>инфо!$C6</f>
        <v>Перловая</v>
      </c>
      <c r="O8" s="501" t="str">
        <f>инфо!$C7</f>
        <v>Пшено</v>
      </c>
      <c r="P8" s="501" t="str">
        <f>инфо!$C8</f>
        <v>Рис</v>
      </c>
      <c r="Q8" s="501" t="str">
        <f>инфо!$C9</f>
        <v>Ячневая</v>
      </c>
      <c r="R8" s="502" t="str">
        <f>инфо!$C10</f>
        <v>Фасоль</v>
      </c>
      <c r="S8" s="501" t="str">
        <f>инфо!$C11</f>
        <v>Крупа 1</v>
      </c>
      <c r="T8" s="682" t="str">
        <f>инфо!$C12</f>
        <v>Макаронные изделия</v>
      </c>
      <c r="U8" s="504" t="str">
        <f>инфо!$C13</f>
        <v>Горошек, фасоль, кукуруза консервированные</v>
      </c>
      <c r="V8" s="504" t="str">
        <f>инфо!$C14</f>
        <v>Капуста свежая/кваш.</v>
      </c>
      <c r="W8" s="504" t="str">
        <f>инфо!$C15</f>
        <v>Картофель</v>
      </c>
      <c r="X8" s="504" t="str">
        <f>инфо!$C16</f>
        <v>Лук репчатый</v>
      </c>
      <c r="Y8" s="504" t="str">
        <f>инфо!$C17</f>
        <v>Морковь</v>
      </c>
      <c r="Z8" s="504" t="str">
        <f>инфо!$C18</f>
        <v>Огурцы свежие/соленые</v>
      </c>
      <c r="AA8" s="504" t="str">
        <f>инфо!$C19</f>
        <v>Помидоры свежие/конс.</v>
      </c>
      <c r="AB8" s="504" t="str">
        <f>инфо!$C20</f>
        <v>Кабачки</v>
      </c>
      <c r="AC8" s="504" t="str">
        <f>инфо!$C21</f>
        <v>Баклажан</v>
      </c>
      <c r="AD8" s="504" t="str">
        <f>инфо!$C22</f>
        <v>Редис</v>
      </c>
      <c r="AE8" s="504" t="str">
        <f>инфо!$C23</f>
        <v>Свекла</v>
      </c>
      <c r="AF8" s="504" t="str">
        <f>инфо!$C24</f>
        <v>Зелень</v>
      </c>
      <c r="AG8" s="504" t="str">
        <f>инфо!$C25</f>
        <v xml:space="preserve">Консервы овощ. закусочные, лечо </v>
      </c>
      <c r="AH8" s="504" t="str">
        <f>инфо!$C26</f>
        <v>Чеснок</v>
      </c>
      <c r="AI8" s="504" t="str">
        <f>инфо!$C27</f>
        <v>Капуста свежая/кваш.</v>
      </c>
      <c r="AJ8" s="504" t="str">
        <f>инфо!$C28</f>
        <v>Перец сладкий</v>
      </c>
      <c r="AK8" s="504" t="str">
        <f>инфо!$C29</f>
        <v>Свекла консерв.</v>
      </c>
      <c r="AL8" s="504" t="str">
        <f>инфо!$C30</f>
        <v>Морковь консерв.</v>
      </c>
      <c r="AM8" s="504" t="str">
        <f>инфо!$C31</f>
        <v>Кабачки консерв.</v>
      </c>
      <c r="AN8" s="504" t="str">
        <f>инфо!$C32</f>
        <v>Овощи запас 1</v>
      </c>
      <c r="AO8" s="504" t="str">
        <f>инфо!$C33</f>
        <v>Овощи запас 2</v>
      </c>
      <c r="AP8" s="505" t="str">
        <f>инфо!$C34</f>
        <v xml:space="preserve">Мука пшеничная   1 с </v>
      </c>
      <c r="AQ8" s="505" t="str">
        <f>инфо!$C35</f>
        <v>Мука в/с</v>
      </c>
      <c r="AR8" s="505" t="str">
        <f>инфо!$C36</f>
        <v>Хлеб дарницкий</v>
      </c>
      <c r="AS8" s="505" t="str">
        <f>инфо!$C37</f>
        <v>Хлеб из муки пш. 1  сорта</v>
      </c>
      <c r="AT8" s="505" t="str">
        <f>инфо!$C38</f>
        <v>Мучное 1</v>
      </c>
      <c r="AU8" s="506" t="str">
        <f>инфо!$C39</f>
        <v>Молоко коровье</v>
      </c>
      <c r="AV8" s="506" t="str">
        <f>инфо!$C40</f>
        <v>Кефир</v>
      </c>
      <c r="AW8" s="506" t="str">
        <f>инфо!$C41</f>
        <v>Сметана</v>
      </c>
      <c r="AX8" s="506" t="str">
        <f>инфо!$C42</f>
        <v>Творог</v>
      </c>
      <c r="AY8" s="506" t="str">
        <f>инфо!$C43</f>
        <v>Сыр</v>
      </c>
      <c r="AZ8" s="506" t="str">
        <f>инфо!$C44</f>
        <v xml:space="preserve">Молоко сгущ. </v>
      </c>
      <c r="BA8" s="507" t="str">
        <f>инфо!$C46</f>
        <v>Сыр плавленный</v>
      </c>
      <c r="BB8" s="507" t="str">
        <f>инфо!$C47</f>
        <v>Яйцо</v>
      </c>
      <c r="BC8" s="507" t="str">
        <f>инфо!$C48</f>
        <v>Разное 1</v>
      </c>
      <c r="BD8" s="507" t="str">
        <f>инфо!$C49</f>
        <v>Разное 2</v>
      </c>
      <c r="BE8" s="501" t="str">
        <f>инфо!$C50</f>
        <v>Масло коровье</v>
      </c>
      <c r="BF8" s="501" t="str">
        <f>инфо!$C51</f>
        <v>Масло растительное</v>
      </c>
      <c r="BG8" s="501" t="str">
        <f>инфо!$C52</f>
        <v>Сало-шпик</v>
      </c>
      <c r="BH8" s="501" t="str">
        <f>инфо!$C53</f>
        <v>Жиры 1</v>
      </c>
      <c r="BI8" s="501" t="str">
        <f>инфо!$C54</f>
        <v>Жиры 2</v>
      </c>
      <c r="BJ8" s="501" t="str">
        <f>инфо!$C55</f>
        <v>Жиры 3</v>
      </c>
      <c r="BK8" s="508" t="str">
        <f>инфо!$C56</f>
        <v>Говядина б/к ,печень</v>
      </c>
      <c r="BL8" s="508" t="str">
        <f>инфо!$C57</f>
        <v>Говядина на кости</v>
      </c>
      <c r="BM8" s="508" t="str">
        <f>инфо!$C58</f>
        <v>Мясо птицы</v>
      </c>
      <c r="BN8" s="508" t="str">
        <f>инфо!$C59</f>
        <v>Сардельки, сосиски</v>
      </c>
      <c r="BO8" s="508" t="str">
        <f>инфо!$C60</f>
        <v>Свинина б/к</v>
      </c>
      <c r="BP8" s="508" t="str">
        <f>инфо!$C61</f>
        <v>Свинина на кости</v>
      </c>
      <c r="BQ8" s="508" t="str">
        <f>инфо!$C62</f>
        <v>Колбаса с/к</v>
      </c>
      <c r="BR8" s="508" t="str">
        <f>инфо!$C63</f>
        <v>Колбаса п/к</v>
      </c>
      <c r="BS8" s="508" t="str">
        <f>инфо!$C64</f>
        <v>Консервы рыбные</v>
      </c>
      <c r="BT8" s="508" t="str">
        <f>инфо!$C65</f>
        <v>Сельдь</v>
      </c>
      <c r="BU8" s="508" t="str">
        <f>инфо!$C66</f>
        <v xml:space="preserve">Рыба с/м </v>
      </c>
      <c r="BV8" s="508" t="str">
        <f>инфо!$C67</f>
        <v>Мясо-рыба запас</v>
      </c>
      <c r="BW8" s="509" t="str">
        <f>инфо!$C68</f>
        <v>Гексавит</v>
      </c>
      <c r="BX8" s="509" t="str">
        <f>инфо!$C69</f>
        <v>Горчичный порошок</v>
      </c>
      <c r="BY8" s="509" t="str">
        <f>инфо!$C70</f>
        <v>Томат-паста</v>
      </c>
      <c r="BZ8" s="509" t="str">
        <f>инфо!$C71</f>
        <v>Уксус</v>
      </c>
      <c r="CA8" s="509" t="str">
        <f>инфо!$C72</f>
        <v>Лавровый лист</v>
      </c>
      <c r="CB8" s="509" t="str">
        <f>инфо!$C73</f>
        <v>Дрожжи</v>
      </c>
      <c r="CC8" s="509" t="str">
        <f>инфо!$C74</f>
        <v>Перец</v>
      </c>
      <c r="CD8" s="509" t="str">
        <f>инфо!$C75</f>
        <v>Соль</v>
      </c>
      <c r="CE8" s="509" t="str">
        <f>инфо!$C76</f>
        <v>Сахар</v>
      </c>
      <c r="CF8" s="509" t="str">
        <f>инфо!$C77</f>
        <v>Чай</v>
      </c>
      <c r="CG8" s="509" t="str">
        <f>инфо!$C78</f>
        <v>Кофе растворимый</v>
      </c>
      <c r="CH8" s="509" t="str">
        <f>инфо!$C79</f>
        <v>Сок п/я</v>
      </c>
      <c r="CI8" s="509" t="str">
        <f>инфо!$C80</f>
        <v>Кофе БС</v>
      </c>
      <c r="CJ8" s="509" t="str">
        <f>инфо!$C81</f>
        <v>Курага</v>
      </c>
      <c r="CK8" s="509" t="str">
        <f>инфо!$C82</f>
        <v>Изюм</v>
      </c>
      <c r="CL8" s="509" t="str">
        <f>инфо!$C83</f>
        <v>Чернослив</v>
      </c>
      <c r="CM8" s="509" t="str">
        <f>инфо!$C84</f>
        <v>Вода</v>
      </c>
      <c r="CN8" s="509" t="str">
        <f>инфо!$C85</f>
        <v>Прочие 1</v>
      </c>
      <c r="CO8" s="511" t="str">
        <f>инфо!$C86</f>
        <v>Апельсины</v>
      </c>
      <c r="CP8" s="511" t="str">
        <f>инфо!$C87</f>
        <v>Вафли</v>
      </c>
      <c r="CQ8" s="511" t="str">
        <f>инфо!$C88</f>
        <v>Карамель</v>
      </c>
      <c r="CR8" s="511" t="str">
        <f>инфо!$C89</f>
        <v>Конфеты шоколадные</v>
      </c>
      <c r="CS8" s="511" t="str">
        <f>инфо!$C90</f>
        <v>Яблоки свежие</v>
      </c>
      <c r="CT8" s="511" t="str">
        <f>инфо!$C91</f>
        <v>Печенье</v>
      </c>
      <c r="CU8" s="511" t="str">
        <f>инфо!$C92</f>
        <v>Печенье БС</v>
      </c>
      <c r="CV8" s="511" t="str">
        <f>инфо!$C93</f>
        <v>Пряники, печенье</v>
      </c>
      <c r="CW8" s="511" t="str">
        <f>инфо!$C94</f>
        <v>Сок яблочный</v>
      </c>
      <c r="CX8" s="511" t="str">
        <f>инфо!$C95</f>
        <v>Доп.продукт 1</v>
      </c>
      <c r="CY8" s="511" t="str">
        <f>инфо!$C96</f>
        <v>Доп.продукт 2</v>
      </c>
      <c r="CZ8" s="511" t="str">
        <f>инфо!$C97</f>
        <v>Доп.продукт 3</v>
      </c>
      <c r="DA8" s="511" t="str">
        <f>инфо!$C98</f>
        <v>Доп.продукт 4</v>
      </c>
      <c r="DB8" s="511" t="str">
        <f>инфо!$C99</f>
        <v>Доп.продукт 5</v>
      </c>
      <c r="DC8" s="129" t="str">
        <f>инфо!$C100</f>
        <v>Новый продукт</v>
      </c>
      <c r="DD8" s="129" t="str">
        <f>инфо!$C101</f>
        <v>Новый продукт</v>
      </c>
      <c r="DE8" s="129" t="str">
        <f>инфо!$C102</f>
        <v>Новый продукт</v>
      </c>
      <c r="DF8" s="129" t="str">
        <f>инфо!$C103</f>
        <v>Новый продукт</v>
      </c>
      <c r="DG8" s="129" t="str">
        <f>инфо!$C104</f>
        <v>Новый продукт</v>
      </c>
      <c r="DH8" s="129" t="str">
        <f>инфо!$C105</f>
        <v>Новый продукт</v>
      </c>
      <c r="DI8" s="129" t="str">
        <f>инфо!$C106</f>
        <v>Новый продукт</v>
      </c>
      <c r="DJ8" s="129" t="str">
        <f>инфо!$C107</f>
        <v>Новый продукт</v>
      </c>
      <c r="DK8" s="610" t="str">
        <f>инфо!$C108</f>
        <v>Новый продукт</v>
      </c>
      <c r="DL8" s="707"/>
      <c r="DM8" s="732"/>
      <c r="DN8" s="719"/>
      <c r="DO8" s="704"/>
      <c r="DP8" s="356"/>
      <c r="DQ8" s="356"/>
      <c r="DR8" s="356"/>
      <c r="DS8" s="356"/>
    </row>
    <row r="9" spans="2:123" s="882" customFormat="1" ht="34.5" customHeight="1" x14ac:dyDescent="0.25">
      <c r="B9" s="872"/>
      <c r="C9" s="873"/>
      <c r="D9" s="872"/>
      <c r="E9" s="874"/>
      <c r="F9" s="873"/>
      <c r="G9" s="873"/>
      <c r="H9" s="873"/>
      <c r="I9" s="875" t="s">
        <v>296</v>
      </c>
      <c r="J9" s="876">
        <f>IF(J8="Яйцо",SUMIF('Лист3 учет'!$I:$I,J$8,'Лист3 учет'!$N:$N),SUMIF('Лист3 учет'!$I:$I,J$8,'Лист3 учет'!$N:$N)*1000)</f>
        <v>48000</v>
      </c>
      <c r="K9" s="877">
        <f>IF(K8="Яйцо",SUMIF('Лист3 учет'!$I:$I,K$8,'Лист3 учет'!$N:$N),SUMIF('Лист3 учет'!$I:$I,K$8,'Лист3 учет'!$N:$N)*1000)</f>
        <v>57000</v>
      </c>
      <c r="L9" s="877">
        <f>IF(L8="Яйцо",SUMIF('Лист3 учет'!$I:$I,L$8,'Лист3 учет'!$N:$N),SUMIF('Лист3 учет'!$I:$I,L$8,'Лист3 учет'!$N:$N)*1000)</f>
        <v>39000</v>
      </c>
      <c r="M9" s="877">
        <f>IF(M8="Яйцо",SUMIF('Лист3 учет'!$I:$I,M$8,'Лист3 учет'!$N:$N),SUMIF('Лист3 учет'!$I:$I,M$8,'Лист3 учет'!$N:$N)*1000)</f>
        <v>66000</v>
      </c>
      <c r="N9" s="877">
        <f>IF(N8="Яйцо",SUMIF('Лист3 учет'!$I:$I,N$8,'Лист3 учет'!$N:$N),SUMIF('Лист3 учет'!$I:$I,N$8,'Лист3 учет'!$N:$N)*1000)</f>
        <v>87000</v>
      </c>
      <c r="O9" s="877">
        <f>IF(O8="Яйцо",SUMIF('Лист3 учет'!$I:$I,O$8,'Лист3 учет'!$N:$N),SUMIF('Лист3 учет'!$I:$I,O$8,'Лист3 учет'!$N:$N)*1000)</f>
        <v>51000</v>
      </c>
      <c r="P9" s="877">
        <f>IF(P8="Яйцо",SUMIF('Лист3 учет'!$I:$I,P$8,'Лист3 учет'!$N:$N),SUMIF('Лист3 учет'!$I:$I,P$8,'Лист3 учет'!$N:$N)*1000)</f>
        <v>84000</v>
      </c>
      <c r="Q9" s="877">
        <f>IF(Q8="Яйцо",SUMIF('Лист3 учет'!$I:$I,Q$8,'Лист3 учет'!$N:$N),SUMIF('Лист3 учет'!$I:$I,Q$8,'Лист3 учет'!$N:$N)*1000)</f>
        <v>55000</v>
      </c>
      <c r="R9" s="877">
        <f>IF(R8="Яйцо",SUMIF('Лист3 учет'!$I:$I,R$8,'Лист3 учет'!$N:$N),SUMIF('Лист3 учет'!$I:$I,R$8,'Лист3 учет'!$N:$N)*1000)</f>
        <v>0</v>
      </c>
      <c r="S9" s="877">
        <f>IF(S8="Яйцо",SUMIF('Лист3 учет'!$I:$I,S$8,'Лист3 учет'!$N:$N),SUMIF('Лист3 учет'!$I:$I,S$8,'Лист3 учет'!$N:$N)*1000)</f>
        <v>0</v>
      </c>
      <c r="T9" s="877">
        <f>IF(T8="Яйцо",SUMIF('Лист3 учет'!$I:$I,T$8,'Лист3 учет'!$N:$N),SUMIF('Лист3 учет'!$I:$I,T$8,'Лист3 учет'!$N:$N)*1000)</f>
        <v>98000</v>
      </c>
      <c r="U9" s="877">
        <f>IF(U8="Яйцо",SUMIF('Лист3 учет'!$I:$I,U$8,'Лист3 учет'!$N:$N),SUMIF('Лист3 учет'!$I:$I,U$8,'Лист3 учет'!$N:$N)*1000)</f>
        <v>74000</v>
      </c>
      <c r="V9" s="877">
        <f>IF(V8="Яйцо",SUMIF('Лист3 учет'!$I:$I,V$8,'Лист3 учет'!$N:$N),SUMIF('Лист3 учет'!$I:$I,V$8,'Лист3 учет'!$N:$N)*1000)</f>
        <v>43000</v>
      </c>
      <c r="W9" s="877">
        <f>IF(W8="Яйцо",SUMIF('Лист3 учет'!$I:$I,W$8,'Лист3 учет'!$N:$N),SUMIF('Лист3 учет'!$I:$I,W$8,'Лист3 учет'!$N:$N)*1000)</f>
        <v>192000</v>
      </c>
      <c r="X9" s="877">
        <f>IF(X8="Яйцо",SUMIF('Лист3 учет'!$I:$I,X$8,'Лист3 учет'!$N:$N),SUMIF('Лист3 учет'!$I:$I,X$8,'Лист3 учет'!$N:$N)*1000)</f>
        <v>52000</v>
      </c>
      <c r="Y9" s="877">
        <f>IF(Y8="Яйцо",SUMIF('Лист3 учет'!$I:$I,Y$8,'Лист3 учет'!$N:$N),SUMIF('Лист3 учет'!$I:$I,Y$8,'Лист3 учет'!$N:$N)*1000)</f>
        <v>91000</v>
      </c>
      <c r="Z9" s="877">
        <f>IF(Z8="Яйцо",SUMIF('Лист3 учет'!$I:$I,Z$8,'Лист3 учет'!$N:$N),SUMIF('Лист3 учет'!$I:$I,Z$8,'Лист3 учет'!$N:$N)*1000)</f>
        <v>25000</v>
      </c>
      <c r="AA9" s="877">
        <f>IF(AA8="Яйцо",SUMIF('Лист3 учет'!$I:$I,AA$8,'Лист3 учет'!$N:$N),SUMIF('Лист3 учет'!$I:$I,AA$8,'Лист3 учет'!$N:$N)*1000)</f>
        <v>67000</v>
      </c>
      <c r="AB9" s="877">
        <f>IF(AB8="Яйцо",SUMIF('Лист3 учет'!$I:$I,AB$8,'Лист3 учет'!$N:$N),SUMIF('Лист3 учет'!$I:$I,AB$8,'Лист3 учет'!$N:$N)*1000)</f>
        <v>0</v>
      </c>
      <c r="AC9" s="877">
        <f>IF(AC8="Яйцо",SUMIF('Лист3 учет'!$I:$I,AC$8,'Лист3 учет'!$N:$N),SUMIF('Лист3 учет'!$I:$I,AC$8,'Лист3 учет'!$N:$N)*1000)</f>
        <v>0</v>
      </c>
      <c r="AD9" s="877">
        <f>IF(AD8="Яйцо",SUMIF('Лист3 учет'!$I:$I,AD$8,'Лист3 учет'!$N:$N),SUMIF('Лист3 учет'!$I:$I,AD$8,'Лист3 учет'!$N:$N)*1000)</f>
        <v>0</v>
      </c>
      <c r="AE9" s="877">
        <f>IF(AE8="Яйцо",SUMIF('Лист3 учет'!$I:$I,AE$8,'Лист3 учет'!$N:$N),SUMIF('Лист3 учет'!$I:$I,AE$8,'Лист3 учет'!$N:$N)*1000)</f>
        <v>29000</v>
      </c>
      <c r="AF9" s="877">
        <f>IF(AF8="Яйцо",SUMIF('Лист3 учет'!$I:$I,AF$8,'Лист3 учет'!$N:$N),SUMIF('Лист3 учет'!$I:$I,AF$8,'Лист3 учет'!$N:$N)*1000)</f>
        <v>7000</v>
      </c>
      <c r="AG9" s="877">
        <f>IF(AG8="Яйцо",SUMIF('Лист3 учет'!$I:$I,AG$8,'Лист3 учет'!$N:$N),SUMIF('Лист3 учет'!$I:$I,AG$8,'Лист3 учет'!$N:$N)*1000)</f>
        <v>46000</v>
      </c>
      <c r="AH9" s="877">
        <f>IF(AH8="Яйцо",SUMIF('Лист3 учет'!$I:$I,AH$8,'Лист3 учет'!$N:$N),SUMIF('Лист3 учет'!$I:$I,AH$8,'Лист3 учет'!$N:$N)*1000)</f>
        <v>12000</v>
      </c>
      <c r="AI9" s="877">
        <f>IF(AI8="Яйцо",SUMIF('Лист3 учет'!$I:$I,AI$8,'Лист3 учет'!$N:$N),SUMIF('Лист3 учет'!$I:$I,AI$8,'Лист3 учет'!$N:$N)*1000)</f>
        <v>43000</v>
      </c>
      <c r="AJ9" s="877">
        <f>IF(AJ8="Яйцо",SUMIF('Лист3 учет'!$I:$I,AJ$8,'Лист3 учет'!$N:$N),SUMIF('Лист3 учет'!$I:$I,AJ$8,'Лист3 учет'!$N:$N)*1000)</f>
        <v>0</v>
      </c>
      <c r="AK9" s="877">
        <f>IF(AK8="Яйцо",SUMIF('Лист3 учет'!$I:$I,AK$8,'Лист3 учет'!$N:$N),SUMIF('Лист3 учет'!$I:$I,AK$8,'Лист3 учет'!$N:$N)*1000)</f>
        <v>0</v>
      </c>
      <c r="AL9" s="877">
        <f>IF(AL8="Яйцо",SUMIF('Лист3 учет'!$I:$I,AL$8,'Лист3 учет'!$N:$N),SUMIF('Лист3 учет'!$I:$I,AL$8,'Лист3 учет'!$N:$N)*1000)</f>
        <v>0</v>
      </c>
      <c r="AM9" s="877">
        <f>IF(AM8="Яйцо",SUMIF('Лист3 учет'!$I:$I,AM$8,'Лист3 учет'!$N:$N),SUMIF('Лист3 учет'!$I:$I,AM$8,'Лист3 учет'!$N:$N)*1000)</f>
        <v>0</v>
      </c>
      <c r="AN9" s="877">
        <f>IF(AN8="Яйцо",SUMIF('Лист3 учет'!$I:$I,AN$8,'Лист3 учет'!$N:$N),SUMIF('Лист3 учет'!$I:$I,AN$8,'Лист3 учет'!$N:$N)*1000)</f>
        <v>0</v>
      </c>
      <c r="AO9" s="877">
        <f>IF(AO8="Яйцо",SUMIF('Лист3 учет'!$I:$I,AO$8,'Лист3 учет'!$N:$N),SUMIF('Лист3 учет'!$I:$I,AO$8,'Лист3 учет'!$N:$N)*1000)</f>
        <v>0</v>
      </c>
      <c r="AP9" s="877">
        <f>IF(AP8="Яйцо",SUMIF('Лист3 учет'!$I:$I,AP$8,'Лист3 учет'!$N:$N),SUMIF('Лист3 учет'!$I:$I,AP$8,'Лист3 учет'!$N:$N)*1000)</f>
        <v>0</v>
      </c>
      <c r="AQ9" s="877">
        <f>IF(AQ8="Яйцо",SUMIF('Лист3 учет'!$I:$I,AQ$8,'Лист3 учет'!$N:$N),SUMIF('Лист3 учет'!$I:$I,AQ$8,'Лист3 учет'!$N:$N)*1000)</f>
        <v>0</v>
      </c>
      <c r="AR9" s="877">
        <f>IF(AR8="Яйцо",SUMIF('Лист3 учет'!$I:$I,AR$8,'Лист3 учет'!$N:$N),SUMIF('Лист3 учет'!$I:$I,AR$8,'Лист3 учет'!$N:$N)*1000)</f>
        <v>65000</v>
      </c>
      <c r="AS9" s="877">
        <f>IF(AS8="Яйцо",SUMIF('Лист3 учет'!$I:$I,AS$8,'Лист3 учет'!$N:$N),SUMIF('Лист3 учет'!$I:$I,AS$8,'Лист3 учет'!$N:$N)*1000)</f>
        <v>0</v>
      </c>
      <c r="AT9" s="877">
        <f>IF(AT8="Яйцо",SUMIF('Лист3 учет'!$I:$I,AT$8,'Лист3 учет'!$N:$N),SUMIF('Лист3 учет'!$I:$I,AT$8,'Лист3 учет'!$N:$N)*1000)</f>
        <v>0</v>
      </c>
      <c r="AU9" s="877">
        <f>IF(AU8="Яйцо",SUMIF('Лист3 учет'!$I:$I,AU$8,'Лист3 учет'!$N:$N),SUMIF('Лист3 учет'!$I:$I,AU$8,'Лист3 учет'!$N:$N)*1000)</f>
        <v>60000</v>
      </c>
      <c r="AV9" s="877">
        <f>IF(AV8="Яйцо",SUMIF('Лист3 учет'!$I:$I,AV$8,'Лист3 учет'!$N:$N),SUMIF('Лист3 учет'!$I:$I,AV$8,'Лист3 учет'!$N:$N)*1000)</f>
        <v>22000</v>
      </c>
      <c r="AW9" s="877">
        <f>IF(AW8="Яйцо",SUMIF('Лист3 учет'!$I:$I,AW$8,'Лист3 учет'!$N:$N),SUMIF('Лист3 учет'!$I:$I,AW$8,'Лист3 учет'!$N:$N)*1000)</f>
        <v>21000</v>
      </c>
      <c r="AX9" s="877">
        <f>IF(AX8="Яйцо",SUMIF('Лист3 учет'!$I:$I,AX$8,'Лист3 учет'!$N:$N),SUMIF('Лист3 учет'!$I:$I,AX$8,'Лист3 учет'!$N:$N)*1000)</f>
        <v>0</v>
      </c>
      <c r="AY9" s="877">
        <f>IF(AY8="Яйцо",SUMIF('Лист3 учет'!$I:$I,AY$8,'Лист3 учет'!$N:$N),SUMIF('Лист3 учет'!$I:$I,AY$8,'Лист3 учет'!$N:$N)*1000)</f>
        <v>0</v>
      </c>
      <c r="AZ9" s="877">
        <f>IF(AZ8="Яйцо",SUMIF('Лист3 учет'!$I:$I,AZ$8,'Лист3 учет'!$N:$N),SUMIF('Лист3 учет'!$I:$I,AZ$8,'Лист3 учет'!$N:$N)*1000)</f>
        <v>1000</v>
      </c>
      <c r="BA9" s="877">
        <f>IF(BA8="Яйцо",SUMIF('Лист3 учет'!$I:$I,BA$8,'Лист3 учет'!$N:$N),SUMIF('Лист3 учет'!$I:$I,BA$8,'Лист3 учет'!$N:$N)*1000)</f>
        <v>27000</v>
      </c>
      <c r="BB9" s="877">
        <f>IF(BB8="Яйцо",SUMIF('Лист3 учет'!$I:$I,BB$8,'Лист3 учет'!$N:$N),SUMIF('Лист3 учет'!$I:$I,BB$8,'Лист3 учет'!$N:$N)*1000)</f>
        <v>297</v>
      </c>
      <c r="BC9" s="877">
        <f>IF(BC8="Яйцо",SUMIF('Лист3 учет'!$I:$I,BC$8,'Лист3 учет'!$N:$N),SUMIF('Лист3 учет'!$I:$I,BC$8,'Лист3 учет'!$N:$N)*1000)</f>
        <v>0</v>
      </c>
      <c r="BD9" s="877">
        <f>IF(BD8="Яйцо",SUMIF('Лист3 учет'!$I:$I,BD$8,'Лист3 учет'!$N:$N),SUMIF('Лист3 учет'!$I:$I,BD$8,'Лист3 учет'!$N:$N)*1000)</f>
        <v>0</v>
      </c>
      <c r="BE9" s="877">
        <f>IF(BE8="Яйцо",SUMIF('Лист3 учет'!$I:$I,BE$8,'Лист3 учет'!$N:$N),SUMIF('Лист3 учет'!$I:$I,BE$8,'Лист3 учет'!$N:$N)*1000)</f>
        <v>16000</v>
      </c>
      <c r="BF9" s="877">
        <f>IF(BF8="Яйцо",SUMIF('Лист3 учет'!$I:$I,BF$8,'Лист3 учет'!$N:$N),SUMIF('Лист3 учет'!$I:$I,BF$8,'Лист3 учет'!$N:$N)*1000)</f>
        <v>39000</v>
      </c>
      <c r="BG9" s="877">
        <f>IF(BG8="Яйцо",SUMIF('Лист3 учет'!$I:$I,BG$8,'Лист3 учет'!$N:$N),SUMIF('Лист3 учет'!$I:$I,BG$8,'Лист3 учет'!$N:$N)*1000)</f>
        <v>15000</v>
      </c>
      <c r="BH9" s="877">
        <f>IF(BH8="Яйцо",SUMIF('Лист3 учет'!$I:$I,BH$8,'Лист3 учет'!$N:$N),SUMIF('Лист3 учет'!$I:$I,BH$8,'Лист3 учет'!$N:$N)*1000)</f>
        <v>0</v>
      </c>
      <c r="BI9" s="877">
        <f>IF(BI8="Яйцо",SUMIF('Лист3 учет'!$I:$I,BI$8,'Лист3 учет'!$N:$N),SUMIF('Лист3 учет'!$I:$I,BI$8,'Лист3 учет'!$N:$N)*1000)</f>
        <v>0</v>
      </c>
      <c r="BJ9" s="877">
        <f>IF(BJ8="Яйцо",SUMIF('Лист3 учет'!$I:$I,BJ$8,'Лист3 учет'!$N:$N),SUMIF('Лист3 учет'!$I:$I,BJ$8,'Лист3 учет'!$N:$N)*1000)</f>
        <v>0</v>
      </c>
      <c r="BK9" s="877">
        <f>IF(BK8="Яйцо",SUMIF('Лист3 учет'!$I:$I,BK$8,'Лист3 учет'!$N:$N),SUMIF('Лист3 учет'!$I:$I,BK$8,'Лист3 учет'!$N:$N)*1000)</f>
        <v>68000</v>
      </c>
      <c r="BL9" s="877">
        <f>IF(BL8="Яйцо",SUMIF('Лист3 учет'!$I:$I,BL$8,'Лист3 учет'!$N:$N),SUMIF('Лист3 учет'!$I:$I,BL$8,'Лист3 учет'!$N:$N)*1000)</f>
        <v>0</v>
      </c>
      <c r="BM9" s="877">
        <f>IF(BM8="Яйцо",SUMIF('Лист3 учет'!$I:$I,BM$8,'Лист3 учет'!$N:$N),SUMIF('Лист3 учет'!$I:$I,BM$8,'Лист3 учет'!$N:$N)*1000)</f>
        <v>73000</v>
      </c>
      <c r="BN9" s="877">
        <f>IF(BN8="Яйцо",SUMIF('Лист3 учет'!$I:$I,BN$8,'Лист3 учет'!$N:$N),SUMIF('Лист3 учет'!$I:$I,BN$8,'Лист3 учет'!$N:$N)*1000)</f>
        <v>40000</v>
      </c>
      <c r="BO9" s="877">
        <f>IF(BO8="Яйцо",SUMIF('Лист3 учет'!$I:$I,BO$8,'Лист3 учет'!$N:$N),SUMIF('Лист3 учет'!$I:$I,BO$8,'Лист3 учет'!$N:$N)*1000)</f>
        <v>57000</v>
      </c>
      <c r="BP9" s="877">
        <f>IF(BP8="Яйцо",SUMIF('Лист3 учет'!$I:$I,BP$8,'Лист3 учет'!$N:$N),SUMIF('Лист3 учет'!$I:$I,BP$8,'Лист3 учет'!$N:$N)*1000)</f>
        <v>0</v>
      </c>
      <c r="BQ9" s="877">
        <f>IF(BQ8="Яйцо",SUMIF('Лист3 учет'!$I:$I,BQ$8,'Лист3 учет'!$N:$N),SUMIF('Лист3 учет'!$I:$I,BQ$8,'Лист3 учет'!$N:$N)*1000)</f>
        <v>15000</v>
      </c>
      <c r="BR9" s="877">
        <f>IF(BR8="Яйцо",SUMIF('Лист3 учет'!$I:$I,BR$8,'Лист3 учет'!$N:$N),SUMIF('Лист3 учет'!$I:$I,BR$8,'Лист3 учет'!$N:$N)*1000)</f>
        <v>12000</v>
      </c>
      <c r="BS9" s="877">
        <f>IF(BS8="Яйцо",SUMIF('Лист3 учет'!$I:$I,BS$8,'Лист3 учет'!$N:$N),SUMIF('Лист3 учет'!$I:$I,BS$8,'Лист3 учет'!$N:$N)*1000)</f>
        <v>46000</v>
      </c>
      <c r="BT9" s="877">
        <f>IF(BT8="Яйцо",SUMIF('Лист3 учет'!$I:$I,BT$8,'Лист3 учет'!$N:$N),SUMIF('Лист3 учет'!$I:$I,BT$8,'Лист3 учет'!$N:$N)*1000)</f>
        <v>46000</v>
      </c>
      <c r="BU9" s="877">
        <f>IF(BU8="Яйцо",SUMIF('Лист3 учет'!$I:$I,BU$8,'Лист3 учет'!$N:$N),SUMIF('Лист3 учет'!$I:$I,BU$8,'Лист3 учет'!$N:$N)*1000)</f>
        <v>87000</v>
      </c>
      <c r="BV9" s="877">
        <f>IF(BV8="Яйцо",SUMIF('Лист3 учет'!$I:$I,BV$8,'Лист3 учет'!$N:$N),SUMIF('Лист3 учет'!$I:$I,BV$8,'Лист3 учет'!$N:$N)*1000)</f>
        <v>0</v>
      </c>
      <c r="BW9" s="877">
        <f>IF(BW8="Яйцо",SUMIF('Лист3 учет'!$I:$I,BW$8,'Лист3 учет'!$N:$N),SUMIF('Лист3 учет'!$I:$I,BW$8,'Лист3 учет'!$N:$N)*1000)</f>
        <v>3000</v>
      </c>
      <c r="BX9" s="877">
        <f>IF(BX8="Яйцо",SUMIF('Лист3 учет'!$I:$I,BX$8,'Лист3 учет'!$N:$N),SUMIF('Лист3 учет'!$I:$I,BX$8,'Лист3 учет'!$N:$N)*1000)</f>
        <v>2000</v>
      </c>
      <c r="BY9" s="877">
        <f>IF(BY8="Яйцо",SUMIF('Лист3 учет'!$I:$I,BY$8,'Лист3 учет'!$N:$N),SUMIF('Лист3 учет'!$I:$I,BY$8,'Лист3 учет'!$N:$N)*1000)</f>
        <v>3000</v>
      </c>
      <c r="BZ9" s="877">
        <f>IF(BZ8="Яйцо",SUMIF('Лист3 учет'!$I:$I,BZ$8,'Лист3 учет'!$N:$N),SUMIF('Лист3 учет'!$I:$I,BZ$8,'Лист3 учет'!$N:$N)*1000)</f>
        <v>6500</v>
      </c>
      <c r="CA9" s="877">
        <f>IF(CA8="Яйцо",SUMIF('Лист3 учет'!$I:$I,CA$8,'Лист3 учет'!$N:$N),SUMIF('Лист3 учет'!$I:$I,CA$8,'Лист3 учет'!$N:$N)*1000)</f>
        <v>1800</v>
      </c>
      <c r="CB9" s="877">
        <f>IF(CB8="Яйцо",SUMIF('Лист3 учет'!$I:$I,CB$8,'Лист3 учет'!$N:$N),SUMIF('Лист3 учет'!$I:$I,CB$8,'Лист3 учет'!$N:$N)*1000)</f>
        <v>0</v>
      </c>
      <c r="CC9" s="877">
        <f>IF(CC8="Яйцо",SUMIF('Лист3 учет'!$I:$I,CC$8,'Лист3 учет'!$N:$N),SUMIF('Лист3 учет'!$I:$I,CC$8,'Лист3 учет'!$N:$N)*1000)</f>
        <v>4600</v>
      </c>
      <c r="CD9" s="877">
        <f>IF(CD8="Яйцо",SUMIF('Лист3 учет'!$I:$I,CD$8,'Лист3 учет'!$N:$N),SUMIF('Лист3 учет'!$I:$I,CD$8,'Лист3 учет'!$N:$N)*1000)</f>
        <v>3000</v>
      </c>
      <c r="CE9" s="877">
        <f>IF(CE8="Яйцо",SUMIF('Лист3 учет'!$I:$I,CE$8,'Лист3 учет'!$N:$N),SUMIF('Лист3 учет'!$I:$I,CE$8,'Лист3 учет'!$N:$N)*1000)</f>
        <v>86000</v>
      </c>
      <c r="CF9" s="877">
        <f>IF(CF8="Яйцо",SUMIF('Лист3 учет'!$I:$I,CF$8,'Лист3 учет'!$N:$N),SUMIF('Лист3 учет'!$I:$I,CF$8,'Лист3 учет'!$N:$N)*1000)</f>
        <v>11000</v>
      </c>
      <c r="CG9" s="877">
        <f>IF(CG8="Яйцо",SUMIF('Лист3 учет'!$I:$I,CG$8,'Лист3 учет'!$N:$N),SUMIF('Лист3 учет'!$I:$I,CG$8,'Лист3 учет'!$N:$N)*1000)</f>
        <v>2000</v>
      </c>
      <c r="CH9" s="877">
        <f>IF(CH8="Яйцо",SUMIF('Лист3 учет'!$I:$I,CH$8,'Лист3 учет'!$N:$N),SUMIF('Лист3 учет'!$I:$I,CH$8,'Лист3 учет'!$N:$N)*1000)</f>
        <v>68000</v>
      </c>
      <c r="CI9" s="877">
        <f>IF(CI8="Яйцо",SUMIF('Лист3 учет'!$I:$I,CI$8,'Лист3 учет'!$N:$N),SUMIF('Лист3 учет'!$I:$I,CI$8,'Лист3 учет'!$N:$N)*1000)</f>
        <v>1000</v>
      </c>
      <c r="CJ9" s="877">
        <f>IF(CJ8="Яйцо",SUMIF('Лист3 учет'!$I:$I,CJ$8,'Лист3 учет'!$N:$N),SUMIF('Лист3 учет'!$I:$I,CJ$8,'Лист3 учет'!$N:$N)*1000)</f>
        <v>3000</v>
      </c>
      <c r="CK9" s="877">
        <f>IF(CK8="Яйцо",SUMIF('Лист3 учет'!$I:$I,CK$8,'Лист3 учет'!$N:$N),SUMIF('Лист3 учет'!$I:$I,CK$8,'Лист3 учет'!$N:$N)*1000)</f>
        <v>14000</v>
      </c>
      <c r="CL9" s="877">
        <f>IF(CL8="Яйцо",SUMIF('Лист3 учет'!$I:$I,CL$8,'Лист3 учет'!$N:$N),SUMIF('Лист3 учет'!$I:$I,CL$8,'Лист3 учет'!$N:$N)*1000)</f>
        <v>53000</v>
      </c>
      <c r="CM9" s="877">
        <f>IF(CM8="Яйцо",SUMIF('Лист3 учет'!$I:$I,CM$8,'Лист3 учет'!$N:$N),SUMIF('Лист3 учет'!$I:$I,CM$8,'Лист3 учет'!$N:$N)*1000)</f>
        <v>0</v>
      </c>
      <c r="CN9" s="877">
        <f>IF(CN8="Яйцо",SUMIF('Лист3 учет'!$I:$I,CN$8,'Лист3 учет'!$N:$N),SUMIF('Лист3 учет'!$I:$I,CN$8,'Лист3 учет'!$N:$N)*1000)</f>
        <v>0</v>
      </c>
      <c r="CO9" s="877">
        <f>IF(CO8="Яйцо",SUMIF('Лист3 учет'!$I:$I,CO$8,'Лист3 учет'!$N:$N),SUMIF('Лист3 учет'!$I:$I,CO$8,'Лист3 учет'!$N:$N)*1000)</f>
        <v>4000</v>
      </c>
      <c r="CP9" s="877">
        <f>IF(CP8="Яйцо",SUMIF('Лист3 учет'!$I:$I,CP$8,'Лист3 учет'!$N:$N),SUMIF('Лист3 учет'!$I:$I,CP$8,'Лист3 учет'!$N:$N)*1000)</f>
        <v>23000</v>
      </c>
      <c r="CQ9" s="877">
        <f>IF(CQ8="Яйцо",SUMIF('Лист3 учет'!$I:$I,CQ$8,'Лист3 учет'!$N:$N),SUMIF('Лист3 учет'!$I:$I,CQ$8,'Лист3 учет'!$N:$N)*1000)</f>
        <v>78000</v>
      </c>
      <c r="CR9" s="877">
        <f>IF(CR8="Яйцо",SUMIF('Лист3 учет'!$I:$I,CR$8,'Лист3 учет'!$N:$N),SUMIF('Лист3 учет'!$I:$I,CR$8,'Лист3 учет'!$N:$N)*1000)</f>
        <v>54000</v>
      </c>
      <c r="CS9" s="877">
        <f>IF(CS8="Яйцо",SUMIF('Лист3 учет'!$I:$I,CS$8,'Лист3 учет'!$N:$N),SUMIF('Лист3 учет'!$I:$I,CS$8,'Лист3 учет'!$N:$N)*1000)</f>
        <v>36000</v>
      </c>
      <c r="CT9" s="877">
        <f>IF(CT8="Яйцо",SUMIF('Лист3 учет'!$I:$I,CT$8,'Лист3 учет'!$N:$N),SUMIF('Лист3 учет'!$I:$I,CT$8,'Лист3 учет'!$N:$N)*1000)</f>
        <v>34000</v>
      </c>
      <c r="CU9" s="877">
        <f>IF(CU8="Яйцо",SUMIF('Лист3 учет'!$I:$I,CU$8,'Лист3 учет'!$N:$N),SUMIF('Лист3 учет'!$I:$I,CU$8,'Лист3 учет'!$N:$N)*1000)</f>
        <v>11000</v>
      </c>
      <c r="CV9" s="877">
        <f>IF(CV8="Яйцо",SUMIF('Лист3 учет'!$I:$I,CV$8,'Лист3 учет'!$N:$N),SUMIF('Лист3 учет'!$I:$I,CV$8,'Лист3 учет'!$N:$N)*1000)</f>
        <v>17000</v>
      </c>
      <c r="CW9" s="877">
        <f>IF(CW8="Яйцо",SUMIF('Лист3 учет'!$I:$I,CW$8,'Лист3 учет'!$N:$N),SUMIF('Лист3 учет'!$I:$I,CW$8,'Лист3 учет'!$N:$N)*1000)</f>
        <v>37000</v>
      </c>
      <c r="CX9" s="877">
        <f>IF(CX8="Яйцо",SUMIF('Лист3 учет'!$I:$I,CX$8,'Лист3 учет'!$N:$N),SUMIF('Лист3 учет'!$I:$I,CX$8,'Лист3 учет'!$N:$N)*1000)</f>
        <v>0</v>
      </c>
      <c r="CY9" s="877">
        <f>IF(CY8="Яйцо",SUMIF('Лист3 учет'!$I:$I,CY$8,'Лист3 учет'!$N:$N),SUMIF('Лист3 учет'!$I:$I,CY$8,'Лист3 учет'!$N:$N)*1000)</f>
        <v>0</v>
      </c>
      <c r="CZ9" s="877">
        <f>IF(CZ8="Яйцо",SUMIF('Лист3 учет'!$I:$I,CZ$8,'Лист3 учет'!$N:$N),SUMIF('Лист3 учет'!$I:$I,CZ$8,'Лист3 учет'!$N:$N)*1000)</f>
        <v>0</v>
      </c>
      <c r="DA9" s="877">
        <f>IF(DA8="Яйцо",SUMIF('Лист3 учет'!$I:$I,DA$8,'Лист3 учет'!$N:$N),SUMIF('Лист3 учет'!$I:$I,DA$8,'Лист3 учет'!$N:$N)*1000)</f>
        <v>0</v>
      </c>
      <c r="DB9" s="877">
        <f>IF(DB8="Яйцо",SUMIF('Лист3 учет'!$I:$I,DB$8,'Лист3 учет'!$N:$N),SUMIF('Лист3 учет'!$I:$I,DB$8,'Лист3 учет'!$N:$N)*1000)</f>
        <v>0</v>
      </c>
      <c r="DC9" s="877">
        <f>IF(DC8="Яйцо",SUMIF('Лист3 учет'!$I:$I,DC$8,'Лист3 учет'!$N:$N),SUMIF('Лист3 учет'!$I:$I,DC$8,'Лист3 учет'!$N:$N)*1000)</f>
        <v>0</v>
      </c>
      <c r="DD9" s="877">
        <f>IF(DD8="Яйцо",SUMIF('Лист3 учет'!$I:$I,DD$8,'Лист3 учет'!$N:$N),SUMIF('Лист3 учет'!$I:$I,DD$8,'Лист3 учет'!$N:$N)*1000)</f>
        <v>0</v>
      </c>
      <c r="DE9" s="877">
        <f>IF(DE8="Яйцо",SUMIF('Лист3 учет'!$I:$I,DE$8,'Лист3 учет'!$N:$N),SUMIF('Лист3 учет'!$I:$I,DE$8,'Лист3 учет'!$N:$N)*1000)</f>
        <v>0</v>
      </c>
      <c r="DF9" s="877">
        <f>IF(DF8="Яйцо",SUMIF('Лист3 учет'!$I:$I,DF$8,'Лист3 учет'!$N:$N),SUMIF('Лист3 учет'!$I:$I,DF$8,'Лист3 учет'!$N:$N)*1000)</f>
        <v>0</v>
      </c>
      <c r="DG9" s="877">
        <f>IF(DG8="Яйцо",SUMIF('Лист3 учет'!$I:$I,DG$8,'Лист3 учет'!$N:$N),SUMIF('Лист3 учет'!$I:$I,DG$8,'Лист3 учет'!$N:$N)*1000)</f>
        <v>0</v>
      </c>
      <c r="DH9" s="877">
        <f>IF(DH8="Яйцо",SUMIF('Лист3 учет'!$I:$I,DH$8,'Лист3 учет'!$N:$N),SUMIF('Лист3 учет'!$I:$I,DH$8,'Лист3 учет'!$N:$N)*1000)</f>
        <v>0</v>
      </c>
      <c r="DI9" s="877">
        <f>IF(DI8="Яйцо",SUMIF('Лист3 учет'!$I:$I,DI$8,'Лист3 учет'!$N:$N),SUMIF('Лист3 учет'!$I:$I,DI$8,'Лист3 учет'!$N:$N)*1000)</f>
        <v>0</v>
      </c>
      <c r="DJ9" s="877">
        <f>IF(DJ8="Яйцо",SUMIF('Лист3 учет'!$I:$I,DJ$8,'Лист3 учет'!$N:$N),SUMIF('Лист3 учет'!$I:$I,DJ$8,'Лист3 учет'!$N:$N)*1000)</f>
        <v>0</v>
      </c>
      <c r="DK9" s="878">
        <f>IF(DK8="Яйцо",SUMIF('Лист3 учет'!$I:$I,DK$8,'Лист3 учет'!$N:$N),SUMIF('Лист3 учет'!$I:$I,DK$8,'Лист3 учет'!$N:$N)*1000)</f>
        <v>0</v>
      </c>
      <c r="DL9" s="879"/>
      <c r="DM9" s="880"/>
      <c r="DN9" s="880"/>
      <c r="DO9" s="881"/>
    </row>
    <row r="10" spans="2:123" s="860" customFormat="1" ht="19.5" hidden="1" customHeight="1" outlineLevel="1" x14ac:dyDescent="0.25">
      <c r="B10" s="861"/>
      <c r="C10" s="862"/>
      <c r="D10" s="861"/>
      <c r="E10" s="863"/>
      <c r="F10" s="862"/>
      <c r="G10" s="862"/>
      <c r="H10" s="862"/>
      <c r="I10" s="864" t="s">
        <v>280</v>
      </c>
      <c r="J10" s="865">
        <f>J28*Обложка!$D$22+Меню!J43*Обложка!$D$23+Меню!J56*Обложка!$D$24+Меню!J$61*Обложка!$D$25</f>
        <v>8784</v>
      </c>
      <c r="K10" s="866">
        <f>(K28*Обложка!$D$22+Меню!K43*Обложка!$D$23+Меню!K56*Обложка!$D$24+Меню!K$61*Обложка!$D$25)/1000</f>
        <v>20.74</v>
      </c>
      <c r="L10" s="866">
        <f>(L28*Обложка!$D$22+Меню!L43*Обложка!$D$23+Меню!L56*Обложка!$D$24+Меню!L$61*Обложка!$D$25)/1000</f>
        <v>9.15</v>
      </c>
      <c r="M10" s="866">
        <f>(M28*Обложка!$D$22+Меню!M43*Обложка!$D$23+Меню!M56*Обложка!$D$24+Меню!M$61*Обложка!$D$25)/1000</f>
        <v>0</v>
      </c>
      <c r="N10" s="866">
        <f>(N28*Обложка!$D$22+Меню!N43*Обложка!$D$23+Меню!N56*Обложка!$D$24+Меню!N$61*Обложка!$D$25)/1000</f>
        <v>0</v>
      </c>
      <c r="O10" s="866">
        <f>(O28*Обложка!$D$22+Меню!O43*Обложка!$D$23+Меню!O56*Обложка!$D$24+Меню!O$61*Обложка!$D$25)/1000</f>
        <v>0</v>
      </c>
      <c r="P10" s="866">
        <f>(P28*Обложка!$D$22+Меню!P43*Обложка!$D$23+Меню!P56*Обложка!$D$24+Меню!P$61*Обложка!$D$25)/1000</f>
        <v>1.83</v>
      </c>
      <c r="Q10" s="866">
        <f>(Q28*Обложка!$D$22+Меню!Q43*Обложка!$D$23+Меню!Q56*Обложка!$D$24+Меню!Q$61*Обложка!$D$25)/1000</f>
        <v>0</v>
      </c>
      <c r="R10" s="866">
        <f>(R28*Обложка!$D$22+Меню!R43*Обложка!$D$23+Меню!R56*Обложка!$D$24+Меню!R$61*Обложка!$D$25)/1000</f>
        <v>0</v>
      </c>
      <c r="S10" s="866">
        <f>(S28*Обложка!$D$22+Меню!S43*Обложка!$D$23+Меню!S56*Обложка!$D$24+Меню!S$61*Обложка!$D$25)/1000</f>
        <v>0</v>
      </c>
      <c r="T10" s="866">
        <f>(T28*Обложка!$D$22+Меню!T43*Обложка!$D$23+Меню!T56*Обложка!$D$24+Меню!T$61*Обложка!$D$25)/1000</f>
        <v>8.5399999999999991</v>
      </c>
      <c r="U10" s="866">
        <f>(U28*Обложка!$D$22+Меню!U43*Обложка!$D$23+Меню!U56*Обложка!$D$24+Меню!U$61*Обложка!$D$25)/1000</f>
        <v>2.44</v>
      </c>
      <c r="V10" s="866">
        <f>(V28*Обложка!$D$22+Меню!V43*Обложка!$D$23+Меню!V56*Обложка!$D$24+Меню!V$61*Обложка!$D$25)/1000</f>
        <v>15.86</v>
      </c>
      <c r="W10" s="866">
        <f>(W28*Обложка!$D$22+Меню!W43*Обложка!$D$23+Меню!W56*Обложка!$D$24+Меню!W$61*Обложка!$D$25)/1000</f>
        <v>26.84</v>
      </c>
      <c r="X10" s="866">
        <f>(X28*Обложка!$D$22+Меню!X43*Обложка!$D$23+Меню!X56*Обложка!$D$24+Меню!X$61*Обложка!$D$25)/1000</f>
        <v>6.71</v>
      </c>
      <c r="Y10" s="866">
        <f>(Y28*Обложка!$D$22+Меню!Y43*Обложка!$D$23+Меню!Y56*Обложка!$D$24+Меню!Y$61*Обложка!$D$25)/1000</f>
        <v>8.1739999999999995</v>
      </c>
      <c r="Z10" s="866">
        <f>(Z28*Обложка!$D$22+Меню!Z43*Обложка!$D$23+Меню!Z56*Обложка!$D$24+Меню!Z$61*Обложка!$D$25)/1000</f>
        <v>0</v>
      </c>
      <c r="AA10" s="866">
        <f>(AA28*Обложка!$D$22+Меню!AA43*Обложка!$D$23+Меню!AA56*Обложка!$D$24+Меню!AA$61*Обложка!$D$25)/1000</f>
        <v>0</v>
      </c>
      <c r="AB10" s="866">
        <f>(AB28*Обложка!$D$22+Меню!AB43*Обложка!$D$23+Меню!AB56*Обложка!$D$24+Меню!AB$61*Обложка!$D$25)/1000</f>
        <v>0</v>
      </c>
      <c r="AC10" s="866">
        <f>(AC28*Обложка!$D$22+Меню!AC43*Обложка!$D$23+Меню!AC56*Обложка!$D$24+Меню!AC$61*Обложка!$D$25)/1000</f>
        <v>0</v>
      </c>
      <c r="AD10" s="866">
        <f>(AD28*Обложка!$D$22+Меню!AD43*Обложка!$D$23+Меню!AD56*Обложка!$D$24+Меню!AD$61*Обложка!$D$25)/1000</f>
        <v>0</v>
      </c>
      <c r="AE10" s="866">
        <f>(AE28*Обложка!$D$22+Меню!AE43*Обложка!$D$23+Меню!AE56*Обложка!$D$24+Меню!AE$61*Обложка!$D$25)/1000</f>
        <v>0</v>
      </c>
      <c r="AF10" s="866">
        <f>(AF28*Обложка!$D$22+Меню!AF43*Обложка!$D$23+Меню!AF56*Обложка!$D$24+Меню!AF$61*Обложка!$D$25)/1000</f>
        <v>0</v>
      </c>
      <c r="AG10" s="866">
        <f>(AG28*Обложка!$D$22+Меню!AG43*Обложка!$D$23+Меню!AG56*Обложка!$D$24+Меню!AG$61*Обложка!$D$25)/1000</f>
        <v>4.5750000000000002</v>
      </c>
      <c r="AH10" s="866">
        <f>(AH28*Обложка!$D$22+Меню!AH43*Обложка!$D$23+Меню!AH56*Обложка!$D$24+Меню!AH$61*Обложка!$D$25)/1000</f>
        <v>0.24399999999999999</v>
      </c>
      <c r="AI10" s="866">
        <f>(AI28*Обложка!$D$22+Меню!AI43*Обложка!$D$23+Меню!AI56*Обложка!$D$24+Меню!AI$61*Обложка!$D$25)/1000</f>
        <v>0</v>
      </c>
      <c r="AJ10" s="866">
        <f>(AJ28*Обложка!$D$22+Меню!AJ43*Обложка!$D$23+Меню!AJ56*Обложка!$D$24+Меню!AJ$61*Обложка!$D$25)/1000</f>
        <v>0</v>
      </c>
      <c r="AK10" s="866">
        <f>(AK28*Обложка!$D$22+Меню!AK43*Обложка!$D$23+Меню!AK56*Обложка!$D$24+Меню!AK$61*Обложка!$D$25)/1000</f>
        <v>0</v>
      </c>
      <c r="AL10" s="866">
        <f>(AL28*Обложка!$D$22+Меню!AL43*Обложка!$D$23+Меню!AL56*Обложка!$D$24+Меню!AL$61*Обложка!$D$25)/1000</f>
        <v>0</v>
      </c>
      <c r="AM10" s="866">
        <f>(AM28*Обложка!$D$22+Меню!AM43*Обложка!$D$23+Меню!AM56*Обложка!$D$24+Меню!AM$61*Обложка!$D$25)/1000</f>
        <v>0</v>
      </c>
      <c r="AN10" s="866">
        <f>(AN28*Обложка!$D$22+Меню!AN43*Обложка!$D$23+Меню!AN56*Обложка!$D$24+Меню!AN$61*Обложка!$D$25)/1000</f>
        <v>0</v>
      </c>
      <c r="AO10" s="866">
        <f>(AO28*Обложка!$D$22+Меню!AO43*Обложка!$D$23+Меню!AO56*Обложка!$D$24+Меню!AO$61*Обложка!$D$25)/1000</f>
        <v>0</v>
      </c>
      <c r="AP10" s="866">
        <f>(AP28*Обложка!$D$22+Меню!AP43*Обложка!$D$23+Меню!AP56*Обложка!$D$24+Меню!AP$61*Обложка!$D$25)/1000</f>
        <v>1.0980000000000001</v>
      </c>
      <c r="AQ10" s="866">
        <f>(AQ28*Обложка!$D$22+Меню!AQ43*Обложка!$D$23+Меню!AQ56*Обложка!$D$24+Меню!AQ$61*Обложка!$D$25)/1000</f>
        <v>0</v>
      </c>
      <c r="AR10" s="866">
        <f>(AR28*Обложка!$D$22+Меню!AR43*Обложка!$D$23+Меню!AR56*Обложка!$D$24+Меню!AR$61*Обложка!$D$25)/1000</f>
        <v>12.2</v>
      </c>
      <c r="AS10" s="866">
        <f>(AS28*Обложка!$D$22+Меню!AS43*Обложка!$D$23+Меню!AS56*Обложка!$D$24+Меню!AS$61*Обложка!$D$25)/1000</f>
        <v>24.4</v>
      </c>
      <c r="AT10" s="866">
        <f>(AT28*Обложка!$D$22+Меню!AT43*Обложка!$D$23+Меню!AT56*Обложка!$D$24+Меню!AT$61*Обложка!$D$25)/1000</f>
        <v>0</v>
      </c>
      <c r="AU10" s="866">
        <f>(AU28*Обложка!$D$22+Меню!AU43*Обложка!$D$23+Меню!AU56*Обложка!$D$24+Меню!AU$61*Обложка!$D$25)/1000</f>
        <v>24.4</v>
      </c>
      <c r="AV10" s="866">
        <f>(AV28*Обложка!$D$22+Меню!AV43*Обложка!$D$23+Меню!AV56*Обложка!$D$24+Меню!AV$61*Обложка!$D$25)/1000</f>
        <v>0</v>
      </c>
      <c r="AW10" s="866">
        <f>(AW28*Обложка!$D$22+Меню!AW43*Обложка!$D$23+Меню!AW56*Обложка!$D$24+Меню!AW$61*Обложка!$D$25)/1000</f>
        <v>0</v>
      </c>
      <c r="AX10" s="866">
        <f>(AX28*Обложка!$D$22+Меню!AX43*Обложка!$D$23+Меню!AX56*Обложка!$D$24+Меню!AX$61*Обложка!$D$25)/1000</f>
        <v>0</v>
      </c>
      <c r="AY10" s="866">
        <f>(AY28*Обложка!$D$22+Меню!AY43*Обложка!$D$23+Меню!AY56*Обложка!$D$24+Меню!AY$61*Обложка!$D$25)/1000</f>
        <v>0</v>
      </c>
      <c r="AZ10" s="866">
        <f>(AZ28*Обложка!$D$22+Меню!AZ43*Обложка!$D$23+Меню!AZ56*Обложка!$D$24+Меню!AZ$61*Обложка!$D$25)/1000</f>
        <v>0</v>
      </c>
      <c r="BA10" s="866">
        <f>(BA28*Обложка!$D$22+Меню!BA43*Обложка!$D$23+Меню!BA56*Обложка!$D$24+Меню!BA$61*Обложка!$D$25)/1000</f>
        <v>2.1349999999999998</v>
      </c>
      <c r="BB10" s="867">
        <f>(BB28*Обложка!$D$22+Меню!BB43*Обложка!$D$23+Меню!BB56*Обложка!$D$24+Меню!BB$61*Обложка!$D$25)/1000</f>
        <v>0.122</v>
      </c>
      <c r="BC10" s="866">
        <f>(BC28*Обложка!$D$22+Меню!BC43*Обложка!$D$23+Меню!BC56*Обложка!$D$24+Меню!BC$61*Обложка!$D$25)/1000</f>
        <v>0</v>
      </c>
      <c r="BD10" s="866">
        <f>(BD28*Обложка!$D$22+Меню!BD43*Обложка!$D$23+Меню!BD56*Обложка!$D$24+Меню!BD$61*Обложка!$D$25)/1000</f>
        <v>0</v>
      </c>
      <c r="BE10" s="866">
        <f>(BE28*Обложка!$D$22+Меню!BE43*Обложка!$D$23+Меню!BE56*Обложка!$D$24+Меню!BE$61*Обложка!$D$25)/1000</f>
        <v>0</v>
      </c>
      <c r="BF10" s="866">
        <f>(BF28*Обложка!$D$22+Меню!BF43*Обложка!$D$23+Меню!BF56*Обложка!$D$24+Меню!BF$61*Обложка!$D$25)/1000</f>
        <v>6.1</v>
      </c>
      <c r="BG10" s="866">
        <f>(BG28*Обложка!$D$22+Меню!BG43*Обложка!$D$23+Меню!BG56*Обложка!$D$24+Меню!BG$61*Обложка!$D$25)/1000</f>
        <v>4.2699999999999996</v>
      </c>
      <c r="BH10" s="866">
        <f>(BH28*Обложка!$D$22+Меню!BH43*Обложка!$D$23+Меню!BH56*Обложка!$D$24+Меню!BH$61*Обложка!$D$25)/1000</f>
        <v>2.44</v>
      </c>
      <c r="BI10" s="866">
        <f>(BI28*Обложка!$D$22+Меню!BI43*Обложка!$D$23+Меню!BI56*Обложка!$D$24+Меню!BI$61*Обложка!$D$25)/1000</f>
        <v>0</v>
      </c>
      <c r="BJ10" s="866">
        <f>(BJ28*Обложка!$D$22+Меню!BJ43*Обложка!$D$23+Меню!BJ56*Обложка!$D$24+Меню!BJ$61*Обложка!$D$25)/1000</f>
        <v>0</v>
      </c>
      <c r="BK10" s="866">
        <f>(BK28*Обложка!$D$22+Меню!BK43*Обложка!$D$23+Меню!BK56*Обложка!$D$24+Меню!BK$61*Обложка!$D$25)/1000</f>
        <v>0</v>
      </c>
      <c r="BL10" s="866">
        <f>(BL28*Обложка!$D$22+Меню!BL43*Обложка!$D$23+Меню!BL56*Обложка!$D$24+Меню!BL$61*Обложка!$D$25)/1000</f>
        <v>2.44</v>
      </c>
      <c r="BM10" s="866">
        <f>(BM28*Обложка!$D$22+Меню!BM43*Обложка!$D$23+Меню!BM56*Обложка!$D$24+Меню!BM$61*Обложка!$D$25)/1000</f>
        <v>0</v>
      </c>
      <c r="BN10" s="866">
        <f>(BN28*Обложка!$D$22+Меню!BN43*Обложка!$D$23+Меню!BN56*Обложка!$D$24+Меню!BN$61*Обложка!$D$25)/1000</f>
        <v>0</v>
      </c>
      <c r="BO10" s="866">
        <f>(BO28*Обложка!$D$22+Меню!BO43*Обложка!$D$23+Меню!BO56*Обложка!$D$24+Меню!BO$61*Обложка!$D$25)/1000</f>
        <v>14.64</v>
      </c>
      <c r="BP10" s="866">
        <f>(BP28*Обложка!$D$22+Меню!BP43*Обложка!$D$23+Меню!BP56*Обложка!$D$24+Меню!BP$61*Обложка!$D$25)/1000</f>
        <v>9.76</v>
      </c>
      <c r="BQ10" s="866">
        <f>(BQ28*Обложка!$D$22+Меню!BQ43*Обложка!$D$23+Меню!BQ56*Обложка!$D$24+Меню!BQ$61*Обложка!$D$25)/1000</f>
        <v>13.725</v>
      </c>
      <c r="BR10" s="866">
        <f>(BR28*Обложка!$D$22+Меню!BR43*Обложка!$D$23+Меню!BR56*Обложка!$D$24+Меню!BR$61*Обложка!$D$25)/1000</f>
        <v>0</v>
      </c>
      <c r="BS10" s="866">
        <f>(BS28*Обложка!$D$22+Меню!BS43*Обложка!$D$23+Меню!BS56*Обложка!$D$24+Меню!BS$61*Обложка!$D$25)/1000</f>
        <v>0</v>
      </c>
      <c r="BT10" s="866">
        <f>(BT28*Обложка!$D$22+Меню!BT43*Обложка!$D$23+Меню!BT56*Обложка!$D$24+Меню!BT$61*Обложка!$D$25)/1000</f>
        <v>0</v>
      </c>
      <c r="BU10" s="866">
        <f>(BU28*Обложка!$D$22+Меню!BU43*Обложка!$D$23+Меню!BU56*Обложка!$D$24+Меню!BU$61*Обложка!$D$25)/1000</f>
        <v>0</v>
      </c>
      <c r="BV10" s="866">
        <f>(BV28*Обложка!$D$22+Меню!BV43*Обложка!$D$23+Меню!BV56*Обложка!$D$24+Меню!BV$61*Обложка!$D$25)/1000</f>
        <v>0</v>
      </c>
      <c r="BW10" s="866">
        <f>(BW28*Обложка!$D$22+Меню!BW43*Обложка!$D$23+Меню!BW56*Обложка!$D$24+Меню!BW$61*Обложка!$D$25)/1000</f>
        <v>0</v>
      </c>
      <c r="BX10" s="866">
        <f>(BX28*Обложка!$D$22+Меню!BX43*Обложка!$D$23+Меню!BX56*Обложка!$D$24+Меню!BX$61*Обложка!$D$25)/1000</f>
        <v>6.0999999999999999E-2</v>
      </c>
      <c r="BY10" s="866">
        <f>(BY28*Обложка!$D$22+Меню!BY43*Обложка!$D$23+Меню!BY56*Обложка!$D$24+Меню!BY$61*Обложка!$D$25)/1000</f>
        <v>0</v>
      </c>
      <c r="BZ10" s="866">
        <f>(BZ28*Обложка!$D$22+Меню!BZ43*Обложка!$D$23+Меню!BZ56*Обложка!$D$24+Меню!BZ$61*Обложка!$D$25)/1000</f>
        <v>0</v>
      </c>
      <c r="CA10" s="866">
        <f>(CA28*Обложка!$D$22+Меню!CA43*Обложка!$D$23+Меню!CA56*Обложка!$D$24+Меню!CA$61*Обложка!$D$25)/1000</f>
        <v>0</v>
      </c>
      <c r="CB10" s="866">
        <f>(CB28*Обложка!$D$22+Меню!CB43*Обложка!$D$23+Меню!CB56*Обложка!$D$24+Меню!CB$61*Обложка!$D$25)/1000</f>
        <v>0</v>
      </c>
      <c r="CC10" s="866">
        <f>(CC28*Обложка!$D$22+Меню!CC43*Обложка!$D$23+Меню!CC56*Обложка!$D$24+Меню!CC$61*Обложка!$D$25)/1000</f>
        <v>0</v>
      </c>
      <c r="CD10" s="866">
        <f>(CD28*Обложка!$D$22+Меню!CD43*Обложка!$D$23+Меню!CD56*Обложка!$D$24+Меню!CD$61*Обложка!$D$25)/1000</f>
        <v>0</v>
      </c>
      <c r="CE10" s="866">
        <f>(CE28*Обложка!$D$22+Меню!CE43*Обложка!$D$23+Меню!CE56*Обложка!$D$24+Меню!CE$61*Обложка!$D$25)/1000</f>
        <v>8.5399999999999991</v>
      </c>
      <c r="CF10" s="866">
        <f>(CF28*Обложка!$D$22+Меню!CF43*Обложка!$D$23+Меню!CF56*Обложка!$D$24+Меню!CF$61*Обложка!$D$25)/1000</f>
        <v>0.122</v>
      </c>
      <c r="CG10" s="866">
        <f>(CG28*Обложка!$D$22+Меню!CG43*Обложка!$D$23+Меню!CG56*Обложка!$D$24+Меню!CG$61*Обложка!$D$25)/1000</f>
        <v>0.183</v>
      </c>
      <c r="CH10" s="866">
        <f>(CH28*Обложка!$D$22+Меню!CH43*Обложка!$D$23+Меню!CH56*Обложка!$D$24+Меню!CH$61*Обложка!$D$25)/1000</f>
        <v>24.4</v>
      </c>
      <c r="CI10" s="866">
        <f>(CI28*Обложка!$D$22+Меню!CI43*Обложка!$D$23+Меню!CI56*Обложка!$D$24+Меню!CI$61*Обложка!$D$25)/1000</f>
        <v>0</v>
      </c>
      <c r="CJ10" s="866">
        <f>(CJ28*Обложка!$D$22+Меню!CJ43*Обложка!$D$23+Меню!CJ56*Обложка!$D$24+Меню!CJ$61*Обложка!$D$25)/1000</f>
        <v>0.97599999999999998</v>
      </c>
      <c r="CK10" s="866">
        <f>(CK28*Обложка!$D$22+Меню!CK43*Обложка!$D$23+Меню!CK56*Обложка!$D$24+Меню!CK$61*Обложка!$D$25)/1000</f>
        <v>0.97599999999999998</v>
      </c>
      <c r="CL10" s="866">
        <f>(CL28*Обложка!$D$22+Меню!CL43*Обложка!$D$23+Меню!CL56*Обложка!$D$24+Меню!CL$61*Обложка!$D$25)/1000</f>
        <v>0.48799999999999999</v>
      </c>
      <c r="CM10" s="866">
        <f>(CM28*Обложка!$D$22+Меню!CM43*Обложка!$D$23+Меню!CM56*Обложка!$D$24+Меню!CM$61*Обложка!$D$25)/1000</f>
        <v>0</v>
      </c>
      <c r="CN10" s="866">
        <f>(CN28*Обложка!$D$22+Меню!CN43*Обложка!$D$23+Меню!CN56*Обложка!$D$24+Меню!CN$61*Обложка!$D$25)/1000</f>
        <v>0</v>
      </c>
      <c r="CO10" s="866">
        <f>(CO28*Обложка!$D$22+Меню!CO43*Обложка!$D$23+Меню!CO56*Обложка!$D$24+Меню!CO$61*Обложка!$D$25)/1000</f>
        <v>0</v>
      </c>
      <c r="CP10" s="866">
        <f>(CP28*Обложка!$D$22+Меню!CP43*Обложка!$D$23+Меню!CP56*Обложка!$D$24+Меню!CP$61*Обложка!$D$25)/1000</f>
        <v>0</v>
      </c>
      <c r="CQ10" s="866">
        <f>(CQ28*Обложка!$D$22+Меню!CQ43*Обложка!$D$23+Меню!CQ56*Обложка!$D$24+Меню!CQ$61*Обложка!$D$25)/1000</f>
        <v>2.44</v>
      </c>
      <c r="CR10" s="866">
        <f>(CR28*Обложка!$D$22+Меню!CR43*Обложка!$D$23+Меню!CR56*Обложка!$D$24+Меню!CR$61*Обложка!$D$25)/1000</f>
        <v>0</v>
      </c>
      <c r="CS10" s="866">
        <f>(CS28*Обложка!$D$22+Меню!CS43*Обложка!$D$23+Меню!CS56*Обложка!$D$24+Меню!CS$61*Обложка!$D$25)/1000</f>
        <v>0</v>
      </c>
      <c r="CT10" s="866">
        <f>(CT28*Обложка!$D$22+Меню!CT43*Обложка!$D$23+Меню!CT56*Обложка!$D$24+Меню!CT$61*Обложка!$D$25)/1000</f>
        <v>7.32</v>
      </c>
      <c r="CU10" s="866">
        <f>(CU28*Обложка!$D$22+Меню!CU43*Обложка!$D$23+Меню!CU56*Обложка!$D$24+Меню!CU$61*Обложка!$D$25)/1000</f>
        <v>0</v>
      </c>
      <c r="CV10" s="866">
        <f>(CV28*Обложка!$D$22+Меню!CV43*Обложка!$D$23+Меню!CV56*Обложка!$D$24+Меню!CV$61*Обложка!$D$25)/1000</f>
        <v>0</v>
      </c>
      <c r="CW10" s="866">
        <f>(CW28*Обложка!$D$22+Меню!CW43*Обложка!$D$23+Меню!CW56*Обложка!$D$24+Меню!CW$61*Обложка!$D$25)/1000</f>
        <v>0</v>
      </c>
      <c r="CX10" s="866">
        <f>(CX28*Обложка!$D$22+Меню!CX43*Обложка!$D$23+Меню!CX56*Обложка!$D$24+Меню!CX$61*Обложка!$D$25)/1000</f>
        <v>0</v>
      </c>
      <c r="CY10" s="866">
        <f>(CY28*Обложка!$D$22+Меню!CY43*Обложка!$D$23+Меню!CY56*Обложка!$D$24+Меню!CY$61*Обложка!$D$25)/1000</f>
        <v>0</v>
      </c>
      <c r="CZ10" s="866">
        <f>(CZ28*Обложка!$D$22+Меню!CZ43*Обложка!$D$23+Меню!CZ56*Обложка!$D$24+Меню!CZ$61*Обложка!$D$25)/1000</f>
        <v>0</v>
      </c>
      <c r="DA10" s="866">
        <f>(DA28*Обложка!$D$22+Меню!DA43*Обложка!$D$23+Меню!DA56*Обложка!$D$24+Меню!DA$61*Обложка!$D$25)/1000</f>
        <v>0</v>
      </c>
      <c r="DB10" s="866">
        <f>(DB28*Обложка!$D$22+Меню!DB43*Обложка!$D$23+Меню!DB56*Обложка!$D$24+Меню!DB$61*Обложка!$D$25)/1000</f>
        <v>0</v>
      </c>
      <c r="DC10" s="866">
        <f>(DC28*Обложка!$D$22+Меню!DC43*Обложка!$D$23+Меню!DC56*Обложка!$D$24+Меню!DC$61*Обложка!$D$25)/1000</f>
        <v>0</v>
      </c>
      <c r="DD10" s="866">
        <f>(DD28*Обложка!$D$22+Меню!DD43*Обложка!$D$23+Меню!DD56*Обложка!$D$24+Меню!DD$61*Обложка!$D$25)/1000</f>
        <v>0</v>
      </c>
      <c r="DE10" s="866">
        <f>(DE28*Обложка!$D$22+Меню!DE43*Обложка!$D$23+Меню!DE56*Обложка!$D$24+Меню!DE$61*Обложка!$D$25)/1000</f>
        <v>0</v>
      </c>
      <c r="DF10" s="866">
        <f>(DF28*Обложка!$D$22+Меню!DF43*Обложка!$D$23+Меню!DF56*Обложка!$D$24+Меню!DF$61*Обложка!$D$25)/1000</f>
        <v>0</v>
      </c>
      <c r="DG10" s="866">
        <f>(DG28*Обложка!$D$22+Меню!DG43*Обложка!$D$23+Меню!DG56*Обложка!$D$24+Меню!DG$61*Обложка!$D$25)/1000</f>
        <v>0</v>
      </c>
      <c r="DH10" s="866">
        <f>(DH28*Обложка!$D$22+Меню!DH43*Обложка!$D$23+Меню!DH56*Обложка!$D$24+Меню!DH$61*Обложка!$D$25)/1000</f>
        <v>0</v>
      </c>
      <c r="DI10" s="866">
        <f>(DI28*Обложка!$D$22+Меню!DI43*Обложка!$D$23+Меню!DI56*Обложка!$D$24+Меню!DI$61*Обложка!$D$25)/1000</f>
        <v>0</v>
      </c>
      <c r="DJ10" s="866">
        <f>(DJ28*Обложка!$D$22+Меню!DJ43*Обложка!$D$23+Меню!DJ56*Обложка!$D$24+Меню!DJ$61*Обложка!$D$25)/1000</f>
        <v>0</v>
      </c>
      <c r="DK10" s="868">
        <f>(DK28*Обложка!$D$22+Меню!DK43*Обложка!$D$23+Меню!DK56*Обложка!$D$24+Меню!DK$61*Обложка!$D$25)/1000</f>
        <v>0</v>
      </c>
      <c r="DL10" s="869"/>
      <c r="DM10" s="870"/>
      <c r="DN10" s="870"/>
      <c r="DO10" s="871"/>
    </row>
    <row r="11" spans="2:123" s="860" customFormat="1" ht="19.5" hidden="1" customHeight="1" outlineLevel="1" x14ac:dyDescent="0.25">
      <c r="B11" s="861"/>
      <c r="C11" s="862"/>
      <c r="D11" s="861"/>
      <c r="E11" s="863"/>
      <c r="F11" s="862"/>
      <c r="G11" s="862"/>
      <c r="H11" s="862"/>
      <c r="I11" s="864" t="s">
        <v>281</v>
      </c>
      <c r="J11" s="865">
        <f>J73*Обложка!$F$22+Меню!J88*Обложка!$F$23+Меню!J101*Обложка!$F$24+Меню!J$106*Обложка!$F$25</f>
        <v>11050</v>
      </c>
      <c r="K11" s="866">
        <f>(K73*Обложка!$F$22+Меню!K88*Обложка!$F$23+Меню!K101*Обложка!$F$24+Меню!K$106*Обложка!$F$25)/1000</f>
        <v>1.95</v>
      </c>
      <c r="L11" s="866">
        <f>(L73*Обложка!$F$22+Меню!L88*Обложка!$F$23+Меню!L101*Обложка!$F$24+Меню!L$106*Обложка!$F$25)/1000</f>
        <v>0</v>
      </c>
      <c r="M11" s="866">
        <f>(M73*Обложка!$F$22+Меню!M88*Обложка!$F$23+Меню!M101*Обложка!$F$24+Меню!M$106*Обложка!$F$25)/1000</f>
        <v>0</v>
      </c>
      <c r="N11" s="866">
        <f>(N73*Обложка!$F$22+Меню!N88*Обложка!$F$23+Меню!N101*Обложка!$F$24+Меню!N$106*Обложка!$F$25)/1000</f>
        <v>0</v>
      </c>
      <c r="O11" s="866">
        <f>(O73*Обложка!$F$22+Меню!O88*Обложка!$F$23+Меню!O101*Обложка!$F$24+Меню!O$106*Обложка!$F$25)/1000</f>
        <v>10.496</v>
      </c>
      <c r="P11" s="866">
        <f>(P73*Обложка!$F$22+Меню!P88*Обложка!$F$23+Меню!P101*Обложка!$F$24+Меню!P$106*Обложка!$F$25)/1000</f>
        <v>9.15</v>
      </c>
      <c r="Q11" s="866">
        <f>(Q73*Обложка!$F$22+Меню!Q88*Обложка!$F$23+Меню!Q101*Обложка!$F$24+Меню!Q$106*Обложка!$F$25)/1000</f>
        <v>0</v>
      </c>
      <c r="R11" s="866">
        <f>(R73*Обложка!$F$22+Меню!R88*Обложка!$F$23+Меню!R101*Обложка!$F$24+Меню!R$106*Обложка!$F$25)/1000</f>
        <v>0</v>
      </c>
      <c r="S11" s="866">
        <f>(S73*Обложка!$F$22+Меню!S88*Обложка!$F$23+Меню!S101*Обложка!$F$24+Меню!S$106*Обложка!$F$25)/1000</f>
        <v>0</v>
      </c>
      <c r="T11" s="866">
        <f>(T73*Обложка!$F$22+Меню!T88*Обложка!$F$23+Меню!T101*Обложка!$F$24+Меню!T$106*Обложка!$F$25)/1000</f>
        <v>0</v>
      </c>
      <c r="U11" s="866">
        <f>(U73*Обложка!$F$22+Меню!U88*Обложка!$F$23+Меню!U101*Обложка!$F$24+Меню!U$106*Обложка!$F$25)/1000</f>
        <v>2.56</v>
      </c>
      <c r="V11" s="866">
        <f>(V73*Обложка!$F$22+Меню!V88*Обложка!$F$23+Меню!V101*Обложка!$F$24+Меню!V$106*Обложка!$F$25)/1000</f>
        <v>0</v>
      </c>
      <c r="W11" s="866">
        <f>(W73*Обложка!$F$22+Меню!W88*Обложка!$F$23+Меню!W101*Обложка!$F$24+Меню!W$106*Обложка!$F$25)/1000</f>
        <v>50.078000000000003</v>
      </c>
      <c r="X11" s="866">
        <f>(X73*Обложка!$F$22+Меню!X88*Обложка!$F$23+Меню!X101*Обложка!$F$24+Меню!X$106*Обложка!$F$25)/1000</f>
        <v>3.8620000000000001</v>
      </c>
      <c r="Y11" s="866">
        <f>(Y73*Обложка!$F$22+Меню!Y88*Обложка!$F$23+Меню!Y101*Обложка!$F$24+Меню!Y$106*Обложка!$F$25)/1000</f>
        <v>5.7320000000000002</v>
      </c>
      <c r="Z11" s="866">
        <f>(Z73*Обложка!$F$22+Меню!Z88*Обложка!$F$23+Меню!Z101*Обложка!$F$24+Меню!Z$106*Обложка!$F$25)/1000</f>
        <v>0</v>
      </c>
      <c r="AA11" s="866">
        <f>(AA73*Обложка!$F$22+Меню!AA88*Обложка!$F$23+Меню!AA101*Обложка!$F$24+Меню!AA$106*Обложка!$F$25)/1000</f>
        <v>8.5399999999999991</v>
      </c>
      <c r="AB11" s="866">
        <f>(AB73*Обложка!$F$22+Меню!AB88*Обложка!$F$23+Меню!AB101*Обложка!$F$24+Меню!AB$106*Обложка!$F$25)/1000</f>
        <v>0</v>
      </c>
      <c r="AC11" s="866">
        <f>(AC73*Обложка!$F$22+Меню!AC88*Обложка!$F$23+Меню!AC101*Обложка!$F$24+Меню!AC$106*Обложка!$F$25)/1000</f>
        <v>0</v>
      </c>
      <c r="AD11" s="866">
        <f>(AD73*Обложка!$F$22+Меню!AD88*Обложка!$F$23+Меню!AD101*Обложка!$F$24+Меню!AD$106*Обложка!$F$25)/1000</f>
        <v>0</v>
      </c>
      <c r="AE11" s="866">
        <f>(AE73*Обложка!$F$22+Меню!AE88*Обложка!$F$23+Меню!AE101*Обложка!$F$24+Меню!AE$106*Обложка!$F$25)/1000</f>
        <v>0</v>
      </c>
      <c r="AF11" s="866">
        <f>(AF73*Обложка!$F$22+Меню!AF88*Обложка!$F$23+Меню!AF101*Обложка!$F$24+Меню!AF$106*Обложка!$F$25)/1000</f>
        <v>0</v>
      </c>
      <c r="AG11" s="866">
        <f>(AG73*Обложка!$F$22+Меню!AG88*Обложка!$F$23+Меню!AG101*Обложка!$F$24+Меню!AG$106*Обложка!$F$25)/1000</f>
        <v>0</v>
      </c>
      <c r="AH11" s="866">
        <f>(AH73*Обложка!$F$22+Меню!AH88*Обложка!$F$23+Меню!AH101*Обложка!$F$24+Меню!AH$106*Обложка!$F$25)/1000</f>
        <v>0.24399999999999999</v>
      </c>
      <c r="AI11" s="866">
        <f>(AI73*Обложка!$F$22+Меню!AI88*Обложка!$F$23+Меню!AI101*Обложка!$F$24+Меню!AI$106*Обложка!$F$25)/1000</f>
        <v>0</v>
      </c>
      <c r="AJ11" s="866">
        <f>(AJ73*Обложка!$F$22+Меню!AJ88*Обложка!$F$23+Меню!AJ101*Обложка!$F$24+Меню!AJ$106*Обложка!$F$25)/1000</f>
        <v>0</v>
      </c>
      <c r="AK11" s="866">
        <f>(AK73*Обложка!$F$22+Меню!AK88*Обложка!$F$23+Меню!AK101*Обложка!$F$24+Меню!AK$106*Обложка!$F$25)/1000</f>
        <v>0</v>
      </c>
      <c r="AL11" s="866">
        <f>(AL73*Обложка!$F$22+Меню!AL88*Обложка!$F$23+Меню!AL101*Обложка!$F$24+Меню!AL$106*Обложка!$F$25)/1000</f>
        <v>0</v>
      </c>
      <c r="AM11" s="866">
        <f>(AM73*Обложка!$F$22+Меню!AM88*Обложка!$F$23+Меню!AM101*Обложка!$F$24+Меню!AM$106*Обложка!$F$25)/1000</f>
        <v>0</v>
      </c>
      <c r="AN11" s="866">
        <f>(AN73*Обложка!$F$22+Меню!AN88*Обложка!$F$23+Меню!AN101*Обложка!$F$24+Меню!AN$106*Обложка!$F$25)/1000</f>
        <v>0</v>
      </c>
      <c r="AO11" s="866">
        <f>(AO73*Обложка!$F$22+Меню!AO88*Обложка!$F$23+Меню!AO101*Обложка!$F$24+Меню!AO$106*Обложка!$F$25)/1000</f>
        <v>0</v>
      </c>
      <c r="AP11" s="866">
        <f>(AP73*Обложка!$F$22+Меню!AP88*Обложка!$F$23+Меню!AP101*Обложка!$F$24+Меню!AP$106*Обложка!$F$25)/1000</f>
        <v>7.28</v>
      </c>
      <c r="AQ11" s="866">
        <f>(AQ73*Обложка!$F$22+Меню!AQ88*Обложка!$F$23+Меню!AQ101*Обложка!$F$24+Меню!AQ$106*Обложка!$F$25)/1000</f>
        <v>0</v>
      </c>
      <c r="AR11" s="866">
        <f>(AR73*Обложка!$F$22+Меню!AR88*Обложка!$F$23+Меню!AR101*Обложка!$F$24+Меню!AR$106*Обложка!$F$25)/1000</f>
        <v>25.5</v>
      </c>
      <c r="AS11" s="866">
        <f>(AS73*Обложка!$F$22+Меню!AS88*Обложка!$F$23+Меню!AS101*Обложка!$F$24+Меню!AS$106*Обложка!$F$25)/1000</f>
        <v>25</v>
      </c>
      <c r="AT11" s="866">
        <f>(AT73*Обложка!$F$22+Меню!AT88*Обложка!$F$23+Меню!AT101*Обложка!$F$24+Меню!AT$106*Обложка!$F$25)/1000</f>
        <v>0</v>
      </c>
      <c r="AU11" s="866">
        <f>(AU73*Обложка!$F$22+Меню!AU88*Обложка!$F$23+Меню!AU101*Обложка!$F$24+Меню!AU$106*Обложка!$F$25)/1000</f>
        <v>25.6</v>
      </c>
      <c r="AV11" s="866">
        <f>(AV73*Обложка!$F$22+Меню!AV88*Обложка!$F$23+Меню!AV101*Обложка!$F$24+Меню!AV$106*Обложка!$F$25)/1000</f>
        <v>0</v>
      </c>
      <c r="AW11" s="866">
        <f>(AW73*Обложка!$F$22+Меню!AW88*Обложка!$F$23+Меню!AW101*Обложка!$F$24+Меню!AW$106*Обложка!$F$25)/1000</f>
        <v>0</v>
      </c>
      <c r="AX11" s="866">
        <f>(AX73*Обложка!$F$22+Меню!AX88*Обложка!$F$23+Меню!AX101*Обложка!$F$24+Меню!AX$106*Обложка!$F$25)/1000</f>
        <v>0</v>
      </c>
      <c r="AY11" s="866">
        <f>(AY73*Обложка!$F$22+Меню!AY88*Обложка!$F$23+Меню!AY101*Обложка!$F$24+Меню!AY$106*Обложка!$F$25)/1000</f>
        <v>0</v>
      </c>
      <c r="AZ11" s="866">
        <f>(AZ73*Обложка!$F$22+Меню!AZ88*Обложка!$F$23+Меню!AZ101*Обложка!$F$24+Меню!AZ$106*Обложка!$F$25)/1000</f>
        <v>0</v>
      </c>
      <c r="BA11" s="866">
        <f>(BA73*Обложка!$F$22+Меню!BA88*Обложка!$F$23+Меню!BA101*Обложка!$F$24+Меню!BA$106*Обложка!$F$25)/1000</f>
        <v>2.2400000000000002</v>
      </c>
      <c r="BB11" s="867">
        <f>(BB73*Обложка!$F$22+Меню!BB88*Обложка!$F$23+Меню!BB101*Обложка!$F$24+Меню!BB$106*Обложка!$F$25)/1000</f>
        <v>0.128</v>
      </c>
      <c r="BC11" s="866">
        <f>(BC73*Обложка!$F$22+Меню!BC88*Обложка!$F$23+Меню!BC101*Обложка!$F$24+Меню!BC$106*Обложка!$F$25)/1000</f>
        <v>0</v>
      </c>
      <c r="BD11" s="866">
        <f>(BD73*Обложка!$F$22+Меню!BD88*Обложка!$F$23+Меню!BD101*Обложка!$F$24+Меню!BD$106*Обложка!$F$25)/1000</f>
        <v>0</v>
      </c>
      <c r="BE11" s="866">
        <f>(BE73*Обложка!$F$22+Меню!BE88*Обложка!$F$23+Меню!BE101*Обложка!$F$24+Меню!BE$106*Обложка!$F$25)/1000</f>
        <v>1.83</v>
      </c>
      <c r="BF11" s="866">
        <f>(BF73*Обложка!$F$22+Меню!BF88*Обложка!$F$23+Меню!BF101*Обложка!$F$24+Меню!BF$106*Обложка!$F$25)/1000</f>
        <v>1.95</v>
      </c>
      <c r="BG11" s="866">
        <f>(BG73*Обложка!$F$22+Меню!BG88*Обложка!$F$23+Меню!BG101*Обложка!$F$24+Меню!BG$106*Обложка!$F$25)/1000</f>
        <v>3.8919999999999999</v>
      </c>
      <c r="BH11" s="866">
        <f>(BH73*Обложка!$F$22+Меню!BH88*Обложка!$F$23+Меню!BH101*Обложка!$F$24+Меню!BH$106*Обложка!$F$25)/1000</f>
        <v>0</v>
      </c>
      <c r="BI11" s="866">
        <f>(BI73*Обложка!$F$22+Меню!BI88*Обложка!$F$23+Меню!BI101*Обложка!$F$24+Меню!BI$106*Обложка!$F$25)/1000</f>
        <v>0</v>
      </c>
      <c r="BJ11" s="866">
        <f>(BJ73*Обложка!$F$22+Меню!BJ88*Обложка!$F$23+Меню!BJ101*Обложка!$F$24+Меню!BJ$106*Обложка!$F$25)/1000</f>
        <v>0</v>
      </c>
      <c r="BK11" s="866">
        <f>(BK73*Обложка!$F$22+Меню!BK88*Обложка!$F$23+Меню!BK101*Обложка!$F$24+Меню!BK$106*Обложка!$F$25)/1000</f>
        <v>0</v>
      </c>
      <c r="BL11" s="866">
        <f>(BL73*Обложка!$F$22+Меню!BL88*Обложка!$F$23+Меню!BL101*Обложка!$F$24+Меню!BL$106*Обложка!$F$25)/1000</f>
        <v>5.12</v>
      </c>
      <c r="BM11" s="866">
        <f>(BM73*Обложка!$F$22+Меню!BM88*Обложка!$F$23+Меню!BM101*Обложка!$F$24+Меню!BM$106*Обложка!$F$25)/1000</f>
        <v>0</v>
      </c>
      <c r="BN11" s="866">
        <f>(BN73*Обложка!$F$22+Меню!BN88*Обложка!$F$23+Меню!BN101*Обложка!$F$24+Меню!BN$106*Обложка!$F$25)/1000</f>
        <v>18.3</v>
      </c>
      <c r="BO11" s="866">
        <f>(BO73*Обложка!$F$22+Меню!BO88*Обложка!$F$23+Меню!BO101*Обложка!$F$24+Меню!BO$106*Обложка!$F$25)/1000</f>
        <v>15.6</v>
      </c>
      <c r="BP11" s="866">
        <f>(BP73*Обложка!$F$22+Меню!BP88*Обложка!$F$23+Меню!BP101*Обложка!$F$24+Меню!BP$106*Обложка!$F$25)/1000</f>
        <v>12.8</v>
      </c>
      <c r="BQ11" s="866">
        <f>(BQ73*Обложка!$F$22+Меню!BQ88*Обложка!$F$23+Меню!BQ101*Обложка!$F$24+Меню!BQ$106*Обложка!$F$25)/1000</f>
        <v>0</v>
      </c>
      <c r="BR11" s="866">
        <f>(BR73*Обложка!$F$22+Меню!BR88*Обложка!$F$23+Меню!BR101*Обложка!$F$24+Меню!BR$106*Обложка!$F$25)/1000</f>
        <v>0</v>
      </c>
      <c r="BS11" s="866">
        <f>(BS73*Обложка!$F$22+Меню!BS88*Обложка!$F$23+Меню!BS101*Обложка!$F$24+Меню!BS$106*Обложка!$F$25)/1000</f>
        <v>0</v>
      </c>
      <c r="BT11" s="866">
        <f>(BT73*Обложка!$F$22+Меню!BT88*Обложка!$F$23+Меню!BT101*Обложка!$F$24+Меню!BT$106*Обложка!$F$25)/1000</f>
        <v>0</v>
      </c>
      <c r="BU11" s="866">
        <f>(BU73*Обложка!$F$22+Меню!BU88*Обложка!$F$23+Меню!BU101*Обложка!$F$24+Меню!BU$106*Обложка!$F$25)/1000</f>
        <v>0</v>
      </c>
      <c r="BV11" s="866">
        <f>(BV73*Обложка!$F$22+Меню!BV88*Обложка!$F$23+Меню!BV101*Обложка!$F$24+Меню!BV$106*Обложка!$F$25)/1000</f>
        <v>0</v>
      </c>
      <c r="BW11" s="866">
        <f>(BW73*Обложка!$F$22+Меню!BW88*Обложка!$F$23+Меню!BW101*Обложка!$F$24+Меню!BW$106*Обложка!$F$25)/1000</f>
        <v>6.0999999999999999E-2</v>
      </c>
      <c r="BX11" s="866">
        <f>(BX73*Обложка!$F$22+Меню!BX88*Обложка!$F$23+Меню!BX101*Обложка!$F$24+Меню!BX$106*Обложка!$F$25)/1000</f>
        <v>6.0999999999999999E-2</v>
      </c>
      <c r="BY11" s="866">
        <f>(BY73*Обложка!$F$22+Меню!BY88*Обложка!$F$23+Меню!BY101*Обложка!$F$24+Меню!BY$106*Обложка!$F$25)/1000</f>
        <v>0</v>
      </c>
      <c r="BZ11" s="866">
        <f>(BZ73*Обложка!$F$22+Меню!BZ88*Обложка!$F$23+Меню!BZ101*Обложка!$F$24+Меню!BZ$106*Обложка!$F$25)/1000</f>
        <v>0</v>
      </c>
      <c r="CA11" s="866">
        <f>(CA73*Обложка!$F$22+Меню!CA88*Обложка!$F$23+Меню!CA101*Обложка!$F$24+Меню!CA$106*Обложка!$F$25)/1000</f>
        <v>0</v>
      </c>
      <c r="CB11" s="866">
        <f>(CB73*Обложка!$F$22+Меню!CB88*Обложка!$F$23+Меню!CB101*Обложка!$F$24+Меню!CB$106*Обложка!$F$25)/1000</f>
        <v>0</v>
      </c>
      <c r="CC11" s="866">
        <f>(CC73*Обложка!$F$22+Меню!CC88*Обложка!$F$23+Меню!CC101*Обложка!$F$24+Меню!CC$106*Обложка!$F$25)/1000</f>
        <v>0</v>
      </c>
      <c r="CD11" s="866">
        <f>(CD73*Обложка!$F$22+Меню!CD88*Обложка!$F$23+Меню!CD101*Обложка!$F$24+Меню!CD$106*Обложка!$F$25)/1000</f>
        <v>0</v>
      </c>
      <c r="CE11" s="866">
        <f>(CE73*Обложка!$F$22+Меню!CE88*Обложка!$F$23+Меню!CE101*Обложка!$F$24+Меню!CE$106*Обложка!$F$25)/1000</f>
        <v>5.64</v>
      </c>
      <c r="CF11" s="866">
        <f>(CF73*Обложка!$F$22+Меню!CF88*Обложка!$F$23+Меню!CF101*Обложка!$F$24+Меню!CF$106*Обложка!$F$25)/1000</f>
        <v>0</v>
      </c>
      <c r="CG11" s="866">
        <f>(CG73*Обложка!$F$22+Меню!CG88*Обложка!$F$23+Меню!CG101*Обложка!$F$24+Меню!CG$106*Обложка!$F$25)/1000</f>
        <v>0.192</v>
      </c>
      <c r="CH11" s="866">
        <f>(CH73*Обложка!$F$22+Меню!CH88*Обложка!$F$23+Меню!CH101*Обложка!$F$24+Меню!CH$106*Обложка!$F$25)/1000</f>
        <v>26</v>
      </c>
      <c r="CI11" s="866">
        <f>(CI73*Обложка!$F$22+Меню!CI88*Обложка!$F$23+Меню!CI101*Обложка!$F$24+Меню!CI$106*Обложка!$F$25)/1000</f>
        <v>0</v>
      </c>
      <c r="CJ11" s="866">
        <f>(CJ73*Обложка!$F$22+Меню!CJ88*Обложка!$F$23+Меню!CJ101*Обложка!$F$24+Меню!CJ$106*Обложка!$F$25)/1000</f>
        <v>0.97599999999999998</v>
      </c>
      <c r="CK11" s="866">
        <f>(CK73*Обложка!$F$22+Меню!CK88*Обложка!$F$23+Меню!CK101*Обложка!$F$24+Меню!CK$106*Обложка!$F$25)/1000</f>
        <v>0.97599999999999998</v>
      </c>
      <c r="CL11" s="866">
        <f>(CL73*Обложка!$F$22+Меню!CL88*Обложка!$F$23+Меню!CL101*Обложка!$F$24+Меню!CL$106*Обложка!$F$25)/1000</f>
        <v>0.48799999999999999</v>
      </c>
      <c r="CM11" s="866">
        <f>(CM73*Обложка!$F$22+Меню!CM88*Обложка!$F$23+Меню!CM101*Обложка!$F$24+Меню!CM$106*Обложка!$F$25)/1000</f>
        <v>0</v>
      </c>
      <c r="CN11" s="866">
        <f>(CN73*Обложка!$F$22+Меню!CN88*Обложка!$F$23+Меню!CN101*Обложка!$F$24+Меню!CN$106*Обложка!$F$25)/1000</f>
        <v>0</v>
      </c>
      <c r="CO11" s="866">
        <f>(CO73*Обложка!$F$22+Меню!CO88*Обложка!$F$23+Меню!CO101*Обложка!$F$24+Меню!CO$106*Обложка!$F$25)/1000</f>
        <v>0</v>
      </c>
      <c r="CP11" s="866">
        <f>(CP73*Обложка!$F$22+Меню!CP88*Обложка!$F$23+Меню!CP101*Обложка!$F$24+Меню!CP$106*Обложка!$F$25)/1000</f>
        <v>0</v>
      </c>
      <c r="CQ11" s="866">
        <f>(CQ73*Обложка!$F$22+Меню!CQ88*Обложка!$F$23+Меню!CQ101*Обложка!$F$24+Меню!CQ$106*Обложка!$F$25)/1000</f>
        <v>2.44</v>
      </c>
      <c r="CR11" s="866">
        <f>(CR73*Обложка!$F$22+Меню!CR88*Обложка!$F$23+Меню!CR101*Обложка!$F$24+Меню!CR$106*Обложка!$F$25)/1000</f>
        <v>0</v>
      </c>
      <c r="CS11" s="866">
        <f>(CS73*Обложка!$F$22+Меню!CS88*Обложка!$F$23+Меню!CS101*Обложка!$F$24+Меню!CS$106*Обложка!$F$25)/1000</f>
        <v>0</v>
      </c>
      <c r="CT11" s="866">
        <f>(CT73*Обложка!$F$22+Меню!CT88*Обложка!$F$23+Меню!CT101*Обложка!$F$24+Меню!CT$106*Обложка!$F$25)/1000</f>
        <v>0</v>
      </c>
      <c r="CU11" s="866">
        <f>(CU73*Обложка!$F$22+Меню!CU88*Обложка!$F$23+Меню!CU101*Обложка!$F$24+Меню!CU$106*Обложка!$F$25)/1000</f>
        <v>0</v>
      </c>
      <c r="CV11" s="866">
        <f>(CV73*Обложка!$F$22+Меню!CV88*Обложка!$F$23+Меню!CV101*Обложка!$F$24+Меню!CV$106*Обложка!$F$25)/1000</f>
        <v>0</v>
      </c>
      <c r="CW11" s="866">
        <f>(CW73*Обложка!$F$22+Меню!CW88*Обложка!$F$23+Меню!CW101*Обложка!$F$24+Меню!CW$106*Обложка!$F$25)/1000</f>
        <v>0</v>
      </c>
      <c r="CX11" s="866">
        <f>(CX73*Обложка!$F$22+Меню!CX88*Обложка!$F$23+Меню!CX101*Обложка!$F$24+Меню!CX$106*Обложка!$F$25)/1000</f>
        <v>0</v>
      </c>
      <c r="CY11" s="866">
        <f>(CY73*Обложка!$F$22+Меню!CY88*Обложка!$F$23+Меню!CY101*Обложка!$F$24+Меню!CY$106*Обложка!$F$25)/1000</f>
        <v>0</v>
      </c>
      <c r="CZ11" s="866">
        <f>(CZ73*Обложка!$F$22+Меню!CZ88*Обложка!$F$23+Меню!CZ101*Обложка!$F$24+Меню!CZ$106*Обложка!$F$25)/1000</f>
        <v>0</v>
      </c>
      <c r="DA11" s="866">
        <f>(DA73*Обложка!$F$22+Меню!DA88*Обложка!$F$23+Меню!DA101*Обложка!$F$24+Меню!DA$106*Обложка!$F$25)/1000</f>
        <v>0</v>
      </c>
      <c r="DB11" s="866">
        <f>(DB73*Обложка!$F$22+Меню!DB88*Обложка!$F$23+Меню!DB101*Обложка!$F$24+Меню!DB$106*Обложка!$F$25)/1000</f>
        <v>0</v>
      </c>
      <c r="DC11" s="866">
        <f>(DC73*Обложка!$F$22+Меню!DC88*Обложка!$F$23+Меню!DC101*Обложка!$F$24+Меню!DC$106*Обложка!$F$25)/1000</f>
        <v>0</v>
      </c>
      <c r="DD11" s="866">
        <f>(DD73*Обложка!$F$22+Меню!DD88*Обложка!$F$23+Меню!DD101*Обложка!$F$24+Меню!DD$106*Обложка!$F$25)/1000</f>
        <v>0</v>
      </c>
      <c r="DE11" s="866">
        <f>(DE73*Обложка!$F$22+Меню!DE88*Обложка!$F$23+Меню!DE101*Обложка!$F$24+Меню!DE$106*Обложка!$F$25)/1000</f>
        <v>0</v>
      </c>
      <c r="DF11" s="866">
        <f>(DF73*Обложка!$F$22+Меню!DF88*Обложка!$F$23+Меню!DF101*Обложка!$F$24+Меню!DF$106*Обложка!$F$25)/1000</f>
        <v>0</v>
      </c>
      <c r="DG11" s="866">
        <f>(DG73*Обложка!$F$22+Меню!DG88*Обложка!$F$23+Меню!DG101*Обложка!$F$24+Меню!DG$106*Обложка!$F$25)/1000</f>
        <v>0</v>
      </c>
      <c r="DH11" s="866">
        <f>(DH73*Обложка!$F$22+Меню!DH88*Обложка!$F$23+Меню!DH101*Обложка!$F$24+Меню!DH$106*Обложка!$F$25)/1000</f>
        <v>0</v>
      </c>
      <c r="DI11" s="866">
        <f>(DI73*Обложка!$F$22+Меню!DI88*Обложка!$F$23+Меню!DI101*Обложка!$F$24+Меню!DI$106*Обложка!$F$25)/1000</f>
        <v>0</v>
      </c>
      <c r="DJ11" s="866">
        <f>(DJ73*Обложка!$F$22+Меню!DJ88*Обложка!$F$23+Меню!DJ101*Обложка!$F$24+Меню!DJ$106*Обложка!$F$25)/1000</f>
        <v>0</v>
      </c>
      <c r="DK11" s="868">
        <f>(DK73*Обложка!$F$22+Меню!DK88*Обложка!$F$23+Меню!DK101*Обложка!$F$24+Меню!DK$106*Обложка!$F$25)/1000</f>
        <v>0</v>
      </c>
      <c r="DL11" s="869"/>
      <c r="DM11" s="870"/>
      <c r="DN11" s="870"/>
      <c r="DO11" s="871"/>
    </row>
    <row r="12" spans="2:123" s="860" customFormat="1" ht="19.5" hidden="1" customHeight="1" outlineLevel="1" x14ac:dyDescent="0.25">
      <c r="B12" s="861"/>
      <c r="C12" s="862"/>
      <c r="D12" s="861"/>
      <c r="E12" s="863"/>
      <c r="F12" s="862"/>
      <c r="G12" s="862"/>
      <c r="H12" s="862"/>
      <c r="I12" s="864" t="s">
        <v>282</v>
      </c>
      <c r="J12" s="865">
        <f>J118*Обложка!$H$22+Меню!J133*Обложка!$H$23+Меню!J146*Обложка!$H$24+Меню!J$151*Обложка!$H$25</f>
        <v>0</v>
      </c>
      <c r="K12" s="866">
        <f>(K118*Обложка!$H$22+Меню!K133*Обложка!$H$23+Меню!K146*Обложка!$H$24+Меню!K$151*Обложка!$H$25)/1000</f>
        <v>0</v>
      </c>
      <c r="L12" s="866">
        <f>(L118*Обложка!$H$22+Меню!L133*Обложка!$H$23+Меню!L146*Обложка!$H$24+Меню!L$151*Обложка!$H$25)/1000</f>
        <v>0</v>
      </c>
      <c r="M12" s="866">
        <f>(M118*Обложка!$H$22+Меню!M133*Обложка!$H$23+Меню!M146*Обложка!$H$24+Меню!M$151*Обложка!$H$25)/1000</f>
        <v>0</v>
      </c>
      <c r="N12" s="866">
        <f>(N118*Обложка!$H$22+Меню!N133*Обложка!$H$23+Меню!N146*Обложка!$H$24+Меню!N$151*Обложка!$H$25)/1000</f>
        <v>0</v>
      </c>
      <c r="O12" s="866">
        <f>(O118*Обложка!$H$22+Меню!O133*Обложка!$H$23+Меню!O146*Обложка!$H$24+Меню!O$151*Обложка!$H$25)/1000</f>
        <v>0</v>
      </c>
      <c r="P12" s="866">
        <f>(P118*Обложка!$H$22+Меню!P133*Обложка!$H$23+Меню!P146*Обложка!$H$24+Меню!P$151*Обложка!$H$25)/1000</f>
        <v>9.1999999999999993</v>
      </c>
      <c r="Q12" s="866">
        <f>(Q118*Обложка!$H$22+Меню!Q133*Обложка!$H$23+Меню!Q146*Обложка!$H$24+Меню!Q$151*Обложка!$H$25)/1000</f>
        <v>8.625</v>
      </c>
      <c r="R12" s="866">
        <f>(R118*Обложка!$H$22+Меню!R133*Обложка!$H$23+Меню!R146*Обложка!$H$24+Меню!R$151*Обложка!$H$25)/1000</f>
        <v>0</v>
      </c>
      <c r="S12" s="866">
        <f>(S118*Обложка!$H$22+Меню!S133*Обложка!$H$23+Меню!S146*Обложка!$H$24+Меню!S$151*Обложка!$H$25)/1000</f>
        <v>0</v>
      </c>
      <c r="T12" s="866">
        <f>(T118*Обложка!$H$22+Меню!T133*Обложка!$H$23+Меню!T146*Обложка!$H$24+Меню!T$151*Обложка!$H$25)/1000</f>
        <v>8.8550000000000004</v>
      </c>
      <c r="U12" s="866">
        <f>(U118*Обложка!$H$22+Меню!U133*Обложка!$H$23+Меню!U146*Обложка!$H$24+Меню!U$151*Обложка!$H$25)/1000</f>
        <v>2.2999999999999998</v>
      </c>
      <c r="V12" s="866">
        <f>(V118*Обложка!$H$22+Меню!V133*Обложка!$H$23+Меню!V146*Обложка!$H$24+Меню!V$151*Обложка!$H$25)/1000</f>
        <v>5.6349999999999998</v>
      </c>
      <c r="W12" s="866">
        <f>(W118*Обложка!$H$22+Меню!W133*Обложка!$H$23+Меню!W146*Обложка!$H$24+Меню!W$151*Обложка!$H$25)/1000</f>
        <v>36.225000000000001</v>
      </c>
      <c r="X12" s="866">
        <f>(X118*Обложка!$H$22+Меню!X133*Обложка!$H$23+Меню!X146*Обложка!$H$24+Меню!X$151*Обложка!$H$25)/1000</f>
        <v>2.2999999999999998</v>
      </c>
      <c r="Y12" s="866">
        <f>(Y118*Обложка!$H$22+Меню!Y133*Обложка!$H$23+Меню!Y146*Обложка!$H$24+Меню!Y$151*Обложка!$H$25)/1000</f>
        <v>3.45</v>
      </c>
      <c r="Z12" s="866">
        <f>(Z118*Обложка!$H$22+Меню!Z133*Обложка!$H$23+Меню!Z146*Обложка!$H$24+Меню!Z$151*Обложка!$H$25)/1000</f>
        <v>16.675000000000001</v>
      </c>
      <c r="AA12" s="866">
        <f>(AA118*Обложка!$H$22+Меню!AA133*Обложка!$H$23+Меню!AA146*Обложка!$H$24+Меню!AA$151*Обложка!$H$25)/1000</f>
        <v>0</v>
      </c>
      <c r="AB12" s="866">
        <f>(AB118*Обложка!$H$22+Меню!AB133*Обложка!$H$23+Меню!AB146*Обложка!$H$24+Меню!AB$151*Обложка!$H$25)/1000</f>
        <v>0</v>
      </c>
      <c r="AC12" s="866">
        <f>(AC118*Обложка!$H$22+Меню!AC133*Обложка!$H$23+Меню!AC146*Обложка!$H$24+Меню!AC$151*Обложка!$H$25)/1000</f>
        <v>0</v>
      </c>
      <c r="AD12" s="866">
        <f>(AD118*Обложка!$H$22+Меню!AD133*Обложка!$H$23+Меню!AD146*Обложка!$H$24+Меню!AD$151*Обложка!$H$25)/1000</f>
        <v>0</v>
      </c>
      <c r="AE12" s="866">
        <f>(AE118*Обложка!$H$22+Меню!AE133*Обложка!$H$23+Меню!AE146*Обложка!$H$24+Меню!AE$151*Обложка!$H$25)/1000</f>
        <v>8.0500000000000007</v>
      </c>
      <c r="AF12" s="866">
        <f>(AF118*Обложка!$H$22+Меню!AF133*Обложка!$H$23+Меню!AF146*Обложка!$H$24+Меню!AF$151*Обложка!$H$25)/1000</f>
        <v>0</v>
      </c>
      <c r="AG12" s="866">
        <f>(AG118*Обложка!$H$22+Меню!AG133*Обложка!$H$23+Меню!AG146*Обложка!$H$24+Меню!AG$151*Обложка!$H$25)/1000</f>
        <v>2.0125000000000002</v>
      </c>
      <c r="AH12" s="866">
        <f>(AH118*Обложка!$H$22+Меню!AH133*Обложка!$H$23+Меню!AH146*Обложка!$H$24+Меню!AH$151*Обложка!$H$25)/1000</f>
        <v>0</v>
      </c>
      <c r="AI12" s="866">
        <f>(AI118*Обложка!$H$22+Меню!AI133*Обложка!$H$23+Меню!AI146*Обложка!$H$24+Меню!AI$151*Обложка!$H$25)/1000</f>
        <v>0</v>
      </c>
      <c r="AJ12" s="866">
        <f>(AJ118*Обложка!$H$22+Меню!AJ133*Обложка!$H$23+Меню!AJ146*Обложка!$H$24+Меню!AJ$151*Обложка!$H$25)/1000</f>
        <v>0</v>
      </c>
      <c r="AK12" s="866">
        <f>(AK118*Обложка!$H$22+Меню!AK133*Обложка!$H$23+Меню!AK146*Обложка!$H$24+Меню!AK$151*Обложка!$H$25)/1000</f>
        <v>0</v>
      </c>
      <c r="AL12" s="866">
        <f>(AL118*Обложка!$H$22+Меню!AL133*Обложка!$H$23+Меню!AL146*Обложка!$H$24+Меню!AL$151*Обложка!$H$25)/1000</f>
        <v>0</v>
      </c>
      <c r="AM12" s="866">
        <f>(AM118*Обложка!$H$22+Меню!AM133*Обложка!$H$23+Меню!AM146*Обложка!$H$24+Меню!AM$151*Обложка!$H$25)/1000</f>
        <v>0</v>
      </c>
      <c r="AN12" s="866">
        <f>(AN118*Обложка!$H$22+Меню!AN133*Обложка!$H$23+Меню!AN146*Обложка!$H$24+Меню!AN$151*Обложка!$H$25)/1000</f>
        <v>0</v>
      </c>
      <c r="AO12" s="866">
        <f>(AO118*Обложка!$H$22+Меню!AO133*Обложка!$H$23+Меню!AO146*Обложка!$H$24+Меню!AO$151*Обложка!$H$25)/1000</f>
        <v>0</v>
      </c>
      <c r="AP12" s="866">
        <f>(AP118*Обложка!$H$22+Меню!AP133*Обложка!$H$23+Меню!AP146*Обложка!$H$24+Меню!AP$151*Обложка!$H$25)/1000</f>
        <v>0.23</v>
      </c>
      <c r="AQ12" s="866">
        <f>(AQ118*Обложка!$H$22+Меню!AQ133*Обложка!$H$23+Меню!AQ146*Обложка!$H$24+Меню!AQ$151*Обложка!$H$25)/1000</f>
        <v>0</v>
      </c>
      <c r="AR12" s="866">
        <f>(AR118*Обложка!$H$22+Меню!AR133*Обложка!$H$23+Меню!AR146*Обложка!$H$24+Меню!AR$151*Обложка!$H$25)/1000</f>
        <v>17.25</v>
      </c>
      <c r="AS12" s="866">
        <f>(AS118*Обложка!$H$22+Меню!AS133*Обложка!$H$23+Меню!AS146*Обложка!$H$24+Меню!AS$151*Обложка!$H$25)/1000</f>
        <v>34.5</v>
      </c>
      <c r="AT12" s="866">
        <f>(AT118*Обложка!$H$22+Меню!AT133*Обложка!$H$23+Меню!AT146*Обложка!$H$24+Меню!AT$151*Обложка!$H$25)/1000</f>
        <v>0</v>
      </c>
      <c r="AU12" s="866">
        <f>(AU118*Обложка!$H$22+Меню!AU133*Обложка!$H$23+Меню!AU146*Обложка!$H$24+Меню!AU$151*Обложка!$H$25)/1000</f>
        <v>23</v>
      </c>
      <c r="AV12" s="866">
        <f>(AV118*Обложка!$H$22+Меню!AV133*Обложка!$H$23+Меню!AV146*Обложка!$H$24+Меню!AV$151*Обложка!$H$25)/1000</f>
        <v>0</v>
      </c>
      <c r="AW12" s="866">
        <f>(AW118*Обложка!$H$22+Меню!AW133*Обложка!$H$23+Меню!AW146*Обложка!$H$24+Меню!AW$151*Обложка!$H$25)/1000</f>
        <v>0</v>
      </c>
      <c r="AX12" s="866">
        <f>(AX118*Обложка!$H$22+Меню!AX133*Обложка!$H$23+Меню!AX146*Обложка!$H$24+Меню!AX$151*Обложка!$H$25)/1000</f>
        <v>0</v>
      </c>
      <c r="AY12" s="866">
        <f>(AY118*Обложка!$H$22+Меню!AY133*Обложка!$H$23+Меню!AY146*Обложка!$H$24+Меню!AY$151*Обложка!$H$25)/1000</f>
        <v>0</v>
      </c>
      <c r="AZ12" s="866">
        <f>(AZ118*Обложка!$H$22+Меню!AZ133*Обложка!$H$23+Меню!AZ146*Обложка!$H$24+Меню!AZ$151*Обложка!$H$25)/1000</f>
        <v>0</v>
      </c>
      <c r="BA12" s="866">
        <f>(BA118*Обложка!$H$22+Меню!BA133*Обложка!$H$23+Меню!BA146*Обложка!$H$24+Меню!BA$151*Обложка!$H$25)/1000</f>
        <v>2.0125000000000002</v>
      </c>
      <c r="BB12" s="867">
        <f>(BB118*Обложка!$H$22+Меню!BB133*Обложка!$H$23+Меню!BB146*Обложка!$H$24+Меню!BB$151*Обложка!$H$25)/1000</f>
        <v>0.115</v>
      </c>
      <c r="BC12" s="866">
        <f>(BC118*Обложка!$H$22+Меню!BC133*Обложка!$H$23+Меню!BC146*Обложка!$H$24+Меню!BC$151*Обложка!$H$25)/1000</f>
        <v>0</v>
      </c>
      <c r="BD12" s="866">
        <f>(BD118*Обложка!$H$22+Меню!BD133*Обложка!$H$23+Меню!BD146*Обложка!$H$24+Меню!BD$151*Обложка!$H$25)/1000</f>
        <v>0</v>
      </c>
      <c r="BE12" s="866">
        <f>(BE118*Обложка!$H$22+Меню!BE133*Обложка!$H$23+Меню!BE146*Обложка!$H$24+Меню!BE$151*Обложка!$H$25)/1000</f>
        <v>1.7250000000000001</v>
      </c>
      <c r="BF12" s="866">
        <f>(BF118*Обложка!$H$22+Меню!BF133*Обложка!$H$23+Меню!BF146*Обложка!$H$24+Меню!BF$151*Обложка!$H$25)/1000</f>
        <v>4.5999999999999996</v>
      </c>
      <c r="BG12" s="866">
        <f>(BG118*Обложка!$H$22+Меню!BG133*Обложка!$H$23+Меню!BG146*Обложка!$H$24+Меню!BG$151*Обложка!$H$25)/1000</f>
        <v>1.7250000000000001</v>
      </c>
      <c r="BH12" s="866">
        <f>(BH118*Обложка!$H$22+Меню!BH133*Обложка!$H$23+Меню!BH146*Обложка!$H$24+Меню!BH$151*Обложка!$H$25)/1000</f>
        <v>0</v>
      </c>
      <c r="BI12" s="866">
        <f>(BI118*Обложка!$H$22+Меню!BI133*Обложка!$H$23+Меню!BI146*Обложка!$H$24+Меню!BI$151*Обложка!$H$25)/1000</f>
        <v>0</v>
      </c>
      <c r="BJ12" s="866">
        <f>(BJ118*Обложка!$H$22+Меню!BJ133*Обложка!$H$23+Меню!BJ146*Обложка!$H$24+Меню!BJ$151*Обложка!$H$25)/1000</f>
        <v>0</v>
      </c>
      <c r="BK12" s="866">
        <f>(BK118*Обложка!$H$22+Меню!BK133*Обложка!$H$23+Меню!BK146*Обложка!$H$24+Меню!BK$151*Обложка!$H$25)/1000</f>
        <v>12.9375</v>
      </c>
      <c r="BL12" s="866">
        <f>(BL118*Обложка!$H$22+Меню!BL133*Обложка!$H$23+Меню!BL146*Обложка!$H$24+Меню!BL$151*Обложка!$H$25)/1000</f>
        <v>2.875</v>
      </c>
      <c r="BM12" s="866">
        <f>(BM118*Обложка!$H$22+Меню!BM133*Обложка!$H$23+Меню!BM146*Обложка!$H$24+Меню!BM$151*Обложка!$H$25)/1000</f>
        <v>0</v>
      </c>
      <c r="BN12" s="866">
        <f>(BN118*Обложка!$H$22+Меню!BN133*Обложка!$H$23+Меню!BN146*Обложка!$H$24+Меню!BN$151*Обложка!$H$25)/1000</f>
        <v>0</v>
      </c>
      <c r="BO12" s="866">
        <f>(BO118*Обложка!$H$22+Меню!BO133*Обложка!$H$23+Меню!BO146*Обложка!$H$24+Меню!BO$151*Обложка!$H$25)/1000</f>
        <v>13.8</v>
      </c>
      <c r="BP12" s="866">
        <f>(BP118*Обложка!$H$22+Меню!BP133*Обложка!$H$23+Меню!BP146*Обложка!$H$24+Меню!BP$151*Обложка!$H$25)/1000</f>
        <v>9.1999999999999993</v>
      </c>
      <c r="BQ12" s="866">
        <f>(BQ118*Обложка!$H$22+Меню!BQ133*Обложка!$H$23+Меню!BQ146*Обложка!$H$24+Меню!BQ$151*Обложка!$H$25)/1000</f>
        <v>0</v>
      </c>
      <c r="BR12" s="866">
        <f>(BR118*Обложка!$H$22+Меню!BR133*Обложка!$H$23+Меню!BR146*Обложка!$H$24+Меню!BR$151*Обложка!$H$25)/1000</f>
        <v>0</v>
      </c>
      <c r="BS12" s="866">
        <f>(BS118*Обложка!$H$22+Меню!BS133*Обложка!$H$23+Меню!BS146*Обложка!$H$24+Меню!BS$151*Обложка!$H$25)/1000</f>
        <v>0</v>
      </c>
      <c r="BT12" s="866">
        <f>(BT118*Обложка!$H$22+Меню!BT133*Обложка!$H$23+Меню!BT146*Обложка!$H$24+Меню!BT$151*Обложка!$H$25)/1000</f>
        <v>0</v>
      </c>
      <c r="BU12" s="866">
        <f>(BU118*Обложка!$H$22+Меню!BU133*Обложка!$H$23+Меню!BU146*Обложка!$H$24+Меню!BU$151*Обложка!$H$25)/1000</f>
        <v>0</v>
      </c>
      <c r="BV12" s="866">
        <f>(BV118*Обложка!$H$22+Меню!BV133*Обложка!$H$23+Меню!BV146*Обложка!$H$24+Меню!BV$151*Обложка!$H$25)/1000</f>
        <v>0</v>
      </c>
      <c r="BW12" s="866">
        <f>(BW118*Обложка!$H$22+Меню!BW133*Обложка!$H$23+Меню!BW146*Обложка!$H$24+Меню!BW$151*Обложка!$H$25)/1000</f>
        <v>0</v>
      </c>
      <c r="BX12" s="866">
        <f>(BX118*Обложка!$H$22+Меню!BX133*Обложка!$H$23+Меню!BX146*Обложка!$H$24+Меню!BX$151*Обложка!$H$25)/1000</f>
        <v>5.7500000000000002E-2</v>
      </c>
      <c r="BY12" s="866">
        <f>(BY118*Обложка!$H$22+Меню!BY133*Обложка!$H$23+Меню!BY146*Обложка!$H$24+Меню!BY$151*Обложка!$H$25)/1000</f>
        <v>0</v>
      </c>
      <c r="BZ12" s="866">
        <f>(BZ118*Обложка!$H$22+Меню!BZ133*Обложка!$H$23+Меню!BZ146*Обложка!$H$24+Меню!BZ$151*Обложка!$H$25)/1000</f>
        <v>0</v>
      </c>
      <c r="CA12" s="866">
        <f>(CA118*Обложка!$H$22+Меню!CA133*Обложка!$H$23+Меню!CA146*Обложка!$H$24+Меню!CA$151*Обложка!$H$25)/1000</f>
        <v>0</v>
      </c>
      <c r="CB12" s="866">
        <f>(CB118*Обложка!$H$22+Меню!CB133*Обложка!$H$23+Меню!CB146*Обложка!$H$24+Меню!CB$151*Обложка!$H$25)/1000</f>
        <v>0</v>
      </c>
      <c r="CC12" s="866">
        <f>(CC118*Обложка!$H$22+Меню!CC133*Обложка!$H$23+Меню!CC146*Обложка!$H$24+Меню!CC$151*Обложка!$H$25)/1000</f>
        <v>0</v>
      </c>
      <c r="CD12" s="866">
        <f>(CD118*Обложка!$H$22+Меню!CD133*Обложка!$H$23+Меню!CD146*Обложка!$H$24+Меню!CD$151*Обложка!$H$25)/1000</f>
        <v>0</v>
      </c>
      <c r="CE12" s="866">
        <f>(CE118*Обложка!$H$22+Меню!CE133*Обложка!$H$23+Меню!CE146*Обложка!$H$24+Меню!CE$151*Обложка!$H$25)/1000</f>
        <v>8.0500000000000007</v>
      </c>
      <c r="CF12" s="866">
        <f>(CF118*Обложка!$H$22+Меню!CF133*Обложка!$H$23+Меню!CF146*Обложка!$H$24+Меню!CF$151*Обложка!$H$25)/1000</f>
        <v>0.115</v>
      </c>
      <c r="CG12" s="866">
        <f>(CG118*Обложка!$H$22+Меню!CG133*Обложка!$H$23+Меню!CG146*Обложка!$H$24+Меню!CG$151*Обложка!$H$25)/1000</f>
        <v>0.17249999999999999</v>
      </c>
      <c r="CH12" s="866">
        <f>(CH118*Обложка!$H$22+Меню!CH133*Обложка!$H$23+Меню!CH146*Обложка!$H$24+Меню!CH$151*Обложка!$H$25)/1000</f>
        <v>23</v>
      </c>
      <c r="CI12" s="866">
        <f>(CI118*Обложка!$H$22+Меню!CI133*Обложка!$H$23+Меню!CI146*Обложка!$H$24+Меню!CI$151*Обложка!$H$25)/1000</f>
        <v>0</v>
      </c>
      <c r="CJ12" s="866">
        <f>(CJ118*Обложка!$H$22+Меню!CJ133*Обложка!$H$23+Меню!CJ146*Обложка!$H$24+Меню!CJ$151*Обложка!$H$25)/1000</f>
        <v>0.92</v>
      </c>
      <c r="CK12" s="866">
        <f>(CK118*Обложка!$H$22+Меню!CK133*Обложка!$H$23+Меню!CK146*Обложка!$H$24+Меню!CK$151*Обложка!$H$25)/1000</f>
        <v>0.92</v>
      </c>
      <c r="CL12" s="866">
        <f>(CL118*Обложка!$H$22+Меню!CL133*Обложка!$H$23+Меню!CL146*Обложка!$H$24+Меню!CL$151*Обложка!$H$25)/1000</f>
        <v>0.46</v>
      </c>
      <c r="CM12" s="866">
        <f>(CM118*Обложка!$H$22+Меню!CM133*Обложка!$H$23+Меню!CM146*Обложка!$H$24+Меню!CM$151*Обложка!$H$25)/1000</f>
        <v>0</v>
      </c>
      <c r="CN12" s="866">
        <f>(CN118*Обложка!$H$22+Меню!CN133*Обложка!$H$23+Меню!CN146*Обложка!$H$24+Меню!CN$151*Обложка!$H$25)/1000</f>
        <v>0</v>
      </c>
      <c r="CO12" s="866">
        <f>(CO118*Обложка!$H$22+Меню!CO133*Обложка!$H$23+Меню!CO146*Обложка!$H$24+Меню!CO$151*Обложка!$H$25)/1000</f>
        <v>0</v>
      </c>
      <c r="CP12" s="866">
        <f>(CP118*Обложка!$H$22+Меню!CP133*Обложка!$H$23+Меню!CP146*Обложка!$H$24+Меню!CP$151*Обложка!$H$25)/1000</f>
        <v>0</v>
      </c>
      <c r="CQ12" s="866">
        <f>(CQ118*Обложка!$H$22+Меню!CQ133*Обложка!$H$23+Меню!CQ146*Обложка!$H$24+Меню!CQ$151*Обложка!$H$25)/1000</f>
        <v>2.2999999999999998</v>
      </c>
      <c r="CR12" s="866">
        <f>(CR118*Обложка!$H$22+Меню!CR133*Обложка!$H$23+Меню!CR146*Обложка!$H$24+Меню!CR$151*Обложка!$H$25)/1000</f>
        <v>0</v>
      </c>
      <c r="CS12" s="866">
        <f>(CS118*Обложка!$H$22+Меню!CS133*Обложка!$H$23+Меню!CS146*Обложка!$H$24+Меню!CS$151*Обложка!$H$25)/1000</f>
        <v>0</v>
      </c>
      <c r="CT12" s="866">
        <f>(CT118*Обложка!$H$22+Меню!CT133*Обложка!$H$23+Меню!CT146*Обложка!$H$24+Меню!CT$151*Обложка!$H$25)/1000</f>
        <v>6.9</v>
      </c>
      <c r="CU12" s="866">
        <f>(CU118*Обложка!$H$22+Меню!CU133*Обложка!$H$23+Меню!CU146*Обложка!$H$24+Меню!CU$151*Обложка!$H$25)/1000</f>
        <v>0</v>
      </c>
      <c r="CV12" s="866">
        <f>(CV118*Обложка!$H$22+Меню!CV133*Обложка!$H$23+Меню!CV146*Обложка!$H$24+Меню!CV$151*Обложка!$H$25)/1000</f>
        <v>0</v>
      </c>
      <c r="CW12" s="866">
        <f>(CW118*Обложка!$H$22+Меню!CW133*Обложка!$H$23+Меню!CW146*Обложка!$H$24+Меню!CW$151*Обложка!$H$25)/1000</f>
        <v>0</v>
      </c>
      <c r="CX12" s="866">
        <f>(CX118*Обложка!$H$22+Меню!CX133*Обложка!$H$23+Меню!CX146*Обложка!$H$24+Меню!CX$151*Обложка!$H$25)/1000</f>
        <v>0</v>
      </c>
      <c r="CY12" s="866">
        <f>(CY118*Обложка!$H$22+Меню!CY133*Обложка!$H$23+Меню!CY146*Обложка!$H$24+Меню!CY$151*Обложка!$H$25)/1000</f>
        <v>0</v>
      </c>
      <c r="CZ12" s="866">
        <f>(CZ118*Обложка!$H$22+Меню!CZ133*Обложка!$H$23+Меню!CZ146*Обложка!$H$24+Меню!CZ$151*Обложка!$H$25)/1000</f>
        <v>0</v>
      </c>
      <c r="DA12" s="866">
        <f>(DA118*Обложка!$H$22+Меню!DA133*Обложка!$H$23+Меню!DA146*Обложка!$H$24+Меню!DA$151*Обложка!$H$25)/1000</f>
        <v>0</v>
      </c>
      <c r="DB12" s="866">
        <f>(DB118*Обложка!$H$22+Меню!DB133*Обложка!$H$23+Меню!DB146*Обложка!$H$24+Меню!DB$151*Обложка!$H$25)/1000</f>
        <v>0</v>
      </c>
      <c r="DC12" s="866">
        <f>(DC118*Обложка!$H$22+Меню!DC133*Обложка!$H$23+Меню!DC146*Обложка!$H$24+Меню!DC$151*Обложка!$H$25)/1000</f>
        <v>0</v>
      </c>
      <c r="DD12" s="866">
        <f>(DD118*Обложка!$H$22+Меню!DD133*Обложка!$H$23+Меню!DD146*Обложка!$H$24+Меню!DD$151*Обложка!$H$25)/1000</f>
        <v>0</v>
      </c>
      <c r="DE12" s="866">
        <f>(DE118*Обложка!$H$22+Меню!DE133*Обложка!$H$23+Меню!DE146*Обложка!$H$24+Меню!DE$151*Обложка!$H$25)/1000</f>
        <v>0</v>
      </c>
      <c r="DF12" s="866">
        <f>(DF118*Обложка!$H$22+Меню!DF133*Обложка!$H$23+Меню!DF146*Обложка!$H$24+Меню!DF$151*Обложка!$H$25)/1000</f>
        <v>0</v>
      </c>
      <c r="DG12" s="866">
        <f>(DG118*Обложка!$H$22+Меню!DG133*Обложка!$H$23+Меню!DG146*Обложка!$H$24+Меню!DG$151*Обложка!$H$25)/1000</f>
        <v>0</v>
      </c>
      <c r="DH12" s="866">
        <f>(DH118*Обложка!$H$22+Меню!DH133*Обложка!$H$23+Меню!DH146*Обложка!$H$24+Меню!DH$151*Обложка!$H$25)/1000</f>
        <v>0</v>
      </c>
      <c r="DI12" s="866">
        <f>(DI118*Обложка!$H$22+Меню!DI133*Обложка!$H$23+Меню!DI146*Обложка!$H$24+Меню!DI$151*Обложка!$H$25)/1000</f>
        <v>0</v>
      </c>
      <c r="DJ12" s="866">
        <f>(DJ118*Обложка!$H$22+Меню!DJ133*Обложка!$H$23+Меню!DJ146*Обложка!$H$24+Меню!DJ$151*Обложка!$H$25)/1000</f>
        <v>0</v>
      </c>
      <c r="DK12" s="868">
        <f>(DK118*Обложка!$H$22+Меню!DK133*Обложка!$H$23+Меню!DK146*Обложка!$H$24+Меню!DK$151*Обложка!$H$25)/1000</f>
        <v>0</v>
      </c>
      <c r="DL12" s="869"/>
      <c r="DM12" s="870"/>
      <c r="DN12" s="870"/>
      <c r="DO12" s="871"/>
    </row>
    <row r="13" spans="2:123" s="860" customFormat="1" ht="19.5" hidden="1" customHeight="1" outlineLevel="1" x14ac:dyDescent="0.25">
      <c r="B13" s="861"/>
      <c r="C13" s="862"/>
      <c r="D13" s="861"/>
      <c r="E13" s="863"/>
      <c r="F13" s="862"/>
      <c r="G13" s="862"/>
      <c r="H13" s="862"/>
      <c r="I13" s="864" t="s">
        <v>283</v>
      </c>
      <c r="J13" s="865">
        <f>J163*Обложка!$J$22+Меню!J178*Обложка!$J$23+Меню!J191*Обложка!$J$24+Меню!J$196*Обложка!$J$25</f>
        <v>0</v>
      </c>
      <c r="K13" s="866">
        <f>(K163*Обложка!$J$22+Меню!K178*Обложка!$J$23+Меню!K191*Обложка!$J$24+Меню!K$196*Обложка!$J$25)/1000</f>
        <v>0</v>
      </c>
      <c r="L13" s="866">
        <f>(L163*Обложка!$J$22+Меню!L178*Обложка!$J$23+Меню!L191*Обложка!$J$24+Меню!L$196*Обложка!$J$25)/1000</f>
        <v>0</v>
      </c>
      <c r="M13" s="866">
        <f>(M163*Обложка!$J$22+Меню!M178*Обложка!$J$23+Меню!M191*Обложка!$J$24+Меню!M$196*Обложка!$J$25)/1000</f>
        <v>0</v>
      </c>
      <c r="N13" s="866">
        <f>(N163*Обложка!$J$22+Меню!N178*Обложка!$J$23+Меню!N191*Обложка!$J$24+Меню!N$196*Обложка!$J$25)/1000</f>
        <v>0</v>
      </c>
      <c r="O13" s="866">
        <f>(O163*Обложка!$J$22+Меню!O178*Обложка!$J$23+Меню!O191*Обложка!$J$24+Меню!O$196*Обложка!$J$25)/1000</f>
        <v>0</v>
      </c>
      <c r="P13" s="866">
        <f>(P163*Обложка!$J$22+Меню!P178*Обложка!$J$23+Меню!P191*Обложка!$J$24+Меню!P$196*Обложка!$J$25)/1000</f>
        <v>0</v>
      </c>
      <c r="Q13" s="866">
        <f>(Q163*Обложка!$J$22+Меню!Q178*Обложка!$J$23+Меню!Q191*Обложка!$J$24+Меню!Q$196*Обложка!$J$25)/1000</f>
        <v>0</v>
      </c>
      <c r="R13" s="866">
        <f>(R163*Обложка!$J$22+Меню!R178*Обложка!$J$23+Меню!R191*Обложка!$J$24+Меню!R$196*Обложка!$J$25)/1000</f>
        <v>0</v>
      </c>
      <c r="S13" s="866">
        <f>(S163*Обложка!$J$22+Меню!S178*Обложка!$J$23+Меню!S191*Обложка!$J$24+Меню!S$196*Обложка!$J$25)/1000</f>
        <v>0</v>
      </c>
      <c r="T13" s="866">
        <f>(T163*Обложка!$J$22+Меню!T178*Обложка!$J$23+Меню!T191*Обложка!$J$24+Меню!T$196*Обложка!$J$25)/1000</f>
        <v>0</v>
      </c>
      <c r="U13" s="866">
        <f>(U163*Обложка!$J$22+Меню!U178*Обложка!$J$23+Меню!U191*Обложка!$J$24+Меню!U$196*Обложка!$J$25)/1000</f>
        <v>0</v>
      </c>
      <c r="V13" s="866">
        <f>(V163*Обложка!$J$22+Меню!V178*Обложка!$J$23+Меню!V191*Обложка!$J$24+Меню!V$196*Обложка!$J$25)/1000</f>
        <v>0</v>
      </c>
      <c r="W13" s="866">
        <f>(W163*Обложка!$J$22+Меню!W178*Обложка!$J$23+Меню!W191*Обложка!$J$24+Меню!W$196*Обложка!$J$25)/1000</f>
        <v>0</v>
      </c>
      <c r="X13" s="866">
        <f>(X163*Обложка!$J$22+Меню!X178*Обложка!$J$23+Меню!X191*Обложка!$J$24+Меню!X$196*Обложка!$J$25)/1000</f>
        <v>0</v>
      </c>
      <c r="Y13" s="866">
        <f>(Y163*Обложка!$J$22+Меню!Y178*Обложка!$J$23+Меню!Y191*Обложка!$J$24+Меню!Y$196*Обложка!$J$25)/1000</f>
        <v>0</v>
      </c>
      <c r="Z13" s="866">
        <f>(Z163*Обложка!$J$22+Меню!Z178*Обложка!$J$23+Меню!Z191*Обложка!$J$24+Меню!Z$196*Обложка!$J$25)/1000</f>
        <v>0</v>
      </c>
      <c r="AA13" s="866">
        <f>(AA163*Обложка!$J$22+Меню!AA178*Обложка!$J$23+Меню!AA191*Обложка!$J$24+Меню!AA$196*Обложка!$J$25)/1000</f>
        <v>0</v>
      </c>
      <c r="AB13" s="866">
        <f>(AB163*Обложка!$J$22+Меню!AB178*Обложка!$J$23+Меню!AB191*Обложка!$J$24+Меню!AB$196*Обложка!$J$25)/1000</f>
        <v>0</v>
      </c>
      <c r="AC13" s="866">
        <f>(AC163*Обложка!$J$22+Меню!AC178*Обложка!$J$23+Меню!AC191*Обложка!$J$24+Меню!AC$196*Обложка!$J$25)/1000</f>
        <v>0</v>
      </c>
      <c r="AD13" s="866">
        <f>(AD163*Обложка!$J$22+Меню!AD178*Обложка!$J$23+Меню!AD191*Обложка!$J$24+Меню!AD$196*Обложка!$J$25)/1000</f>
        <v>0</v>
      </c>
      <c r="AE13" s="866">
        <f>(AE163*Обложка!$J$22+Меню!AE178*Обложка!$J$23+Меню!AE191*Обложка!$J$24+Меню!AE$196*Обложка!$J$25)/1000</f>
        <v>0</v>
      </c>
      <c r="AF13" s="866">
        <f>(AF163*Обложка!$J$22+Меню!AF178*Обложка!$J$23+Меню!AF191*Обложка!$J$24+Меню!AF$196*Обложка!$J$25)/1000</f>
        <v>0</v>
      </c>
      <c r="AG13" s="866">
        <f>(AG163*Обложка!$J$22+Меню!AG178*Обложка!$J$23+Меню!AG191*Обложка!$J$24+Меню!AG$196*Обложка!$J$25)/1000</f>
        <v>0</v>
      </c>
      <c r="AH13" s="866">
        <f>(AH163*Обложка!$J$22+Меню!AH178*Обложка!$J$23+Меню!AH191*Обложка!$J$24+Меню!AH$196*Обложка!$J$25)/1000</f>
        <v>0</v>
      </c>
      <c r="AI13" s="866">
        <f>(AI163*Обложка!$J$22+Меню!AI178*Обложка!$J$23+Меню!AI191*Обложка!$J$24+Меню!AI$196*Обложка!$J$25)/1000</f>
        <v>0</v>
      </c>
      <c r="AJ13" s="866">
        <f>(AJ163*Обложка!$J$22+Меню!AJ178*Обложка!$J$23+Меню!AJ191*Обложка!$J$24+Меню!AJ$196*Обложка!$J$25)/1000</f>
        <v>0</v>
      </c>
      <c r="AK13" s="866">
        <f>(AK163*Обложка!$J$22+Меню!AK178*Обложка!$J$23+Меню!AK191*Обложка!$J$24+Меню!AK$196*Обложка!$J$25)/1000</f>
        <v>0</v>
      </c>
      <c r="AL13" s="866">
        <f>(AL163*Обложка!$J$22+Меню!AL178*Обложка!$J$23+Меню!AL191*Обложка!$J$24+Меню!AL$196*Обложка!$J$25)/1000</f>
        <v>0</v>
      </c>
      <c r="AM13" s="866">
        <f>(AM163*Обложка!$J$22+Меню!AM178*Обложка!$J$23+Меню!AM191*Обложка!$J$24+Меню!AM$196*Обложка!$J$25)/1000</f>
        <v>0</v>
      </c>
      <c r="AN13" s="866">
        <f>(AN163*Обложка!$J$22+Меню!AN178*Обложка!$J$23+Меню!AN191*Обложка!$J$24+Меню!AN$196*Обложка!$J$25)/1000</f>
        <v>0</v>
      </c>
      <c r="AO13" s="866">
        <f>(AO163*Обложка!$J$22+Меню!AO178*Обложка!$J$23+Меню!AO191*Обложка!$J$24+Меню!AO$196*Обложка!$J$25)/1000</f>
        <v>0</v>
      </c>
      <c r="AP13" s="866">
        <f>(AP163*Обложка!$J$22+Меню!AP178*Обложка!$J$23+Меню!AP191*Обложка!$J$24+Меню!AP$196*Обложка!$J$25)/1000</f>
        <v>0</v>
      </c>
      <c r="AQ13" s="866">
        <f>(AQ163*Обложка!$J$22+Меню!AQ178*Обложка!$J$23+Меню!AQ191*Обложка!$J$24+Меню!AQ$196*Обложка!$J$25)/1000</f>
        <v>0</v>
      </c>
      <c r="AR13" s="866">
        <f>(AR163*Обложка!$J$22+Меню!AR178*Обложка!$J$23+Меню!AR191*Обложка!$J$24+Меню!AR$196*Обложка!$J$25)/1000</f>
        <v>0</v>
      </c>
      <c r="AS13" s="866">
        <f>(AS163*Обложка!$J$22+Меню!AS178*Обложка!$J$23+Меню!AS191*Обложка!$J$24+Меню!AS$196*Обложка!$J$25)/1000</f>
        <v>0</v>
      </c>
      <c r="AT13" s="866">
        <f>(AT163*Обложка!$J$22+Меню!AT178*Обложка!$J$23+Меню!AT191*Обложка!$J$24+Меню!AT$196*Обложка!$J$25)/1000</f>
        <v>0</v>
      </c>
      <c r="AU13" s="866">
        <f>(AU163*Обложка!$J$22+Меню!AU178*Обложка!$J$23+Меню!AU191*Обложка!$J$24+Меню!AU$196*Обложка!$J$25)/1000</f>
        <v>0</v>
      </c>
      <c r="AV13" s="866">
        <f>(AV163*Обложка!$J$22+Меню!AV178*Обложка!$J$23+Меню!AV191*Обложка!$J$24+Меню!AV$196*Обложка!$J$25)/1000</f>
        <v>0</v>
      </c>
      <c r="AW13" s="866">
        <f>(AW163*Обложка!$J$22+Меню!AW178*Обложка!$J$23+Меню!AW191*Обложка!$J$24+Меню!AW$196*Обложка!$J$25)/1000</f>
        <v>0</v>
      </c>
      <c r="AX13" s="866">
        <f>(AX163*Обложка!$J$22+Меню!AX178*Обложка!$J$23+Меню!AX191*Обложка!$J$24+Меню!AX$196*Обложка!$J$25)/1000</f>
        <v>0</v>
      </c>
      <c r="AY13" s="866">
        <f>(AY163*Обложка!$J$22+Меню!AY178*Обложка!$J$23+Меню!AY191*Обложка!$J$24+Меню!AY$196*Обложка!$J$25)/1000</f>
        <v>0</v>
      </c>
      <c r="AZ13" s="866">
        <f>(AZ163*Обложка!$J$22+Меню!AZ178*Обложка!$J$23+Меню!AZ191*Обложка!$J$24+Меню!AZ$196*Обложка!$J$25)/1000</f>
        <v>0</v>
      </c>
      <c r="BA13" s="866">
        <f>(BA163*Обложка!$J$22+Меню!BA178*Обложка!$J$23+Меню!BA191*Обложка!$J$24+Меню!BA$196*Обложка!$J$25)/1000</f>
        <v>0</v>
      </c>
      <c r="BB13" s="867">
        <f>(BB163*Обложка!$J$22+Меню!BB178*Обложка!$J$23+Меню!BB191*Обложка!$J$24+Меню!BB$196*Обложка!$J$25)/1000</f>
        <v>0</v>
      </c>
      <c r="BC13" s="866">
        <f>(BC163*Обложка!$J$22+Меню!BC178*Обложка!$J$23+Меню!BC191*Обложка!$J$24+Меню!BC$196*Обложка!$J$25)/1000</f>
        <v>0</v>
      </c>
      <c r="BD13" s="866">
        <f>(BD163*Обложка!$J$22+Меню!BD178*Обложка!$J$23+Меню!BD191*Обложка!$J$24+Меню!BD$196*Обложка!$J$25)/1000</f>
        <v>0</v>
      </c>
      <c r="BE13" s="866">
        <f>(BE163*Обложка!$J$22+Меню!BE178*Обложка!$J$23+Меню!BE191*Обложка!$J$24+Меню!BE$196*Обложка!$J$25)/1000</f>
        <v>0</v>
      </c>
      <c r="BF13" s="866">
        <f>(BF163*Обложка!$J$22+Меню!BF178*Обложка!$J$23+Меню!BF191*Обложка!$J$24+Меню!BF$196*Обложка!$J$25)/1000</f>
        <v>0</v>
      </c>
      <c r="BG13" s="866">
        <f>(BG163*Обложка!$J$22+Меню!BG178*Обложка!$J$23+Меню!BG191*Обложка!$J$24+Меню!BG$196*Обложка!$J$25)/1000</f>
        <v>0</v>
      </c>
      <c r="BH13" s="866">
        <f>(BH163*Обложка!$J$22+Меню!BH178*Обложка!$J$23+Меню!BH191*Обложка!$J$24+Меню!BH$196*Обложка!$J$25)/1000</f>
        <v>0</v>
      </c>
      <c r="BI13" s="866">
        <f>(BI163*Обложка!$J$22+Меню!BI178*Обложка!$J$23+Меню!BI191*Обложка!$J$24+Меню!BI$196*Обложка!$J$25)/1000</f>
        <v>0</v>
      </c>
      <c r="BJ13" s="866">
        <f>(BJ163*Обложка!$J$22+Меню!BJ178*Обложка!$J$23+Меню!BJ191*Обложка!$J$24+Меню!BJ$196*Обложка!$J$25)/1000</f>
        <v>0</v>
      </c>
      <c r="BK13" s="866">
        <f>(BK163*Обложка!$J$22+Меню!BK178*Обложка!$J$23+Меню!BK191*Обложка!$J$24+Меню!BK$196*Обложка!$J$25)/1000</f>
        <v>0</v>
      </c>
      <c r="BL13" s="866">
        <f>(BL163*Обложка!$J$22+Меню!BL178*Обложка!$J$23+Меню!BL191*Обложка!$J$24+Меню!BL$196*Обложка!$J$25)/1000</f>
        <v>0</v>
      </c>
      <c r="BM13" s="866">
        <f>(BM163*Обложка!$J$22+Меню!BM178*Обложка!$J$23+Меню!BM191*Обложка!$J$24+Меню!BM$196*Обложка!$J$25)/1000</f>
        <v>0</v>
      </c>
      <c r="BN13" s="866">
        <f>(BN163*Обложка!$J$22+Меню!BN178*Обложка!$J$23+Меню!BN191*Обложка!$J$24+Меню!BN$196*Обложка!$J$25)/1000</f>
        <v>0</v>
      </c>
      <c r="BO13" s="866">
        <f>(BO163*Обложка!$J$22+Меню!BO178*Обложка!$J$23+Меню!BO191*Обложка!$J$24+Меню!BO$196*Обложка!$J$25)/1000</f>
        <v>0</v>
      </c>
      <c r="BP13" s="866">
        <f>(BP163*Обложка!$J$22+Меню!BP178*Обложка!$J$23+Меню!BP191*Обложка!$J$24+Меню!BP$196*Обложка!$J$25)/1000</f>
        <v>0</v>
      </c>
      <c r="BQ13" s="866">
        <f>(BQ163*Обложка!$J$22+Меню!BQ178*Обложка!$J$23+Меню!BQ191*Обложка!$J$24+Меню!BQ$196*Обложка!$J$25)/1000</f>
        <v>0</v>
      </c>
      <c r="BR13" s="866">
        <f>(BR163*Обложка!$J$22+Меню!BR178*Обложка!$J$23+Меню!BR191*Обложка!$J$24+Меню!BR$196*Обложка!$J$25)/1000</f>
        <v>0</v>
      </c>
      <c r="BS13" s="866">
        <f>(BS163*Обложка!$J$22+Меню!BS178*Обложка!$J$23+Меню!BS191*Обложка!$J$24+Меню!BS$196*Обложка!$J$25)/1000</f>
        <v>0</v>
      </c>
      <c r="BT13" s="866">
        <f>(BT163*Обложка!$J$22+Меню!BT178*Обложка!$J$23+Меню!BT191*Обложка!$J$24+Меню!BT$196*Обложка!$J$25)/1000</f>
        <v>0</v>
      </c>
      <c r="BU13" s="866">
        <f>(BU163*Обложка!$J$22+Меню!BU178*Обложка!$J$23+Меню!BU191*Обложка!$J$24+Меню!BU$196*Обложка!$J$25)/1000</f>
        <v>0</v>
      </c>
      <c r="BV13" s="866">
        <f>(BV163*Обложка!$J$22+Меню!BV178*Обложка!$J$23+Меню!BV191*Обложка!$J$24+Меню!BV$196*Обложка!$J$25)/1000</f>
        <v>0</v>
      </c>
      <c r="BW13" s="866">
        <f>(BW163*Обложка!$J$22+Меню!BW178*Обложка!$J$23+Меню!BW191*Обложка!$J$24+Меню!BW$196*Обложка!$J$25)/1000</f>
        <v>0</v>
      </c>
      <c r="BX13" s="866">
        <f>(BX163*Обложка!$J$22+Меню!BX178*Обложка!$J$23+Меню!BX191*Обложка!$J$24+Меню!BX$196*Обложка!$J$25)/1000</f>
        <v>0</v>
      </c>
      <c r="BY13" s="866">
        <f>(BY163*Обложка!$J$22+Меню!BY178*Обложка!$J$23+Меню!BY191*Обложка!$J$24+Меню!BY$196*Обложка!$J$25)/1000</f>
        <v>0</v>
      </c>
      <c r="BZ13" s="866">
        <f>(BZ163*Обложка!$J$22+Меню!BZ178*Обложка!$J$23+Меню!BZ191*Обложка!$J$24+Меню!BZ$196*Обложка!$J$25)/1000</f>
        <v>0</v>
      </c>
      <c r="CA13" s="866">
        <f>(CA163*Обложка!$J$22+Меню!CA178*Обложка!$J$23+Меню!CA191*Обложка!$J$24+Меню!CA$196*Обложка!$J$25)/1000</f>
        <v>0</v>
      </c>
      <c r="CB13" s="866">
        <f>(CB163*Обложка!$J$22+Меню!CB178*Обложка!$J$23+Меню!CB191*Обложка!$J$24+Меню!CB$196*Обложка!$J$25)/1000</f>
        <v>0</v>
      </c>
      <c r="CC13" s="866">
        <f>(CC163*Обложка!$J$22+Меню!CC178*Обложка!$J$23+Меню!CC191*Обложка!$J$24+Меню!CC$196*Обложка!$J$25)/1000</f>
        <v>0</v>
      </c>
      <c r="CD13" s="866">
        <f>(CD163*Обложка!$J$22+Меню!CD178*Обложка!$J$23+Меню!CD191*Обложка!$J$24+Меню!CD$196*Обложка!$J$25)/1000</f>
        <v>0</v>
      </c>
      <c r="CE13" s="866">
        <f>(CE163*Обложка!$J$22+Меню!CE178*Обложка!$J$23+Меню!CE191*Обложка!$J$24+Меню!CE$196*Обложка!$J$25)/1000</f>
        <v>0</v>
      </c>
      <c r="CF13" s="866">
        <f>(CF163*Обложка!$J$22+Меню!CF178*Обложка!$J$23+Меню!CF191*Обложка!$J$24+Меню!CF$196*Обложка!$J$25)/1000</f>
        <v>0</v>
      </c>
      <c r="CG13" s="866">
        <f>(CG163*Обложка!$J$22+Меню!CG178*Обложка!$J$23+Меню!CG191*Обложка!$J$24+Меню!CG$196*Обложка!$J$25)/1000</f>
        <v>0</v>
      </c>
      <c r="CH13" s="866">
        <f>(CH163*Обложка!$J$22+Меню!CH178*Обложка!$J$23+Меню!CH191*Обложка!$J$24+Меню!CH$196*Обложка!$J$25)/1000</f>
        <v>0</v>
      </c>
      <c r="CI13" s="866">
        <f>(CI163*Обложка!$J$22+Меню!CI178*Обложка!$J$23+Меню!CI191*Обложка!$J$24+Меню!CI$196*Обложка!$J$25)/1000</f>
        <v>0</v>
      </c>
      <c r="CJ13" s="866">
        <f>(CJ163*Обложка!$J$22+Меню!CJ178*Обложка!$J$23+Меню!CJ191*Обложка!$J$24+Меню!CJ$196*Обложка!$J$25)/1000</f>
        <v>0</v>
      </c>
      <c r="CK13" s="866">
        <f>(CK163*Обложка!$J$22+Меню!CK178*Обложка!$J$23+Меню!CK191*Обложка!$J$24+Меню!CK$196*Обложка!$J$25)/1000</f>
        <v>0</v>
      </c>
      <c r="CL13" s="866">
        <f>(CL163*Обложка!$J$22+Меню!CL178*Обложка!$J$23+Меню!CL191*Обложка!$J$24+Меню!CL$196*Обложка!$J$25)/1000</f>
        <v>0</v>
      </c>
      <c r="CM13" s="866">
        <f>(CM163*Обложка!$J$22+Меню!CM178*Обложка!$J$23+Меню!CM191*Обложка!$J$24+Меню!CM$196*Обложка!$J$25)/1000</f>
        <v>0</v>
      </c>
      <c r="CN13" s="866">
        <f>(CN163*Обложка!$J$22+Меню!CN178*Обложка!$J$23+Меню!CN191*Обложка!$J$24+Меню!CN$196*Обложка!$J$25)/1000</f>
        <v>0</v>
      </c>
      <c r="CO13" s="866">
        <f>(CO163*Обложка!$J$22+Меню!CO178*Обложка!$J$23+Меню!CO191*Обложка!$J$24+Меню!CO$196*Обложка!$J$25)/1000</f>
        <v>0</v>
      </c>
      <c r="CP13" s="866">
        <f>(CP163*Обложка!$J$22+Меню!CP178*Обложка!$J$23+Меню!CP191*Обложка!$J$24+Меню!CP$196*Обложка!$J$25)/1000</f>
        <v>0</v>
      </c>
      <c r="CQ13" s="866">
        <f>(CQ163*Обложка!$J$22+Меню!CQ178*Обложка!$J$23+Меню!CQ191*Обложка!$J$24+Меню!CQ$196*Обложка!$J$25)/1000</f>
        <v>0</v>
      </c>
      <c r="CR13" s="866">
        <f>(CR163*Обложка!$J$22+Меню!CR178*Обложка!$J$23+Меню!CR191*Обложка!$J$24+Меню!CR$196*Обложка!$J$25)/1000</f>
        <v>0</v>
      </c>
      <c r="CS13" s="866">
        <f>(CS163*Обложка!$J$22+Меню!CS178*Обложка!$J$23+Меню!CS191*Обложка!$J$24+Меню!CS$196*Обложка!$J$25)/1000</f>
        <v>0</v>
      </c>
      <c r="CT13" s="866">
        <f>(CT163*Обложка!$J$22+Меню!CT178*Обложка!$J$23+Меню!CT191*Обложка!$J$24+Меню!CT$196*Обложка!$J$25)/1000</f>
        <v>0</v>
      </c>
      <c r="CU13" s="866">
        <f>(CU163*Обложка!$J$22+Меню!CU178*Обложка!$J$23+Меню!CU191*Обложка!$J$24+Меню!CU$196*Обложка!$J$25)/1000</f>
        <v>0</v>
      </c>
      <c r="CV13" s="866">
        <f>(CV163*Обложка!$J$22+Меню!CV178*Обложка!$J$23+Меню!CV191*Обложка!$J$24+Меню!CV$196*Обложка!$J$25)/1000</f>
        <v>0</v>
      </c>
      <c r="CW13" s="866">
        <f>(CW163*Обложка!$J$22+Меню!CW178*Обложка!$J$23+Меню!CW191*Обложка!$J$24+Меню!CW$196*Обложка!$J$25)/1000</f>
        <v>0</v>
      </c>
      <c r="CX13" s="866">
        <f>(CX163*Обложка!$J$22+Меню!CX178*Обложка!$J$23+Меню!CX191*Обложка!$J$24+Меню!CX$196*Обложка!$J$25)/1000</f>
        <v>0</v>
      </c>
      <c r="CY13" s="866">
        <f>(CY163*Обложка!$J$22+Меню!CY178*Обложка!$J$23+Меню!CY191*Обложка!$J$24+Меню!CY$196*Обложка!$J$25)/1000</f>
        <v>0</v>
      </c>
      <c r="CZ13" s="866">
        <f>(CZ163*Обложка!$J$22+Меню!CZ178*Обложка!$J$23+Меню!CZ191*Обложка!$J$24+Меню!CZ$196*Обложка!$J$25)/1000</f>
        <v>0</v>
      </c>
      <c r="DA13" s="866">
        <f>(DA163*Обложка!$J$22+Меню!DA178*Обложка!$J$23+Меню!DA191*Обложка!$J$24+Меню!DA$196*Обложка!$J$25)/1000</f>
        <v>0</v>
      </c>
      <c r="DB13" s="866">
        <f>(DB163*Обложка!$J$22+Меню!DB178*Обложка!$J$23+Меню!DB191*Обложка!$J$24+Меню!DB$196*Обложка!$J$25)/1000</f>
        <v>0</v>
      </c>
      <c r="DC13" s="866">
        <f>(DC163*Обложка!$J$22+Меню!DC178*Обложка!$J$23+Меню!DC191*Обложка!$J$24+Меню!DC$196*Обложка!$J$25)/1000</f>
        <v>0</v>
      </c>
      <c r="DD13" s="866">
        <f>(DD163*Обложка!$J$22+Меню!DD178*Обложка!$J$23+Меню!DD191*Обложка!$J$24+Меню!DD$196*Обложка!$J$25)/1000</f>
        <v>0</v>
      </c>
      <c r="DE13" s="866">
        <f>(DE163*Обложка!$J$22+Меню!DE178*Обложка!$J$23+Меню!DE191*Обложка!$J$24+Меню!DE$196*Обложка!$J$25)/1000</f>
        <v>0</v>
      </c>
      <c r="DF13" s="866">
        <f>(DF163*Обложка!$J$22+Меню!DF178*Обложка!$J$23+Меню!DF191*Обложка!$J$24+Меню!DF$196*Обложка!$J$25)/1000</f>
        <v>0</v>
      </c>
      <c r="DG13" s="866">
        <f>(DG163*Обложка!$J$22+Меню!DG178*Обложка!$J$23+Меню!DG191*Обложка!$J$24+Меню!DG$196*Обложка!$J$25)/1000</f>
        <v>0</v>
      </c>
      <c r="DH13" s="866">
        <f>(DH163*Обложка!$J$22+Меню!DH178*Обложка!$J$23+Меню!DH191*Обложка!$J$24+Меню!DH$196*Обложка!$J$25)/1000</f>
        <v>0</v>
      </c>
      <c r="DI13" s="866">
        <f>(DI163*Обложка!$J$22+Меню!DI178*Обложка!$J$23+Меню!DI191*Обложка!$J$24+Меню!DI$196*Обложка!$J$25)/1000</f>
        <v>0</v>
      </c>
      <c r="DJ13" s="866">
        <f>(DJ163*Обложка!$J$22+Меню!DJ178*Обложка!$J$23+Меню!DJ191*Обложка!$J$24+Меню!DJ$196*Обложка!$J$25)/1000</f>
        <v>0</v>
      </c>
      <c r="DK13" s="868">
        <f>(DK163*Обложка!$J$22+Меню!DK178*Обложка!$J$23+Меню!DK191*Обложка!$J$24+Меню!DK$196*Обложка!$J$25)/1000</f>
        <v>0</v>
      </c>
      <c r="DL13" s="869"/>
      <c r="DM13" s="870"/>
      <c r="DN13" s="870"/>
      <c r="DO13" s="871"/>
    </row>
    <row r="14" spans="2:123" s="860" customFormat="1" ht="19.5" hidden="1" customHeight="1" outlineLevel="1" x14ac:dyDescent="0.25">
      <c r="B14" s="861"/>
      <c r="C14" s="862"/>
      <c r="D14" s="861"/>
      <c r="E14" s="863"/>
      <c r="F14" s="862"/>
      <c r="G14" s="862"/>
      <c r="H14" s="862"/>
      <c r="I14" s="864" t="s">
        <v>284</v>
      </c>
      <c r="J14" s="865">
        <f>J208*Обложка!$L$22+Меню!J223*Обложка!$L$23+Меню!J236*Обложка!$L$24+Меню!J$241*Обложка!$L$25</f>
        <v>0</v>
      </c>
      <c r="K14" s="866">
        <f>(K208*Обложка!$L$22+Меню!K223*Обложка!$L$23+Меню!K236*Обложка!$L$24+Меню!K$241*Обложка!$L$25)/1000</f>
        <v>0</v>
      </c>
      <c r="L14" s="866">
        <f>(L208*Обложка!$L$22+Меню!L223*Обложка!$L$23+Меню!L236*Обложка!$L$24+Меню!L$241*Обложка!$L$25)/1000</f>
        <v>0</v>
      </c>
      <c r="M14" s="866">
        <f>(M208*Обложка!$L$22+Меню!M223*Обложка!$L$23+Меню!M236*Обложка!$L$24+Меню!M$241*Обложка!$L$25)/1000</f>
        <v>0</v>
      </c>
      <c r="N14" s="866">
        <f>(N208*Обложка!$L$22+Меню!N223*Обложка!$L$23+Меню!N236*Обложка!$L$24+Меню!N$241*Обложка!$L$25)/1000</f>
        <v>0</v>
      </c>
      <c r="O14" s="866">
        <f>(O208*Обложка!$L$22+Меню!O223*Обложка!$L$23+Меню!O236*Обложка!$L$24+Меню!O$241*Обложка!$L$25)/1000</f>
        <v>0</v>
      </c>
      <c r="P14" s="866">
        <f>(P208*Обложка!$L$22+Меню!P223*Обложка!$L$23+Меню!P236*Обложка!$L$24+Меню!P$241*Обложка!$L$25)/1000</f>
        <v>0</v>
      </c>
      <c r="Q14" s="866">
        <f>(Q208*Обложка!$L$22+Меню!Q223*Обложка!$L$23+Меню!Q236*Обложка!$L$24+Меню!Q$241*Обложка!$L$25)/1000</f>
        <v>0</v>
      </c>
      <c r="R14" s="866">
        <f>(R208*Обложка!$L$22+Меню!R223*Обложка!$L$23+Меню!R236*Обложка!$L$24+Меню!R$241*Обложка!$L$25)/1000</f>
        <v>0</v>
      </c>
      <c r="S14" s="866">
        <f>(S208*Обложка!$L$22+Меню!S223*Обложка!$L$23+Меню!S236*Обложка!$L$24+Меню!S$241*Обложка!$L$25)/1000</f>
        <v>0</v>
      </c>
      <c r="T14" s="866">
        <f>(T208*Обложка!$L$22+Меню!T223*Обложка!$L$23+Меню!T236*Обложка!$L$24+Меню!T$241*Обложка!$L$25)/1000</f>
        <v>0</v>
      </c>
      <c r="U14" s="866">
        <f>(U208*Обложка!$L$22+Меню!U223*Обложка!$L$23+Меню!U236*Обложка!$L$24+Меню!U$241*Обложка!$L$25)/1000</f>
        <v>0</v>
      </c>
      <c r="V14" s="866">
        <f>(V208*Обложка!$L$22+Меню!V223*Обложка!$L$23+Меню!V236*Обложка!$L$24+Меню!V$241*Обложка!$L$25)/1000</f>
        <v>0</v>
      </c>
      <c r="W14" s="866">
        <f>(W208*Обложка!$L$22+Меню!W223*Обложка!$L$23+Меню!W236*Обложка!$L$24+Меню!W$241*Обложка!$L$25)/1000</f>
        <v>0</v>
      </c>
      <c r="X14" s="866">
        <f>(X208*Обложка!$L$22+Меню!X223*Обложка!$L$23+Меню!X236*Обложка!$L$24+Меню!X$241*Обложка!$L$25)/1000</f>
        <v>0</v>
      </c>
      <c r="Y14" s="866">
        <f>(Y208*Обложка!$L$22+Меню!Y223*Обложка!$L$23+Меню!Y236*Обложка!$L$24+Меню!Y$241*Обложка!$L$25)/1000</f>
        <v>0</v>
      </c>
      <c r="Z14" s="866">
        <f>(Z208*Обложка!$L$22+Меню!Z223*Обложка!$L$23+Меню!Z236*Обложка!$L$24+Меню!Z$241*Обложка!$L$25)/1000</f>
        <v>0</v>
      </c>
      <c r="AA14" s="866">
        <f>(AA208*Обложка!$L$22+Меню!AA223*Обложка!$L$23+Меню!AA236*Обложка!$L$24+Меню!AA$241*Обложка!$L$25)/1000</f>
        <v>0</v>
      </c>
      <c r="AB14" s="866">
        <f>(AB208*Обложка!$L$22+Меню!AB223*Обложка!$L$23+Меню!AB236*Обложка!$L$24+Меню!AB$241*Обложка!$L$25)/1000</f>
        <v>0</v>
      </c>
      <c r="AC14" s="866">
        <f>(AC208*Обложка!$L$22+Меню!AC223*Обложка!$L$23+Меню!AC236*Обложка!$L$24+Меню!AC$241*Обложка!$L$25)/1000</f>
        <v>0</v>
      </c>
      <c r="AD14" s="866">
        <f>(AD208*Обложка!$L$22+Меню!AD223*Обложка!$L$23+Меню!AD236*Обложка!$L$24+Меню!AD$241*Обложка!$L$25)/1000</f>
        <v>0</v>
      </c>
      <c r="AE14" s="866">
        <f>(AE208*Обложка!$L$22+Меню!AE223*Обложка!$L$23+Меню!AE236*Обложка!$L$24+Меню!AE$241*Обложка!$L$25)/1000</f>
        <v>0</v>
      </c>
      <c r="AF14" s="866">
        <f>(AF208*Обложка!$L$22+Меню!AF223*Обложка!$L$23+Меню!AF236*Обложка!$L$24+Меню!AF$241*Обложка!$L$25)/1000</f>
        <v>0</v>
      </c>
      <c r="AG14" s="866">
        <f>(AG208*Обложка!$L$22+Меню!AG223*Обложка!$L$23+Меню!AG236*Обложка!$L$24+Меню!AG$241*Обложка!$L$25)/1000</f>
        <v>0</v>
      </c>
      <c r="AH14" s="866">
        <f>(AH208*Обложка!$L$22+Меню!AH223*Обложка!$L$23+Меню!AH236*Обложка!$L$24+Меню!AH$241*Обложка!$L$25)/1000</f>
        <v>0</v>
      </c>
      <c r="AI14" s="866">
        <f>(AI208*Обложка!$L$22+Меню!AI223*Обложка!$L$23+Меню!AI236*Обложка!$L$24+Меню!AI$241*Обложка!$L$25)/1000</f>
        <v>0</v>
      </c>
      <c r="AJ14" s="866">
        <f>(AJ208*Обложка!$L$22+Меню!AJ223*Обложка!$L$23+Меню!AJ236*Обложка!$L$24+Меню!AJ$241*Обложка!$L$25)/1000</f>
        <v>0</v>
      </c>
      <c r="AK14" s="866">
        <f>(AK208*Обложка!$L$22+Меню!AK223*Обложка!$L$23+Меню!AK236*Обложка!$L$24+Меню!AK$241*Обложка!$L$25)/1000</f>
        <v>0</v>
      </c>
      <c r="AL14" s="866">
        <f>(AL208*Обложка!$L$22+Меню!AL223*Обложка!$L$23+Меню!AL236*Обложка!$L$24+Меню!AL$241*Обложка!$L$25)/1000</f>
        <v>0</v>
      </c>
      <c r="AM14" s="866">
        <f>(AM208*Обложка!$L$22+Меню!AM223*Обложка!$L$23+Меню!AM236*Обложка!$L$24+Меню!AM$241*Обложка!$L$25)/1000</f>
        <v>0</v>
      </c>
      <c r="AN14" s="866">
        <f>(AN208*Обложка!$L$22+Меню!AN223*Обложка!$L$23+Меню!AN236*Обложка!$L$24+Меню!AN$241*Обложка!$L$25)/1000</f>
        <v>0</v>
      </c>
      <c r="AO14" s="866">
        <f>(AO208*Обложка!$L$22+Меню!AO223*Обложка!$L$23+Меню!AO236*Обложка!$L$24+Меню!AO$241*Обложка!$L$25)/1000</f>
        <v>0</v>
      </c>
      <c r="AP14" s="866">
        <f>(AP208*Обложка!$L$22+Меню!AP223*Обложка!$L$23+Меню!AP236*Обложка!$L$24+Меню!AP$241*Обложка!$L$25)/1000</f>
        <v>0</v>
      </c>
      <c r="AQ14" s="866">
        <f>(AQ208*Обложка!$L$22+Меню!AQ223*Обложка!$L$23+Меню!AQ236*Обложка!$L$24+Меню!AQ$241*Обложка!$L$25)/1000</f>
        <v>0</v>
      </c>
      <c r="AR14" s="866">
        <f>(AR208*Обложка!$L$22+Меню!AR223*Обложка!$L$23+Меню!AR236*Обложка!$L$24+Меню!AR$241*Обложка!$L$25)/1000</f>
        <v>0</v>
      </c>
      <c r="AS14" s="866">
        <f>(AS208*Обложка!$L$22+Меню!AS223*Обложка!$L$23+Меню!AS236*Обложка!$L$24+Меню!AS$241*Обложка!$L$25)/1000</f>
        <v>0</v>
      </c>
      <c r="AT14" s="866">
        <f>(AT208*Обложка!$L$22+Меню!AT223*Обложка!$L$23+Меню!AT236*Обложка!$L$24+Меню!AT$241*Обложка!$L$25)/1000</f>
        <v>0</v>
      </c>
      <c r="AU14" s="866">
        <f>(AU208*Обложка!$L$22+Меню!AU223*Обложка!$L$23+Меню!AU236*Обложка!$L$24+Меню!AU$241*Обложка!$L$25)/1000</f>
        <v>0</v>
      </c>
      <c r="AV14" s="866">
        <f>(AV208*Обложка!$L$22+Меню!AV223*Обложка!$L$23+Меню!AV236*Обложка!$L$24+Меню!AV$241*Обложка!$L$25)/1000</f>
        <v>0</v>
      </c>
      <c r="AW14" s="866">
        <f>(AW208*Обложка!$L$22+Меню!AW223*Обложка!$L$23+Меню!AW236*Обложка!$L$24+Меню!AW$241*Обложка!$L$25)/1000</f>
        <v>0</v>
      </c>
      <c r="AX14" s="866">
        <f>(AX208*Обложка!$L$22+Меню!AX223*Обложка!$L$23+Меню!AX236*Обложка!$L$24+Меню!AX$241*Обложка!$L$25)/1000</f>
        <v>0</v>
      </c>
      <c r="AY14" s="866">
        <f>(AY208*Обложка!$L$22+Меню!AY223*Обложка!$L$23+Меню!AY236*Обложка!$L$24+Меню!AY$241*Обложка!$L$25)/1000</f>
        <v>0</v>
      </c>
      <c r="AZ14" s="866">
        <f>(AZ208*Обложка!$L$22+Меню!AZ223*Обложка!$L$23+Меню!AZ236*Обложка!$L$24+Меню!AZ$241*Обложка!$L$25)/1000</f>
        <v>0</v>
      </c>
      <c r="BA14" s="866">
        <f>(BA208*Обложка!$L$22+Меню!BA223*Обложка!$L$23+Меню!BA236*Обложка!$L$24+Меню!BA$241*Обложка!$L$25)/1000</f>
        <v>0</v>
      </c>
      <c r="BB14" s="867">
        <f>(BB208*Обложка!$L$22+Меню!BB223*Обложка!$L$23+Меню!BB236*Обложка!$L$24+Меню!BB$241*Обложка!$L$25)/1000</f>
        <v>0</v>
      </c>
      <c r="BC14" s="866">
        <f>(BC208*Обложка!$L$22+Меню!BC223*Обложка!$L$23+Меню!BC236*Обложка!$L$24+Меню!BC$241*Обложка!$L$25)/1000</f>
        <v>0</v>
      </c>
      <c r="BD14" s="866">
        <f>(BD208*Обложка!$L$22+Меню!BD223*Обложка!$L$23+Меню!BD236*Обложка!$L$24+Меню!BD$241*Обложка!$L$25)/1000</f>
        <v>0</v>
      </c>
      <c r="BE14" s="866">
        <f>(BE208*Обложка!$L$22+Меню!BE223*Обложка!$L$23+Меню!BE236*Обложка!$L$24+Меню!BE$241*Обложка!$L$25)/1000</f>
        <v>0</v>
      </c>
      <c r="BF14" s="866">
        <f>(BF208*Обложка!$L$22+Меню!BF223*Обложка!$L$23+Меню!BF236*Обложка!$L$24+Меню!BF$241*Обложка!$L$25)/1000</f>
        <v>0</v>
      </c>
      <c r="BG14" s="866">
        <f>(BG208*Обложка!$L$22+Меню!BG223*Обложка!$L$23+Меню!BG236*Обложка!$L$24+Меню!BG$241*Обложка!$L$25)/1000</f>
        <v>0</v>
      </c>
      <c r="BH14" s="866">
        <f>(BH208*Обложка!$L$22+Меню!BH223*Обложка!$L$23+Меню!BH236*Обложка!$L$24+Меню!BH$241*Обложка!$L$25)/1000</f>
        <v>0</v>
      </c>
      <c r="BI14" s="866">
        <f>(BI208*Обложка!$L$22+Меню!BI223*Обложка!$L$23+Меню!BI236*Обложка!$L$24+Меню!BI$241*Обложка!$L$25)/1000</f>
        <v>0</v>
      </c>
      <c r="BJ14" s="866">
        <f>(BJ208*Обложка!$L$22+Меню!BJ223*Обложка!$L$23+Меню!BJ236*Обложка!$L$24+Меню!BJ$241*Обложка!$L$25)/1000</f>
        <v>0</v>
      </c>
      <c r="BK14" s="866">
        <f>(BK208*Обложка!$L$22+Меню!BK223*Обложка!$L$23+Меню!BK236*Обложка!$L$24+Меню!BK$241*Обложка!$L$25)/1000</f>
        <v>0</v>
      </c>
      <c r="BL14" s="866">
        <f>(BL208*Обложка!$L$22+Меню!BL223*Обложка!$L$23+Меню!BL236*Обложка!$L$24+Меню!BL$241*Обложка!$L$25)/1000</f>
        <v>0</v>
      </c>
      <c r="BM14" s="866">
        <f>(BM208*Обложка!$L$22+Меню!BM223*Обложка!$L$23+Меню!BM236*Обложка!$L$24+Меню!BM$241*Обложка!$L$25)/1000</f>
        <v>0</v>
      </c>
      <c r="BN14" s="866">
        <f>(BN208*Обложка!$L$22+Меню!BN223*Обложка!$L$23+Меню!BN236*Обложка!$L$24+Меню!BN$241*Обложка!$L$25)/1000</f>
        <v>0</v>
      </c>
      <c r="BO14" s="866">
        <f>(BO208*Обложка!$L$22+Меню!BO223*Обложка!$L$23+Меню!BO236*Обложка!$L$24+Меню!BO$241*Обложка!$L$25)/1000</f>
        <v>0</v>
      </c>
      <c r="BP14" s="866">
        <f>(BP208*Обложка!$L$22+Меню!BP223*Обложка!$L$23+Меню!BP236*Обложка!$L$24+Меню!BP$241*Обложка!$L$25)/1000</f>
        <v>0</v>
      </c>
      <c r="BQ14" s="866">
        <f>(BQ208*Обложка!$L$22+Меню!BQ223*Обложка!$L$23+Меню!BQ236*Обложка!$L$24+Меню!BQ$241*Обложка!$L$25)/1000</f>
        <v>0</v>
      </c>
      <c r="BR14" s="866">
        <f>(BR208*Обложка!$L$22+Меню!BR223*Обложка!$L$23+Меню!BR236*Обложка!$L$24+Меню!BR$241*Обложка!$L$25)/1000</f>
        <v>0</v>
      </c>
      <c r="BS14" s="866">
        <f>(BS208*Обложка!$L$22+Меню!BS223*Обложка!$L$23+Меню!BS236*Обложка!$L$24+Меню!BS$241*Обложка!$L$25)/1000</f>
        <v>0</v>
      </c>
      <c r="BT14" s="866">
        <f>(BT208*Обложка!$L$22+Меню!BT223*Обложка!$L$23+Меню!BT236*Обложка!$L$24+Меню!BT$241*Обложка!$L$25)/1000</f>
        <v>0</v>
      </c>
      <c r="BU14" s="866">
        <f>(BU208*Обложка!$L$22+Меню!BU223*Обложка!$L$23+Меню!BU236*Обложка!$L$24+Меню!BU$241*Обложка!$L$25)/1000</f>
        <v>0</v>
      </c>
      <c r="BV14" s="866">
        <f>(BV208*Обложка!$L$22+Меню!BV223*Обложка!$L$23+Меню!BV236*Обложка!$L$24+Меню!BV$241*Обложка!$L$25)/1000</f>
        <v>0</v>
      </c>
      <c r="BW14" s="866">
        <f>(BW208*Обложка!$L$22+Меню!BW223*Обложка!$L$23+Меню!BW236*Обложка!$L$24+Меню!BW$241*Обложка!$L$25)/1000</f>
        <v>0</v>
      </c>
      <c r="BX14" s="866">
        <f>(BX208*Обложка!$L$22+Меню!BX223*Обложка!$L$23+Меню!BX236*Обложка!$L$24+Меню!BX$241*Обложка!$L$25)/1000</f>
        <v>0</v>
      </c>
      <c r="BY14" s="866">
        <f>(BY208*Обложка!$L$22+Меню!BY223*Обложка!$L$23+Меню!BY236*Обложка!$L$24+Меню!BY$241*Обложка!$L$25)/1000</f>
        <v>0</v>
      </c>
      <c r="BZ14" s="866">
        <f>(BZ208*Обложка!$L$22+Меню!BZ223*Обложка!$L$23+Меню!BZ236*Обложка!$L$24+Меню!BZ$241*Обложка!$L$25)/1000</f>
        <v>0</v>
      </c>
      <c r="CA14" s="866">
        <f>(CA208*Обложка!$L$22+Меню!CA223*Обложка!$L$23+Меню!CA236*Обложка!$L$24+Меню!CA$241*Обложка!$L$25)/1000</f>
        <v>0</v>
      </c>
      <c r="CB14" s="866">
        <f>(CB208*Обложка!$L$22+Меню!CB223*Обложка!$L$23+Меню!CB236*Обложка!$L$24+Меню!CB$241*Обложка!$L$25)/1000</f>
        <v>0</v>
      </c>
      <c r="CC14" s="866">
        <f>(CC208*Обложка!$L$22+Меню!CC223*Обложка!$L$23+Меню!CC236*Обложка!$L$24+Меню!CC$241*Обложка!$L$25)/1000</f>
        <v>0</v>
      </c>
      <c r="CD14" s="866">
        <f>(CD208*Обложка!$L$22+Меню!CD223*Обложка!$L$23+Меню!CD236*Обложка!$L$24+Меню!CD$241*Обложка!$L$25)/1000</f>
        <v>0</v>
      </c>
      <c r="CE14" s="866">
        <f>(CE208*Обложка!$L$22+Меню!CE223*Обложка!$L$23+Меню!CE236*Обложка!$L$24+Меню!CE$241*Обложка!$L$25)/1000</f>
        <v>0</v>
      </c>
      <c r="CF14" s="866">
        <f>(CF208*Обложка!$L$22+Меню!CF223*Обложка!$L$23+Меню!CF236*Обложка!$L$24+Меню!CF$241*Обложка!$L$25)/1000</f>
        <v>0</v>
      </c>
      <c r="CG14" s="866">
        <f>(CG208*Обложка!$L$22+Меню!CG223*Обложка!$L$23+Меню!CG236*Обложка!$L$24+Меню!CG$241*Обложка!$L$25)/1000</f>
        <v>0</v>
      </c>
      <c r="CH14" s="866">
        <f>(CH208*Обложка!$L$22+Меню!CH223*Обложка!$L$23+Меню!CH236*Обложка!$L$24+Меню!CH$241*Обложка!$L$25)/1000</f>
        <v>0</v>
      </c>
      <c r="CI14" s="866">
        <f>(CI208*Обложка!$L$22+Меню!CI223*Обложка!$L$23+Меню!CI236*Обложка!$L$24+Меню!CI$241*Обложка!$L$25)/1000</f>
        <v>0</v>
      </c>
      <c r="CJ14" s="866">
        <f>(CJ208*Обложка!$L$22+Меню!CJ223*Обложка!$L$23+Меню!CJ236*Обложка!$L$24+Меню!CJ$241*Обложка!$L$25)/1000</f>
        <v>0</v>
      </c>
      <c r="CK14" s="866">
        <f>(CK208*Обложка!$L$22+Меню!CK223*Обложка!$L$23+Меню!CK236*Обложка!$L$24+Меню!CK$241*Обложка!$L$25)/1000</f>
        <v>0</v>
      </c>
      <c r="CL14" s="866">
        <f>(CL208*Обложка!$L$22+Меню!CL223*Обложка!$L$23+Меню!CL236*Обложка!$L$24+Меню!CL$241*Обложка!$L$25)/1000</f>
        <v>0</v>
      </c>
      <c r="CM14" s="866">
        <f>(CM208*Обложка!$L$22+Меню!CM223*Обложка!$L$23+Меню!CM236*Обложка!$L$24+Меню!CM$241*Обложка!$L$25)/1000</f>
        <v>0</v>
      </c>
      <c r="CN14" s="866">
        <f>(CN208*Обложка!$L$22+Меню!CN223*Обложка!$L$23+Меню!CN236*Обложка!$L$24+Меню!CN$241*Обложка!$L$25)/1000</f>
        <v>0</v>
      </c>
      <c r="CO14" s="866">
        <f>(CO208*Обложка!$L$22+Меню!CO223*Обложка!$L$23+Меню!CO236*Обложка!$L$24+Меню!CO$241*Обложка!$L$25)/1000</f>
        <v>0</v>
      </c>
      <c r="CP14" s="866">
        <f>(CP208*Обложка!$L$22+Меню!CP223*Обложка!$L$23+Меню!CP236*Обложка!$L$24+Меню!CP$241*Обложка!$L$25)/1000</f>
        <v>0</v>
      </c>
      <c r="CQ14" s="866">
        <f>(CQ208*Обложка!$L$22+Меню!CQ223*Обложка!$L$23+Меню!CQ236*Обложка!$L$24+Меню!CQ$241*Обложка!$L$25)/1000</f>
        <v>0</v>
      </c>
      <c r="CR14" s="866">
        <f>(CR208*Обложка!$L$22+Меню!CR223*Обложка!$L$23+Меню!CR236*Обложка!$L$24+Меню!CR$241*Обложка!$L$25)/1000</f>
        <v>0</v>
      </c>
      <c r="CS14" s="866">
        <f>(CS208*Обложка!$L$22+Меню!CS223*Обложка!$L$23+Меню!CS236*Обложка!$L$24+Меню!CS$241*Обложка!$L$25)/1000</f>
        <v>0</v>
      </c>
      <c r="CT14" s="866">
        <f>(CT208*Обложка!$L$22+Меню!CT223*Обложка!$L$23+Меню!CT236*Обложка!$L$24+Меню!CT$241*Обложка!$L$25)/1000</f>
        <v>0</v>
      </c>
      <c r="CU14" s="866">
        <f>(CU208*Обложка!$L$22+Меню!CU223*Обложка!$L$23+Меню!CU236*Обложка!$L$24+Меню!CU$241*Обложка!$L$25)/1000</f>
        <v>0</v>
      </c>
      <c r="CV14" s="866">
        <f>(CV208*Обложка!$L$22+Меню!CV223*Обложка!$L$23+Меню!CV236*Обложка!$L$24+Меню!CV$241*Обложка!$L$25)/1000</f>
        <v>0</v>
      </c>
      <c r="CW14" s="866">
        <f>(CW208*Обложка!$L$22+Меню!CW223*Обложка!$L$23+Меню!CW236*Обложка!$L$24+Меню!CW$241*Обложка!$L$25)/1000</f>
        <v>0</v>
      </c>
      <c r="CX14" s="866">
        <f>(CX208*Обложка!$L$22+Меню!CX223*Обложка!$L$23+Меню!CX236*Обложка!$L$24+Меню!CX$241*Обложка!$L$25)/1000</f>
        <v>0</v>
      </c>
      <c r="CY14" s="866">
        <f>(CY208*Обложка!$L$22+Меню!CY223*Обложка!$L$23+Меню!CY236*Обложка!$L$24+Меню!CY$241*Обложка!$L$25)/1000</f>
        <v>0</v>
      </c>
      <c r="CZ14" s="866">
        <f>(CZ208*Обложка!$L$22+Меню!CZ223*Обложка!$L$23+Меню!CZ236*Обложка!$L$24+Меню!CZ$241*Обложка!$L$25)/1000</f>
        <v>0</v>
      </c>
      <c r="DA14" s="866">
        <f>(DA208*Обложка!$L$22+Меню!DA223*Обложка!$L$23+Меню!DA236*Обложка!$L$24+Меню!DA$241*Обложка!$L$25)/1000</f>
        <v>0</v>
      </c>
      <c r="DB14" s="866">
        <f>(DB208*Обложка!$L$22+Меню!DB223*Обложка!$L$23+Меню!DB236*Обложка!$L$24+Меню!DB$241*Обложка!$L$25)/1000</f>
        <v>0</v>
      </c>
      <c r="DC14" s="866">
        <f>(DC208*Обложка!$L$22+Меню!DC223*Обложка!$L$23+Меню!DC236*Обложка!$L$24+Меню!DC$241*Обложка!$L$25)/1000</f>
        <v>0</v>
      </c>
      <c r="DD14" s="866">
        <f>(DD208*Обложка!$L$22+Меню!DD223*Обложка!$L$23+Меню!DD236*Обложка!$L$24+Меню!DD$241*Обложка!$L$25)/1000</f>
        <v>0</v>
      </c>
      <c r="DE14" s="866">
        <f>(DE208*Обложка!$L$22+Меню!DE223*Обложка!$L$23+Меню!DE236*Обложка!$L$24+Меню!DE$241*Обложка!$L$25)/1000</f>
        <v>0</v>
      </c>
      <c r="DF14" s="866">
        <f>(DF208*Обложка!$L$22+Меню!DF223*Обложка!$L$23+Меню!DF236*Обложка!$L$24+Меню!DF$241*Обложка!$L$25)/1000</f>
        <v>0</v>
      </c>
      <c r="DG14" s="866">
        <f>(DG208*Обложка!$L$22+Меню!DG223*Обложка!$L$23+Меню!DG236*Обложка!$L$24+Меню!DG$241*Обложка!$L$25)/1000</f>
        <v>0</v>
      </c>
      <c r="DH14" s="866">
        <f>(DH208*Обложка!$L$22+Меню!DH223*Обложка!$L$23+Меню!DH236*Обложка!$L$24+Меню!DH$241*Обложка!$L$25)/1000</f>
        <v>0</v>
      </c>
      <c r="DI14" s="866">
        <f>(DI208*Обложка!$L$22+Меню!DI223*Обложка!$L$23+Меню!DI236*Обложка!$L$24+Меню!DI$241*Обложка!$L$25)/1000</f>
        <v>0</v>
      </c>
      <c r="DJ14" s="866">
        <f>(DJ208*Обложка!$L$22+Меню!DJ223*Обложка!$L$23+Меню!DJ236*Обложка!$L$24+Меню!DJ$241*Обложка!$L$25)/1000</f>
        <v>0</v>
      </c>
      <c r="DK14" s="868">
        <f>(DK208*Обложка!$L$22+Меню!DK223*Обложка!$L$23+Меню!DK236*Обложка!$L$24+Меню!DK$241*Обложка!$L$25)/1000</f>
        <v>0</v>
      </c>
      <c r="DL14" s="869"/>
      <c r="DM14" s="870"/>
      <c r="DN14" s="870"/>
      <c r="DO14" s="871"/>
    </row>
    <row r="15" spans="2:123" s="860" customFormat="1" ht="19.5" hidden="1" customHeight="1" outlineLevel="1" x14ac:dyDescent="0.25">
      <c r="B15" s="861"/>
      <c r="C15" s="862"/>
      <c r="D15" s="861"/>
      <c r="E15" s="863"/>
      <c r="F15" s="862"/>
      <c r="G15" s="862"/>
      <c r="H15" s="862"/>
      <c r="I15" s="864" t="s">
        <v>285</v>
      </c>
      <c r="J15" s="865">
        <f>J253*Обложка!$N$22+Меню!J268*Обложка!$N$23+Меню!J281*Обложка!$N$24+Меню!J$286*Обложка!$N$25</f>
        <v>0</v>
      </c>
      <c r="K15" s="866">
        <f>(K253*Обложка!$N$22+Меню!K268*Обложка!$N$23+Меню!K281*Обложка!$N$24+Меню!K$286*Обложка!$N$25)/1000</f>
        <v>0</v>
      </c>
      <c r="L15" s="866">
        <f>(L253*Обложка!$N$22+Меню!L268*Обложка!$N$23+Меню!L281*Обложка!$N$24+Меню!L$286*Обложка!$N$25)/1000</f>
        <v>0</v>
      </c>
      <c r="M15" s="866">
        <f>(M253*Обложка!$N$22+Меню!M268*Обложка!$N$23+Меню!M281*Обложка!$N$24+Меню!M$286*Обложка!$N$25)/1000</f>
        <v>0</v>
      </c>
      <c r="N15" s="866">
        <f>(N253*Обложка!$N$22+Меню!N268*Обложка!$N$23+Меню!N281*Обложка!$N$24+Меню!N$286*Обложка!$N$25)/1000</f>
        <v>0</v>
      </c>
      <c r="O15" s="866">
        <f>(O253*Обложка!$N$22+Меню!O268*Обложка!$N$23+Меню!O281*Обложка!$N$24+Меню!O$286*Обложка!$N$25)/1000</f>
        <v>0</v>
      </c>
      <c r="P15" s="866">
        <f>(P253*Обложка!$N$22+Меню!P268*Обложка!$N$23+Меню!P281*Обложка!$N$24+Меню!P$286*Обложка!$N$25)/1000</f>
        <v>0</v>
      </c>
      <c r="Q15" s="866">
        <f>(Q253*Обложка!$N$22+Меню!Q268*Обложка!$N$23+Меню!Q281*Обложка!$N$24+Меню!Q$286*Обложка!$N$25)/1000</f>
        <v>0</v>
      </c>
      <c r="R15" s="866">
        <f>(R253*Обложка!$N$22+Меню!R268*Обложка!$N$23+Меню!R281*Обложка!$N$24+Меню!R$286*Обложка!$N$25)/1000</f>
        <v>0</v>
      </c>
      <c r="S15" s="866">
        <f>(S253*Обложка!$N$22+Меню!S268*Обложка!$N$23+Меню!S281*Обложка!$N$24+Меню!S$286*Обложка!$N$25)/1000</f>
        <v>0</v>
      </c>
      <c r="T15" s="866">
        <f>(T253*Обложка!$N$22+Меню!T268*Обложка!$N$23+Меню!T281*Обложка!$N$24+Меню!T$286*Обложка!$N$25)/1000</f>
        <v>0</v>
      </c>
      <c r="U15" s="866">
        <f>(U253*Обложка!$N$22+Меню!U268*Обложка!$N$23+Меню!U281*Обложка!$N$24+Меню!U$286*Обложка!$N$25)/1000</f>
        <v>0</v>
      </c>
      <c r="V15" s="866">
        <f>(V253*Обложка!$N$22+Меню!V268*Обложка!$N$23+Меню!V281*Обложка!$N$24+Меню!V$286*Обложка!$N$25)/1000</f>
        <v>0</v>
      </c>
      <c r="W15" s="866">
        <f>(W253*Обложка!$N$22+Меню!W268*Обложка!$N$23+Меню!W281*Обложка!$N$24+Меню!W$286*Обложка!$N$25)/1000</f>
        <v>0</v>
      </c>
      <c r="X15" s="866">
        <f>(X253*Обложка!$N$22+Меню!X268*Обложка!$N$23+Меню!X281*Обложка!$N$24+Меню!X$286*Обложка!$N$25)/1000</f>
        <v>0</v>
      </c>
      <c r="Y15" s="866">
        <f>(Y253*Обложка!$N$22+Меню!Y268*Обложка!$N$23+Меню!Y281*Обложка!$N$24+Меню!Y$286*Обложка!$N$25)/1000</f>
        <v>0</v>
      </c>
      <c r="Z15" s="866">
        <f>(Z253*Обложка!$N$22+Меню!Z268*Обложка!$N$23+Меню!Z281*Обложка!$N$24+Меню!Z$286*Обложка!$N$25)/1000</f>
        <v>0</v>
      </c>
      <c r="AA15" s="866">
        <f>(AA253*Обложка!$N$22+Меню!AA268*Обложка!$N$23+Меню!AA281*Обложка!$N$24+Меню!AA$286*Обложка!$N$25)/1000</f>
        <v>0</v>
      </c>
      <c r="AB15" s="866">
        <f>(AB253*Обложка!$N$22+Меню!AB268*Обложка!$N$23+Меню!AB281*Обложка!$N$24+Меню!AB$286*Обложка!$N$25)/1000</f>
        <v>0</v>
      </c>
      <c r="AC15" s="866">
        <f>(AC253*Обложка!$N$22+Меню!AC268*Обложка!$N$23+Меню!AC281*Обложка!$N$24+Меню!AC$286*Обложка!$N$25)/1000</f>
        <v>0</v>
      </c>
      <c r="AD15" s="866">
        <f>(AD253*Обложка!$N$22+Меню!AD268*Обложка!$N$23+Меню!AD281*Обложка!$N$24+Меню!AD$286*Обложка!$N$25)/1000</f>
        <v>0</v>
      </c>
      <c r="AE15" s="866">
        <f>(AE253*Обложка!$N$22+Меню!AE268*Обложка!$N$23+Меню!AE281*Обложка!$N$24+Меню!AE$286*Обложка!$N$25)/1000</f>
        <v>0</v>
      </c>
      <c r="AF15" s="866">
        <f>(AF253*Обложка!$N$22+Меню!AF268*Обложка!$N$23+Меню!AF281*Обложка!$N$24+Меню!AF$286*Обложка!$N$25)/1000</f>
        <v>0</v>
      </c>
      <c r="AG15" s="866">
        <f>(AG253*Обложка!$N$22+Меню!AG268*Обложка!$N$23+Меню!AG281*Обложка!$N$24+Меню!AG$286*Обложка!$N$25)/1000</f>
        <v>0</v>
      </c>
      <c r="AH15" s="866">
        <f>(AH253*Обложка!$N$22+Меню!AH268*Обложка!$N$23+Меню!AH281*Обложка!$N$24+Меню!AH$286*Обложка!$N$25)/1000</f>
        <v>0</v>
      </c>
      <c r="AI15" s="866">
        <f>(AI253*Обложка!$N$22+Меню!AI268*Обложка!$N$23+Меню!AI281*Обложка!$N$24+Меню!AI$286*Обложка!$N$25)/1000</f>
        <v>0</v>
      </c>
      <c r="AJ15" s="866">
        <f>(AJ253*Обложка!$N$22+Меню!AJ268*Обложка!$N$23+Меню!AJ281*Обложка!$N$24+Меню!AJ$286*Обложка!$N$25)/1000</f>
        <v>0</v>
      </c>
      <c r="AK15" s="866">
        <f>(AK253*Обложка!$N$22+Меню!AK268*Обложка!$N$23+Меню!AK281*Обложка!$N$24+Меню!AK$286*Обложка!$N$25)/1000</f>
        <v>0</v>
      </c>
      <c r="AL15" s="866">
        <f>(AL253*Обложка!$N$22+Меню!AL268*Обложка!$N$23+Меню!AL281*Обложка!$N$24+Меню!AL$286*Обложка!$N$25)/1000</f>
        <v>0</v>
      </c>
      <c r="AM15" s="866">
        <f>(AM253*Обложка!$N$22+Меню!AM268*Обложка!$N$23+Меню!AM281*Обложка!$N$24+Меню!AM$286*Обложка!$N$25)/1000</f>
        <v>0</v>
      </c>
      <c r="AN15" s="866">
        <f>(AN253*Обложка!$N$22+Меню!AN268*Обложка!$N$23+Меню!AN281*Обложка!$N$24+Меню!AN$286*Обложка!$N$25)/1000</f>
        <v>0</v>
      </c>
      <c r="AO15" s="866">
        <f>(AO253*Обложка!$N$22+Меню!AO268*Обложка!$N$23+Меню!AO281*Обложка!$N$24+Меню!AO$286*Обложка!$N$25)/1000</f>
        <v>0</v>
      </c>
      <c r="AP15" s="866">
        <f>(AP253*Обложка!$N$22+Меню!AP268*Обложка!$N$23+Меню!AP281*Обложка!$N$24+Меню!AP$286*Обложка!$N$25)/1000</f>
        <v>0</v>
      </c>
      <c r="AQ15" s="866">
        <f>(AQ253*Обложка!$N$22+Меню!AQ268*Обложка!$N$23+Меню!AQ281*Обложка!$N$24+Меню!AQ$286*Обложка!$N$25)/1000</f>
        <v>0</v>
      </c>
      <c r="AR15" s="866">
        <f>(AR253*Обложка!$N$22+Меню!AR268*Обложка!$N$23+Меню!AR281*Обложка!$N$24+Меню!AR$286*Обложка!$N$25)/1000</f>
        <v>0</v>
      </c>
      <c r="AS15" s="866">
        <f>(AS253*Обложка!$N$22+Меню!AS268*Обложка!$N$23+Меню!AS281*Обложка!$N$24+Меню!AS$286*Обложка!$N$25)/1000</f>
        <v>0</v>
      </c>
      <c r="AT15" s="866">
        <f>(AT253*Обложка!$N$22+Меню!AT268*Обложка!$N$23+Меню!AT281*Обложка!$N$24+Меню!AT$286*Обложка!$N$25)/1000</f>
        <v>0</v>
      </c>
      <c r="AU15" s="866">
        <f>(AU253*Обложка!$N$22+Меню!AU268*Обложка!$N$23+Меню!AU281*Обложка!$N$24+Меню!AU$286*Обложка!$N$25)/1000</f>
        <v>0</v>
      </c>
      <c r="AV15" s="866">
        <f>(AV253*Обложка!$N$22+Меню!AV268*Обложка!$N$23+Меню!AV281*Обложка!$N$24+Меню!AV$286*Обложка!$N$25)/1000</f>
        <v>0</v>
      </c>
      <c r="AW15" s="866">
        <f>(AW253*Обложка!$N$22+Меню!AW268*Обложка!$N$23+Меню!AW281*Обложка!$N$24+Меню!AW$286*Обложка!$N$25)/1000</f>
        <v>0</v>
      </c>
      <c r="AX15" s="866">
        <f>(AX253*Обложка!$N$22+Меню!AX268*Обложка!$N$23+Меню!AX281*Обложка!$N$24+Меню!AX$286*Обложка!$N$25)/1000</f>
        <v>0</v>
      </c>
      <c r="AY15" s="866">
        <f>(AY253*Обложка!$N$22+Меню!AY268*Обложка!$N$23+Меню!AY281*Обложка!$N$24+Меню!AY$286*Обложка!$N$25)/1000</f>
        <v>0</v>
      </c>
      <c r="AZ15" s="866">
        <f>(AZ253*Обложка!$N$22+Меню!AZ268*Обложка!$N$23+Меню!AZ281*Обложка!$N$24+Меню!AZ$286*Обложка!$N$25)/1000</f>
        <v>0</v>
      </c>
      <c r="BA15" s="866">
        <f>(BA253*Обложка!$N$22+Меню!BA268*Обложка!$N$23+Меню!BA281*Обложка!$N$24+Меню!BA$286*Обложка!$N$25)/1000</f>
        <v>0</v>
      </c>
      <c r="BB15" s="867">
        <f>(BB253*Обложка!$N$22+Меню!BB268*Обложка!$N$23+Меню!BB281*Обложка!$N$24+Меню!BB$286*Обложка!$N$25)/1000</f>
        <v>0</v>
      </c>
      <c r="BC15" s="866">
        <f>(BC253*Обложка!$N$22+Меню!BC268*Обложка!$N$23+Меню!BC281*Обложка!$N$24+Меню!BC$286*Обложка!$N$25)/1000</f>
        <v>0</v>
      </c>
      <c r="BD15" s="866">
        <f>(BD253*Обложка!$N$22+Меню!BD268*Обложка!$N$23+Меню!BD281*Обложка!$N$24+Меню!BD$286*Обложка!$N$25)/1000</f>
        <v>0</v>
      </c>
      <c r="BE15" s="866">
        <f>(BE253*Обложка!$N$22+Меню!BE268*Обложка!$N$23+Меню!BE281*Обложка!$N$24+Меню!BE$286*Обложка!$N$25)/1000</f>
        <v>0</v>
      </c>
      <c r="BF15" s="866">
        <f>(BF253*Обложка!$N$22+Меню!BF268*Обложка!$N$23+Меню!BF281*Обложка!$N$24+Меню!BF$286*Обложка!$N$25)/1000</f>
        <v>0</v>
      </c>
      <c r="BG15" s="866">
        <f>(BG253*Обложка!$N$22+Меню!BG268*Обложка!$N$23+Меню!BG281*Обложка!$N$24+Меню!BG$286*Обложка!$N$25)/1000</f>
        <v>0</v>
      </c>
      <c r="BH15" s="866">
        <f>(BH253*Обложка!$N$22+Меню!BH268*Обложка!$N$23+Меню!BH281*Обложка!$N$24+Меню!BH$286*Обложка!$N$25)/1000</f>
        <v>0</v>
      </c>
      <c r="BI15" s="866">
        <f>(BI253*Обложка!$N$22+Меню!BI268*Обложка!$N$23+Меню!BI281*Обложка!$N$24+Меню!BI$286*Обложка!$N$25)/1000</f>
        <v>0</v>
      </c>
      <c r="BJ15" s="866">
        <f>(BJ253*Обложка!$N$22+Меню!BJ268*Обложка!$N$23+Меню!BJ281*Обложка!$N$24+Меню!BJ$286*Обложка!$N$25)/1000</f>
        <v>0</v>
      </c>
      <c r="BK15" s="866">
        <f>(BK253*Обложка!$N$22+Меню!BK268*Обложка!$N$23+Меню!BK281*Обложка!$N$24+Меню!BK$286*Обложка!$N$25)/1000</f>
        <v>0</v>
      </c>
      <c r="BL15" s="866">
        <f>(BL253*Обложка!$N$22+Меню!BL268*Обложка!$N$23+Меню!BL281*Обложка!$N$24+Меню!BL$286*Обложка!$N$25)/1000</f>
        <v>0</v>
      </c>
      <c r="BM15" s="866">
        <f>(BM253*Обложка!$N$22+Меню!BM268*Обложка!$N$23+Меню!BM281*Обложка!$N$24+Меню!BM$286*Обложка!$N$25)/1000</f>
        <v>0</v>
      </c>
      <c r="BN15" s="866">
        <f>(BN253*Обложка!$N$22+Меню!BN268*Обложка!$N$23+Меню!BN281*Обложка!$N$24+Меню!BN$286*Обложка!$N$25)/1000</f>
        <v>0</v>
      </c>
      <c r="BO15" s="866">
        <f>(BO253*Обложка!$N$22+Меню!BO268*Обложка!$N$23+Меню!BO281*Обложка!$N$24+Меню!BO$286*Обложка!$N$25)/1000</f>
        <v>0</v>
      </c>
      <c r="BP15" s="866">
        <f>(BP253*Обложка!$N$22+Меню!BP268*Обложка!$N$23+Меню!BP281*Обложка!$N$24+Меню!BP$286*Обложка!$N$25)/1000</f>
        <v>0</v>
      </c>
      <c r="BQ15" s="866">
        <f>(BQ253*Обложка!$N$22+Меню!BQ268*Обложка!$N$23+Меню!BQ281*Обложка!$N$24+Меню!BQ$286*Обложка!$N$25)/1000</f>
        <v>0</v>
      </c>
      <c r="BR15" s="866">
        <f>(BR253*Обложка!$N$22+Меню!BR268*Обложка!$N$23+Меню!BR281*Обложка!$N$24+Меню!BR$286*Обложка!$N$25)/1000</f>
        <v>0</v>
      </c>
      <c r="BS15" s="866">
        <f>(BS253*Обложка!$N$22+Меню!BS268*Обложка!$N$23+Меню!BS281*Обложка!$N$24+Меню!BS$286*Обложка!$N$25)/1000</f>
        <v>0</v>
      </c>
      <c r="BT15" s="866">
        <f>(BT253*Обложка!$N$22+Меню!BT268*Обложка!$N$23+Меню!BT281*Обложка!$N$24+Меню!BT$286*Обложка!$N$25)/1000</f>
        <v>0</v>
      </c>
      <c r="BU15" s="866">
        <f>(BU253*Обложка!$N$22+Меню!BU268*Обложка!$N$23+Меню!BU281*Обложка!$N$24+Меню!BU$286*Обложка!$N$25)/1000</f>
        <v>0</v>
      </c>
      <c r="BV15" s="866">
        <f>(BV253*Обложка!$N$22+Меню!BV268*Обложка!$N$23+Меню!BV281*Обложка!$N$24+Меню!BV$286*Обложка!$N$25)/1000</f>
        <v>0</v>
      </c>
      <c r="BW15" s="866">
        <f>(BW253*Обложка!$N$22+Меню!BW268*Обложка!$N$23+Меню!BW281*Обложка!$N$24+Меню!BW$286*Обложка!$N$25)/1000</f>
        <v>0</v>
      </c>
      <c r="BX15" s="866">
        <f>(BX253*Обложка!$N$22+Меню!BX268*Обложка!$N$23+Меню!BX281*Обложка!$N$24+Меню!BX$286*Обложка!$N$25)/1000</f>
        <v>0</v>
      </c>
      <c r="BY15" s="866">
        <f>(BY253*Обложка!$N$22+Меню!BY268*Обложка!$N$23+Меню!BY281*Обложка!$N$24+Меню!BY$286*Обложка!$N$25)/1000</f>
        <v>0</v>
      </c>
      <c r="BZ15" s="866">
        <f>(BZ253*Обложка!$N$22+Меню!BZ268*Обложка!$N$23+Меню!BZ281*Обложка!$N$24+Меню!BZ$286*Обложка!$N$25)/1000</f>
        <v>0</v>
      </c>
      <c r="CA15" s="866">
        <f>(CA253*Обложка!$N$22+Меню!CA268*Обложка!$N$23+Меню!CA281*Обложка!$N$24+Меню!CA$286*Обложка!$N$25)/1000</f>
        <v>0</v>
      </c>
      <c r="CB15" s="866">
        <f>(CB253*Обложка!$N$22+Меню!CB268*Обложка!$N$23+Меню!CB281*Обложка!$N$24+Меню!CB$286*Обложка!$N$25)/1000</f>
        <v>0</v>
      </c>
      <c r="CC15" s="866">
        <f>(CC253*Обложка!$N$22+Меню!CC268*Обложка!$N$23+Меню!CC281*Обложка!$N$24+Меню!CC$286*Обложка!$N$25)/1000</f>
        <v>0</v>
      </c>
      <c r="CD15" s="866">
        <f>(CD253*Обложка!$N$22+Меню!CD268*Обложка!$N$23+Меню!CD281*Обложка!$N$24+Меню!CD$286*Обложка!$N$25)/1000</f>
        <v>0</v>
      </c>
      <c r="CE15" s="866">
        <f>(CE253*Обложка!$N$22+Меню!CE268*Обложка!$N$23+Меню!CE281*Обложка!$N$24+Меню!CE$286*Обложка!$N$25)/1000</f>
        <v>0</v>
      </c>
      <c r="CF15" s="866">
        <f>(CF253*Обложка!$N$22+Меню!CF268*Обложка!$N$23+Меню!CF281*Обложка!$N$24+Меню!CF$286*Обложка!$N$25)/1000</f>
        <v>0</v>
      </c>
      <c r="CG15" s="866">
        <f>(CG253*Обложка!$N$22+Меню!CG268*Обложка!$N$23+Меню!CG281*Обложка!$N$24+Меню!CG$286*Обложка!$N$25)/1000</f>
        <v>0</v>
      </c>
      <c r="CH15" s="866">
        <f>(CH253*Обложка!$N$22+Меню!CH268*Обложка!$N$23+Меню!CH281*Обложка!$N$24+Меню!CH$286*Обложка!$N$25)/1000</f>
        <v>0</v>
      </c>
      <c r="CI15" s="866">
        <f>(CI253*Обложка!$N$22+Меню!CI268*Обложка!$N$23+Меню!CI281*Обложка!$N$24+Меню!CI$286*Обложка!$N$25)/1000</f>
        <v>0</v>
      </c>
      <c r="CJ15" s="866">
        <f>(CJ253*Обложка!$N$22+Меню!CJ268*Обложка!$N$23+Меню!CJ281*Обложка!$N$24+Меню!CJ$286*Обложка!$N$25)/1000</f>
        <v>0</v>
      </c>
      <c r="CK15" s="866">
        <f>(CK253*Обложка!$N$22+Меню!CK268*Обложка!$N$23+Меню!CK281*Обложка!$N$24+Меню!CK$286*Обложка!$N$25)/1000</f>
        <v>0</v>
      </c>
      <c r="CL15" s="866">
        <f>(CL253*Обложка!$N$22+Меню!CL268*Обложка!$N$23+Меню!CL281*Обложка!$N$24+Меню!CL$286*Обложка!$N$25)/1000</f>
        <v>0</v>
      </c>
      <c r="CM15" s="866">
        <f>(CM253*Обложка!$N$22+Меню!CM268*Обложка!$N$23+Меню!CM281*Обложка!$N$24+Меню!CM$286*Обложка!$N$25)/1000</f>
        <v>0</v>
      </c>
      <c r="CN15" s="866">
        <f>(CN253*Обложка!$N$22+Меню!CN268*Обложка!$N$23+Меню!CN281*Обложка!$N$24+Меню!CN$286*Обложка!$N$25)/1000</f>
        <v>0</v>
      </c>
      <c r="CO15" s="866">
        <f>(CO253*Обложка!$N$22+Меню!CO268*Обложка!$N$23+Меню!CO281*Обложка!$N$24+Меню!CO$286*Обложка!$N$25)/1000</f>
        <v>0</v>
      </c>
      <c r="CP15" s="866">
        <f>(CP253*Обложка!$N$22+Меню!CP268*Обложка!$N$23+Меню!CP281*Обложка!$N$24+Меню!CP$286*Обложка!$N$25)/1000</f>
        <v>0</v>
      </c>
      <c r="CQ15" s="866">
        <f>(CQ253*Обложка!$N$22+Меню!CQ268*Обложка!$N$23+Меню!CQ281*Обложка!$N$24+Меню!CQ$286*Обложка!$N$25)/1000</f>
        <v>0</v>
      </c>
      <c r="CR15" s="866">
        <f>(CR253*Обложка!$N$22+Меню!CR268*Обложка!$N$23+Меню!CR281*Обложка!$N$24+Меню!CR$286*Обложка!$N$25)/1000</f>
        <v>0</v>
      </c>
      <c r="CS15" s="866">
        <f>(CS253*Обложка!$N$22+Меню!CS268*Обложка!$N$23+Меню!CS281*Обложка!$N$24+Меню!CS$286*Обложка!$N$25)/1000</f>
        <v>0</v>
      </c>
      <c r="CT15" s="866">
        <f>(CT253*Обложка!$N$22+Меню!CT268*Обложка!$N$23+Меню!CT281*Обложка!$N$24+Меню!CT$286*Обложка!$N$25)/1000</f>
        <v>0</v>
      </c>
      <c r="CU15" s="866">
        <f>(CU253*Обложка!$N$22+Меню!CU268*Обложка!$N$23+Меню!CU281*Обложка!$N$24+Меню!CU$286*Обложка!$N$25)/1000</f>
        <v>0</v>
      </c>
      <c r="CV15" s="866">
        <f>(CV253*Обложка!$N$22+Меню!CV268*Обложка!$N$23+Меню!CV281*Обложка!$N$24+Меню!CV$286*Обложка!$N$25)/1000</f>
        <v>0</v>
      </c>
      <c r="CW15" s="866">
        <f>(CW253*Обложка!$N$22+Меню!CW268*Обложка!$N$23+Меню!CW281*Обложка!$N$24+Меню!CW$286*Обложка!$N$25)/1000</f>
        <v>0</v>
      </c>
      <c r="CX15" s="866">
        <f>(CX253*Обложка!$N$22+Меню!CX268*Обложка!$N$23+Меню!CX281*Обложка!$N$24+Меню!CX$286*Обложка!$N$25)/1000</f>
        <v>0</v>
      </c>
      <c r="CY15" s="866">
        <f>(CY253*Обложка!$N$22+Меню!CY268*Обложка!$N$23+Меню!CY281*Обложка!$N$24+Меню!CY$286*Обложка!$N$25)/1000</f>
        <v>0</v>
      </c>
      <c r="CZ15" s="866">
        <f>(CZ253*Обложка!$N$22+Меню!CZ268*Обложка!$N$23+Меню!CZ281*Обложка!$N$24+Меню!CZ$286*Обложка!$N$25)/1000</f>
        <v>0</v>
      </c>
      <c r="DA15" s="866">
        <f>(DA253*Обложка!$N$22+Меню!DA268*Обложка!$N$23+Меню!DA281*Обложка!$N$24+Меню!DA$286*Обложка!$N$25)/1000</f>
        <v>0</v>
      </c>
      <c r="DB15" s="866">
        <f>(DB253*Обложка!$N$22+Меню!DB268*Обложка!$N$23+Меню!DB281*Обложка!$N$24+Меню!DB$286*Обложка!$N$25)/1000</f>
        <v>0</v>
      </c>
      <c r="DC15" s="866">
        <f>(DC253*Обложка!$N$22+Меню!DC268*Обложка!$N$23+Меню!DC281*Обложка!$N$24+Меню!DC$286*Обложка!$N$25)/1000</f>
        <v>0</v>
      </c>
      <c r="DD15" s="866">
        <f>(DD253*Обложка!$N$22+Меню!DD268*Обложка!$N$23+Меню!DD281*Обложка!$N$24+Меню!DD$286*Обложка!$N$25)/1000</f>
        <v>0</v>
      </c>
      <c r="DE15" s="866">
        <f>(DE253*Обложка!$N$22+Меню!DE268*Обложка!$N$23+Меню!DE281*Обложка!$N$24+Меню!DE$286*Обложка!$N$25)/1000</f>
        <v>0</v>
      </c>
      <c r="DF15" s="866">
        <f>(DF253*Обложка!$N$22+Меню!DF268*Обложка!$N$23+Меню!DF281*Обложка!$N$24+Меню!DF$286*Обложка!$N$25)/1000</f>
        <v>0</v>
      </c>
      <c r="DG15" s="866">
        <f>(DG253*Обложка!$N$22+Меню!DG268*Обложка!$N$23+Меню!DG281*Обложка!$N$24+Меню!DG$286*Обложка!$N$25)/1000</f>
        <v>0</v>
      </c>
      <c r="DH15" s="866">
        <f>(DH253*Обложка!$N$22+Меню!DH268*Обложка!$N$23+Меню!DH281*Обложка!$N$24+Меню!DH$286*Обложка!$N$25)/1000</f>
        <v>0</v>
      </c>
      <c r="DI15" s="866">
        <f>(DI253*Обложка!$N$22+Меню!DI268*Обложка!$N$23+Меню!DI281*Обложка!$N$24+Меню!DI$286*Обложка!$N$25)/1000</f>
        <v>0</v>
      </c>
      <c r="DJ15" s="866">
        <f>(DJ253*Обложка!$N$22+Меню!DJ268*Обложка!$N$23+Меню!DJ281*Обложка!$N$24+Меню!DJ$286*Обложка!$N$25)/1000</f>
        <v>0</v>
      </c>
      <c r="DK15" s="868">
        <f>(DK253*Обложка!$N$22+Меню!DK268*Обложка!$N$23+Меню!DK281*Обложка!$N$24+Меню!DK$286*Обложка!$N$25)/1000</f>
        <v>0</v>
      </c>
      <c r="DL15" s="869"/>
      <c r="DM15" s="870"/>
      <c r="DN15" s="870"/>
      <c r="DO15" s="871"/>
    </row>
    <row r="16" spans="2:123" s="860" customFormat="1" ht="19.5" hidden="1" customHeight="1" outlineLevel="1" x14ac:dyDescent="0.25">
      <c r="B16" s="861"/>
      <c r="C16" s="862"/>
      <c r="D16" s="861"/>
      <c r="E16" s="863"/>
      <c r="F16" s="862"/>
      <c r="G16" s="862"/>
      <c r="H16" s="862"/>
      <c r="I16" s="864" t="s">
        <v>286</v>
      </c>
      <c r="J16" s="865">
        <f>J298*Обложка!$P$22+Меню!J313*Обложка!$P$23+Меню!J326*Обложка!$P$24+Меню!J$331*Обложка!$P$25</f>
        <v>0</v>
      </c>
      <c r="K16" s="866">
        <f>(K298*Обложка!$P$22+Меню!K313*Обложка!$P$23+Меню!K326*Обложка!$P$24+Меню!K$331*Обложка!$P$25)/1000</f>
        <v>0</v>
      </c>
      <c r="L16" s="866">
        <f>(L298*Обложка!$P$22+Меню!L313*Обложка!$P$23+Меню!L326*Обложка!$P$24+Меню!L$331*Обложка!$P$25)/1000</f>
        <v>0</v>
      </c>
      <c r="M16" s="866">
        <f>(M298*Обложка!$P$22+Меню!M313*Обложка!$P$23+Меню!M326*Обложка!$P$24+Меню!M$331*Обложка!$P$25)/1000</f>
        <v>0</v>
      </c>
      <c r="N16" s="866">
        <f>(N298*Обложка!$P$22+Меню!N313*Обложка!$P$23+Меню!N326*Обложка!$P$24+Меню!N$331*Обложка!$P$25)/1000</f>
        <v>0</v>
      </c>
      <c r="O16" s="866">
        <f>(O298*Обложка!$P$22+Меню!O313*Обложка!$P$23+Меню!O326*Обложка!$P$24+Меню!O$331*Обложка!$P$25)/1000</f>
        <v>0</v>
      </c>
      <c r="P16" s="866">
        <f>(P298*Обложка!$P$22+Меню!P313*Обложка!$P$23+Меню!P326*Обложка!$P$24+Меню!P$331*Обложка!$P$25)/1000</f>
        <v>0</v>
      </c>
      <c r="Q16" s="866">
        <f>(Q298*Обложка!$P$22+Меню!Q313*Обложка!$P$23+Меню!Q326*Обложка!$P$24+Меню!Q$331*Обложка!$P$25)/1000</f>
        <v>0</v>
      </c>
      <c r="R16" s="866">
        <f>(R298*Обложка!$P$22+Меню!R313*Обложка!$P$23+Меню!R326*Обложка!$P$24+Меню!R$331*Обложка!$P$25)/1000</f>
        <v>0</v>
      </c>
      <c r="S16" s="866">
        <f>(S298*Обложка!$P$22+Меню!S313*Обложка!$P$23+Меню!S326*Обложка!$P$24+Меню!S$331*Обложка!$P$25)/1000</f>
        <v>0</v>
      </c>
      <c r="T16" s="866">
        <f>(T298*Обложка!$P$22+Меню!T313*Обложка!$P$23+Меню!T326*Обложка!$P$24+Меню!T$331*Обложка!$P$25)/1000</f>
        <v>0</v>
      </c>
      <c r="U16" s="866">
        <f>(U298*Обложка!$P$22+Меню!U313*Обложка!$P$23+Меню!U326*Обложка!$P$24+Меню!U$331*Обложка!$P$25)/1000</f>
        <v>0</v>
      </c>
      <c r="V16" s="866">
        <f>(V298*Обложка!$P$22+Меню!V313*Обложка!$P$23+Меню!V326*Обложка!$P$24+Меню!V$331*Обложка!$P$25)/1000</f>
        <v>0</v>
      </c>
      <c r="W16" s="866">
        <f>(W298*Обложка!$P$22+Меню!W313*Обложка!$P$23+Меню!W326*Обложка!$P$24+Меню!W$331*Обложка!$P$25)/1000</f>
        <v>0</v>
      </c>
      <c r="X16" s="866">
        <f>(X298*Обложка!$P$22+Меню!X313*Обложка!$P$23+Меню!X326*Обложка!$P$24+Меню!X$331*Обложка!$P$25)/1000</f>
        <v>0</v>
      </c>
      <c r="Y16" s="866">
        <f>(Y298*Обложка!$P$22+Меню!Y313*Обложка!$P$23+Меню!Y326*Обложка!$P$24+Меню!Y$331*Обложка!$P$25)/1000</f>
        <v>0</v>
      </c>
      <c r="Z16" s="866">
        <f>(Z298*Обложка!$P$22+Меню!Z313*Обложка!$P$23+Меню!Z326*Обложка!$P$24+Меню!Z$331*Обложка!$P$25)/1000</f>
        <v>0</v>
      </c>
      <c r="AA16" s="866">
        <f>(AA298*Обложка!$P$22+Меню!AA313*Обложка!$P$23+Меню!AA326*Обложка!$P$24+Меню!AA$331*Обложка!$P$25)/1000</f>
        <v>0</v>
      </c>
      <c r="AB16" s="866">
        <f>(AB298*Обложка!$P$22+Меню!AB313*Обложка!$P$23+Меню!AB326*Обложка!$P$24+Меню!AB$331*Обложка!$P$25)/1000</f>
        <v>0</v>
      </c>
      <c r="AC16" s="866">
        <f>(AC298*Обложка!$P$22+Меню!AC313*Обложка!$P$23+Меню!AC326*Обложка!$P$24+Меню!AC$331*Обложка!$P$25)/1000</f>
        <v>0</v>
      </c>
      <c r="AD16" s="866">
        <f>(AD298*Обложка!$P$22+Меню!AD313*Обложка!$P$23+Меню!AD326*Обложка!$P$24+Меню!AD$331*Обложка!$P$25)/1000</f>
        <v>0</v>
      </c>
      <c r="AE16" s="866">
        <f>(AE298*Обложка!$P$22+Меню!AE313*Обложка!$P$23+Меню!AE326*Обложка!$P$24+Меню!AE$331*Обложка!$P$25)/1000</f>
        <v>0</v>
      </c>
      <c r="AF16" s="866">
        <f>(AF298*Обложка!$P$22+Меню!AF313*Обложка!$P$23+Меню!AF326*Обложка!$P$24+Меню!AF$331*Обложка!$P$25)/1000</f>
        <v>0</v>
      </c>
      <c r="AG16" s="866">
        <f>(AG298*Обложка!$P$22+Меню!AG313*Обложка!$P$23+Меню!AG326*Обложка!$P$24+Меню!AG$331*Обложка!$P$25)/1000</f>
        <v>0</v>
      </c>
      <c r="AH16" s="866">
        <f>(AH298*Обложка!$P$22+Меню!AH313*Обложка!$P$23+Меню!AH326*Обложка!$P$24+Меню!AH$331*Обложка!$P$25)/1000</f>
        <v>0</v>
      </c>
      <c r="AI16" s="866">
        <f>(AI298*Обложка!$P$22+Меню!AI313*Обложка!$P$23+Меню!AI326*Обложка!$P$24+Меню!AI$331*Обложка!$P$25)/1000</f>
        <v>0</v>
      </c>
      <c r="AJ16" s="866">
        <f>(AJ298*Обложка!$P$22+Меню!AJ313*Обложка!$P$23+Меню!AJ326*Обложка!$P$24+Меню!AJ$331*Обложка!$P$25)/1000</f>
        <v>0</v>
      </c>
      <c r="AK16" s="866">
        <f>(AK298*Обложка!$P$22+Меню!AK313*Обложка!$P$23+Меню!AK326*Обложка!$P$24+Меню!AK$331*Обложка!$P$25)/1000</f>
        <v>0</v>
      </c>
      <c r="AL16" s="866">
        <f>(AL298*Обложка!$P$22+Меню!AL313*Обложка!$P$23+Меню!AL326*Обложка!$P$24+Меню!AL$331*Обложка!$P$25)/1000</f>
        <v>0</v>
      </c>
      <c r="AM16" s="866">
        <f>(AM298*Обложка!$P$22+Меню!AM313*Обложка!$P$23+Меню!AM326*Обложка!$P$24+Меню!AM$331*Обложка!$P$25)/1000</f>
        <v>0</v>
      </c>
      <c r="AN16" s="866">
        <f>(AN298*Обложка!$P$22+Меню!AN313*Обложка!$P$23+Меню!AN326*Обложка!$P$24+Меню!AN$331*Обложка!$P$25)/1000</f>
        <v>0</v>
      </c>
      <c r="AO16" s="866">
        <f>(AO298*Обложка!$P$22+Меню!AO313*Обложка!$P$23+Меню!AO326*Обложка!$P$24+Меню!AO$331*Обложка!$P$25)/1000</f>
        <v>0</v>
      </c>
      <c r="AP16" s="866">
        <f>(AP298*Обложка!$P$22+Меню!AP313*Обложка!$P$23+Меню!AP326*Обложка!$P$24+Меню!AP$331*Обложка!$P$25)/1000</f>
        <v>0</v>
      </c>
      <c r="AQ16" s="866">
        <f>(AQ298*Обложка!$P$22+Меню!AQ313*Обложка!$P$23+Меню!AQ326*Обложка!$P$24+Меню!AQ$331*Обложка!$P$25)/1000</f>
        <v>0</v>
      </c>
      <c r="AR16" s="866">
        <f>(AR298*Обложка!$P$22+Меню!AR313*Обложка!$P$23+Меню!AR326*Обложка!$P$24+Меню!AR$331*Обложка!$P$25)/1000</f>
        <v>0</v>
      </c>
      <c r="AS16" s="866">
        <f>(AS298*Обложка!$P$22+Меню!AS313*Обложка!$P$23+Меню!AS326*Обложка!$P$24+Меню!AS$331*Обложка!$P$25)/1000</f>
        <v>0</v>
      </c>
      <c r="AT16" s="866">
        <f>(AT298*Обложка!$P$22+Меню!AT313*Обложка!$P$23+Меню!AT326*Обложка!$P$24+Меню!AT$331*Обложка!$P$25)/1000</f>
        <v>0</v>
      </c>
      <c r="AU16" s="866">
        <f>(AU298*Обложка!$P$22+Меню!AU313*Обложка!$P$23+Меню!AU326*Обложка!$P$24+Меню!AU$331*Обложка!$P$25)/1000</f>
        <v>0</v>
      </c>
      <c r="AV16" s="866">
        <f>(AV298*Обложка!$P$22+Меню!AV313*Обложка!$P$23+Меню!AV326*Обложка!$P$24+Меню!AV$331*Обложка!$P$25)/1000</f>
        <v>0</v>
      </c>
      <c r="AW16" s="866">
        <f>(AW298*Обложка!$P$22+Меню!AW313*Обложка!$P$23+Меню!AW326*Обложка!$P$24+Меню!AW$331*Обложка!$P$25)/1000</f>
        <v>0</v>
      </c>
      <c r="AX16" s="866">
        <f>(AX298*Обложка!$P$22+Меню!AX313*Обложка!$P$23+Меню!AX326*Обложка!$P$24+Меню!AX$331*Обложка!$P$25)/1000</f>
        <v>0</v>
      </c>
      <c r="AY16" s="866">
        <f>(AY298*Обложка!$P$22+Меню!AY313*Обложка!$P$23+Меню!AY326*Обложка!$P$24+Меню!AY$331*Обложка!$P$25)/1000</f>
        <v>0</v>
      </c>
      <c r="AZ16" s="866">
        <f>(AZ298*Обложка!$P$22+Меню!AZ313*Обложка!$P$23+Меню!AZ326*Обложка!$P$24+Меню!AZ$331*Обложка!$P$25)/1000</f>
        <v>0</v>
      </c>
      <c r="BA16" s="866">
        <f>(BA298*Обложка!$P$22+Меню!BA313*Обложка!$P$23+Меню!BA326*Обложка!$P$24+Меню!BA$331*Обложка!$P$25)/1000</f>
        <v>0</v>
      </c>
      <c r="BB16" s="867">
        <f>(BB298*Обложка!$P$22+Меню!BB313*Обложка!$P$23+Меню!BB326*Обложка!$P$24+Меню!BB$331*Обложка!$P$25)/1000</f>
        <v>0</v>
      </c>
      <c r="BC16" s="866">
        <f>(BC298*Обложка!$P$22+Меню!BC313*Обложка!$P$23+Меню!BC326*Обложка!$P$24+Меню!BC$331*Обложка!$P$25)/1000</f>
        <v>0</v>
      </c>
      <c r="BD16" s="866">
        <f>(BD298*Обложка!$P$22+Меню!BD313*Обложка!$P$23+Меню!BD326*Обложка!$P$24+Меню!BD$331*Обложка!$P$25)/1000</f>
        <v>0</v>
      </c>
      <c r="BE16" s="866">
        <f>(BE298*Обложка!$P$22+Меню!BE313*Обложка!$P$23+Меню!BE326*Обложка!$P$24+Меню!BE$331*Обложка!$P$25)/1000</f>
        <v>0</v>
      </c>
      <c r="BF16" s="866">
        <f>(BF298*Обложка!$P$22+Меню!BF313*Обложка!$P$23+Меню!BF326*Обложка!$P$24+Меню!BF$331*Обложка!$P$25)/1000</f>
        <v>0</v>
      </c>
      <c r="BG16" s="866">
        <f>(BG298*Обложка!$P$22+Меню!BG313*Обложка!$P$23+Меню!BG326*Обложка!$P$24+Меню!BG$331*Обложка!$P$25)/1000</f>
        <v>0</v>
      </c>
      <c r="BH16" s="866">
        <f>(BH298*Обложка!$P$22+Меню!BH313*Обложка!$P$23+Меню!BH326*Обложка!$P$24+Меню!BH$331*Обложка!$P$25)/1000</f>
        <v>0</v>
      </c>
      <c r="BI16" s="866">
        <f>(BI298*Обложка!$P$22+Меню!BI313*Обложка!$P$23+Меню!BI326*Обложка!$P$24+Меню!BI$331*Обложка!$P$25)/1000</f>
        <v>0</v>
      </c>
      <c r="BJ16" s="866">
        <f>(BJ298*Обложка!$P$22+Меню!BJ313*Обложка!$P$23+Меню!BJ326*Обложка!$P$24+Меню!BJ$331*Обложка!$P$25)/1000</f>
        <v>0</v>
      </c>
      <c r="BK16" s="866">
        <f>(BK298*Обложка!$P$22+Меню!BK313*Обложка!$P$23+Меню!BK326*Обложка!$P$24+Меню!BK$331*Обложка!$P$25)/1000</f>
        <v>0</v>
      </c>
      <c r="BL16" s="866">
        <f>(BL298*Обложка!$P$22+Меню!BL313*Обложка!$P$23+Меню!BL326*Обложка!$P$24+Меню!BL$331*Обложка!$P$25)/1000</f>
        <v>0</v>
      </c>
      <c r="BM16" s="866">
        <f>(BM298*Обложка!$P$22+Меню!BM313*Обложка!$P$23+Меню!BM326*Обложка!$P$24+Меню!BM$331*Обложка!$P$25)/1000</f>
        <v>0</v>
      </c>
      <c r="BN16" s="866">
        <f>(BN298*Обложка!$P$22+Меню!BN313*Обложка!$P$23+Меню!BN326*Обложка!$P$24+Меню!BN$331*Обложка!$P$25)/1000</f>
        <v>0</v>
      </c>
      <c r="BO16" s="866">
        <f>(BO298*Обложка!$P$22+Меню!BO313*Обложка!$P$23+Меню!BO326*Обложка!$P$24+Меню!BO$331*Обложка!$P$25)/1000</f>
        <v>0</v>
      </c>
      <c r="BP16" s="866">
        <f>(BP298*Обложка!$P$22+Меню!BP313*Обложка!$P$23+Меню!BP326*Обложка!$P$24+Меню!BP$331*Обложка!$P$25)/1000</f>
        <v>0</v>
      </c>
      <c r="BQ16" s="866">
        <f>(BQ298*Обложка!$P$22+Меню!BQ313*Обложка!$P$23+Меню!BQ326*Обложка!$P$24+Меню!BQ$331*Обложка!$P$25)/1000</f>
        <v>0</v>
      </c>
      <c r="BR16" s="866">
        <f>(BR298*Обложка!$P$22+Меню!BR313*Обложка!$P$23+Меню!BR326*Обложка!$P$24+Меню!BR$331*Обложка!$P$25)/1000</f>
        <v>0</v>
      </c>
      <c r="BS16" s="866">
        <f>(BS298*Обложка!$P$22+Меню!BS313*Обложка!$P$23+Меню!BS326*Обложка!$P$24+Меню!BS$331*Обложка!$P$25)/1000</f>
        <v>0</v>
      </c>
      <c r="BT16" s="866">
        <f>(BT298*Обложка!$P$22+Меню!BT313*Обложка!$P$23+Меню!BT326*Обложка!$P$24+Меню!BT$331*Обложка!$P$25)/1000</f>
        <v>0</v>
      </c>
      <c r="BU16" s="866">
        <f>(BU298*Обложка!$P$22+Меню!BU313*Обложка!$P$23+Меню!BU326*Обложка!$P$24+Меню!BU$331*Обложка!$P$25)/1000</f>
        <v>0</v>
      </c>
      <c r="BV16" s="866">
        <f>(BV298*Обложка!$P$22+Меню!BV313*Обложка!$P$23+Меню!BV326*Обложка!$P$24+Меню!BV$331*Обложка!$P$25)/1000</f>
        <v>0</v>
      </c>
      <c r="BW16" s="866">
        <f>(BW298*Обложка!$P$22+Меню!BW313*Обложка!$P$23+Меню!BW326*Обложка!$P$24+Меню!BW$331*Обложка!$P$25)/1000</f>
        <v>0</v>
      </c>
      <c r="BX16" s="866">
        <f>(BX298*Обложка!$P$22+Меню!BX313*Обложка!$P$23+Меню!BX326*Обложка!$P$24+Меню!BX$331*Обложка!$P$25)/1000</f>
        <v>0</v>
      </c>
      <c r="BY16" s="866">
        <f>(BY298*Обложка!$P$22+Меню!BY313*Обложка!$P$23+Меню!BY326*Обложка!$P$24+Меню!BY$331*Обложка!$P$25)/1000</f>
        <v>0</v>
      </c>
      <c r="BZ16" s="866">
        <f>(BZ298*Обложка!$P$22+Меню!BZ313*Обложка!$P$23+Меню!BZ326*Обложка!$P$24+Меню!BZ$331*Обложка!$P$25)/1000</f>
        <v>0</v>
      </c>
      <c r="CA16" s="866">
        <f>(CA298*Обложка!$P$22+Меню!CA313*Обложка!$P$23+Меню!CA326*Обложка!$P$24+Меню!CA$331*Обложка!$P$25)/1000</f>
        <v>0</v>
      </c>
      <c r="CB16" s="866">
        <f>(CB298*Обложка!$P$22+Меню!CB313*Обложка!$P$23+Меню!CB326*Обложка!$P$24+Меню!CB$331*Обложка!$P$25)/1000</f>
        <v>0</v>
      </c>
      <c r="CC16" s="866">
        <f>(CC298*Обложка!$P$22+Меню!CC313*Обложка!$P$23+Меню!CC326*Обложка!$P$24+Меню!CC$331*Обложка!$P$25)/1000</f>
        <v>0</v>
      </c>
      <c r="CD16" s="866">
        <f>(CD298*Обложка!$P$22+Меню!CD313*Обложка!$P$23+Меню!CD326*Обложка!$P$24+Меню!CD$331*Обложка!$P$25)/1000</f>
        <v>0</v>
      </c>
      <c r="CE16" s="866">
        <f>(CE298*Обложка!$P$22+Меню!CE313*Обложка!$P$23+Меню!CE326*Обложка!$P$24+Меню!CE$331*Обложка!$P$25)/1000</f>
        <v>0</v>
      </c>
      <c r="CF16" s="866">
        <f>(CF298*Обложка!$P$22+Меню!CF313*Обложка!$P$23+Меню!CF326*Обложка!$P$24+Меню!CF$331*Обложка!$P$25)/1000</f>
        <v>0</v>
      </c>
      <c r="CG16" s="866">
        <f>(CG298*Обложка!$P$22+Меню!CG313*Обложка!$P$23+Меню!CG326*Обложка!$P$24+Меню!CG$331*Обложка!$P$25)/1000</f>
        <v>0</v>
      </c>
      <c r="CH16" s="866">
        <f>(CH298*Обложка!$P$22+Меню!CH313*Обложка!$P$23+Меню!CH326*Обложка!$P$24+Меню!CH$331*Обложка!$P$25)/1000</f>
        <v>0</v>
      </c>
      <c r="CI16" s="866">
        <f>(CI298*Обложка!$P$22+Меню!CI313*Обложка!$P$23+Меню!CI326*Обложка!$P$24+Меню!CI$331*Обложка!$P$25)/1000</f>
        <v>0</v>
      </c>
      <c r="CJ16" s="866">
        <f>(CJ298*Обложка!$P$22+Меню!CJ313*Обложка!$P$23+Меню!CJ326*Обложка!$P$24+Меню!CJ$331*Обложка!$P$25)/1000</f>
        <v>0</v>
      </c>
      <c r="CK16" s="866">
        <f>(CK298*Обложка!$P$22+Меню!CK313*Обложка!$P$23+Меню!CK326*Обложка!$P$24+Меню!CK$331*Обложка!$P$25)/1000</f>
        <v>0</v>
      </c>
      <c r="CL16" s="866">
        <f>(CL298*Обложка!$P$22+Меню!CL313*Обложка!$P$23+Меню!CL326*Обложка!$P$24+Меню!CL$331*Обложка!$P$25)/1000</f>
        <v>0</v>
      </c>
      <c r="CM16" s="866">
        <f>(CM298*Обложка!$P$22+Меню!CM313*Обложка!$P$23+Меню!CM326*Обложка!$P$24+Меню!CM$331*Обложка!$P$25)/1000</f>
        <v>0</v>
      </c>
      <c r="CN16" s="866">
        <f>(CN298*Обложка!$P$22+Меню!CN313*Обложка!$P$23+Меню!CN326*Обложка!$P$24+Меню!CN$331*Обложка!$P$25)/1000</f>
        <v>0</v>
      </c>
      <c r="CO16" s="866">
        <f>(CO298*Обложка!$P$22+Меню!CO313*Обложка!$P$23+Меню!CO326*Обложка!$P$24+Меню!CO$331*Обложка!$P$25)/1000</f>
        <v>0</v>
      </c>
      <c r="CP16" s="866">
        <f>(CP298*Обложка!$P$22+Меню!CP313*Обложка!$P$23+Меню!CP326*Обложка!$P$24+Меню!CP$331*Обложка!$P$25)/1000</f>
        <v>0</v>
      </c>
      <c r="CQ16" s="866">
        <f>(CQ298*Обложка!$P$22+Меню!CQ313*Обложка!$P$23+Меню!CQ326*Обложка!$P$24+Меню!CQ$331*Обложка!$P$25)/1000</f>
        <v>0</v>
      </c>
      <c r="CR16" s="866">
        <f>(CR298*Обложка!$P$22+Меню!CR313*Обложка!$P$23+Меню!CR326*Обложка!$P$24+Меню!CR$331*Обложка!$P$25)/1000</f>
        <v>0</v>
      </c>
      <c r="CS16" s="866">
        <f>(CS298*Обложка!$P$22+Меню!CS313*Обложка!$P$23+Меню!CS326*Обложка!$P$24+Меню!CS$331*Обложка!$P$25)/1000</f>
        <v>0</v>
      </c>
      <c r="CT16" s="866">
        <f>(CT298*Обложка!$P$22+Меню!CT313*Обложка!$P$23+Меню!CT326*Обложка!$P$24+Меню!CT$331*Обложка!$P$25)/1000</f>
        <v>0</v>
      </c>
      <c r="CU16" s="866">
        <f>(CU298*Обложка!$P$22+Меню!CU313*Обложка!$P$23+Меню!CU326*Обложка!$P$24+Меню!CU$331*Обложка!$P$25)/1000</f>
        <v>0</v>
      </c>
      <c r="CV16" s="866">
        <f>(CV298*Обложка!$P$22+Меню!CV313*Обложка!$P$23+Меню!CV326*Обложка!$P$24+Меню!CV$331*Обложка!$P$25)/1000</f>
        <v>0</v>
      </c>
      <c r="CW16" s="866">
        <f>(CW298*Обложка!$P$22+Меню!CW313*Обложка!$P$23+Меню!CW326*Обложка!$P$24+Меню!CW$331*Обложка!$P$25)/1000</f>
        <v>0</v>
      </c>
      <c r="CX16" s="866">
        <f>(CX298*Обложка!$P$22+Меню!CX313*Обложка!$P$23+Меню!CX326*Обложка!$P$24+Меню!CX$331*Обложка!$P$25)/1000</f>
        <v>0</v>
      </c>
      <c r="CY16" s="866">
        <f>(CY298*Обложка!$P$22+Меню!CY313*Обложка!$P$23+Меню!CY326*Обложка!$P$24+Меню!CY$331*Обложка!$P$25)/1000</f>
        <v>0</v>
      </c>
      <c r="CZ16" s="866">
        <f>(CZ298*Обложка!$P$22+Меню!CZ313*Обложка!$P$23+Меню!CZ326*Обложка!$P$24+Меню!CZ$331*Обложка!$P$25)/1000</f>
        <v>0</v>
      </c>
      <c r="DA16" s="866">
        <f>(DA298*Обложка!$P$22+Меню!DA313*Обложка!$P$23+Меню!DA326*Обложка!$P$24+Меню!DA$331*Обложка!$P$25)/1000</f>
        <v>0</v>
      </c>
      <c r="DB16" s="866">
        <f>(DB298*Обложка!$P$22+Меню!DB313*Обложка!$P$23+Меню!DB326*Обложка!$P$24+Меню!DB$331*Обложка!$P$25)/1000</f>
        <v>0</v>
      </c>
      <c r="DC16" s="866">
        <f>(DC298*Обложка!$P$22+Меню!DC313*Обложка!$P$23+Меню!DC326*Обложка!$P$24+Меню!DC$331*Обложка!$P$25)/1000</f>
        <v>0</v>
      </c>
      <c r="DD16" s="866">
        <f>(DD298*Обложка!$P$22+Меню!DD313*Обложка!$P$23+Меню!DD326*Обложка!$P$24+Меню!DD$331*Обложка!$P$25)/1000</f>
        <v>0</v>
      </c>
      <c r="DE16" s="866">
        <f>(DE298*Обложка!$P$22+Меню!DE313*Обложка!$P$23+Меню!DE326*Обложка!$P$24+Меню!DE$331*Обложка!$P$25)/1000</f>
        <v>0</v>
      </c>
      <c r="DF16" s="866">
        <f>(DF298*Обложка!$P$22+Меню!DF313*Обложка!$P$23+Меню!DF326*Обложка!$P$24+Меню!DF$331*Обложка!$P$25)/1000</f>
        <v>0</v>
      </c>
      <c r="DG16" s="866">
        <f>(DG298*Обложка!$P$22+Меню!DG313*Обложка!$P$23+Меню!DG326*Обложка!$P$24+Меню!DG$331*Обложка!$P$25)/1000</f>
        <v>0</v>
      </c>
      <c r="DH16" s="866">
        <f>(DH298*Обложка!$P$22+Меню!DH313*Обложка!$P$23+Меню!DH326*Обложка!$P$24+Меню!DH$331*Обложка!$P$25)/1000</f>
        <v>0</v>
      </c>
      <c r="DI16" s="866">
        <f>(DI298*Обложка!$P$22+Меню!DI313*Обложка!$P$23+Меню!DI326*Обложка!$P$24+Меню!DI$331*Обложка!$P$25)/1000</f>
        <v>0</v>
      </c>
      <c r="DJ16" s="866">
        <f>(DJ298*Обложка!$P$22+Меню!DJ313*Обложка!$P$23+Меню!DJ326*Обложка!$P$24+Меню!DJ$331*Обложка!$P$25)/1000</f>
        <v>0</v>
      </c>
      <c r="DK16" s="868">
        <f>(DK298*Обложка!$P$22+Меню!DK313*Обложка!$P$23+Меню!DK326*Обложка!$P$24+Меню!DK$331*Обложка!$P$25)/1000</f>
        <v>0</v>
      </c>
      <c r="DL16" s="869"/>
      <c r="DM16" s="870"/>
      <c r="DN16" s="870"/>
      <c r="DO16" s="871"/>
    </row>
    <row r="17" spans="2:123" s="882" customFormat="1" ht="37.5" customHeight="1" collapsed="1" thickBot="1" x14ac:dyDescent="0.3">
      <c r="B17" s="883"/>
      <c r="C17" s="884"/>
      <c r="D17" s="883"/>
      <c r="E17" s="885"/>
      <c r="F17" s="884"/>
      <c r="G17" s="884"/>
      <c r="H17" s="884"/>
      <c r="I17" s="886" t="s">
        <v>173</v>
      </c>
      <c r="J17" s="887">
        <f>J9-SUM(J10:J16)</f>
        <v>28166</v>
      </c>
      <c r="K17" s="888">
        <f t="shared" ref="K17:CJ17" si="0">K9-SUM(K10:K16)</f>
        <v>56977.31</v>
      </c>
      <c r="L17" s="888">
        <f t="shared" si="0"/>
        <v>38990.85</v>
      </c>
      <c r="M17" s="888">
        <f t="shared" si="0"/>
        <v>66000</v>
      </c>
      <c r="N17" s="888">
        <f t="shared" si="0"/>
        <v>87000</v>
      </c>
      <c r="O17" s="888">
        <f t="shared" si="0"/>
        <v>50989.504000000001</v>
      </c>
      <c r="P17" s="888">
        <f t="shared" si="0"/>
        <v>83979.82</v>
      </c>
      <c r="Q17" s="888">
        <f t="shared" si="0"/>
        <v>54991.375</v>
      </c>
      <c r="R17" s="888">
        <f t="shared" si="0"/>
        <v>0</v>
      </c>
      <c r="S17" s="888">
        <f t="shared" si="0"/>
        <v>0</v>
      </c>
      <c r="T17" s="888">
        <f t="shared" si="0"/>
        <v>97982.604999999996</v>
      </c>
      <c r="U17" s="889">
        <f t="shared" si="0"/>
        <v>73992.7</v>
      </c>
      <c r="V17" s="889">
        <f t="shared" si="0"/>
        <v>42978.504999999997</v>
      </c>
      <c r="W17" s="889">
        <f t="shared" si="0"/>
        <v>191886.85699999999</v>
      </c>
      <c r="X17" s="889">
        <f t="shared" si="0"/>
        <v>51987.127999999997</v>
      </c>
      <c r="Y17" s="889">
        <f t="shared" si="0"/>
        <v>90982.644</v>
      </c>
      <c r="Z17" s="890">
        <f t="shared" si="0"/>
        <v>24983.325000000001</v>
      </c>
      <c r="AA17" s="890">
        <f t="shared" si="0"/>
        <v>66991.460000000006</v>
      </c>
      <c r="AB17" s="890">
        <f t="shared" ref="AB17:AD17" si="1">AB9-SUM(AB10:AB16)</f>
        <v>0</v>
      </c>
      <c r="AC17" s="890">
        <f t="shared" si="1"/>
        <v>0</v>
      </c>
      <c r="AD17" s="890">
        <f t="shared" si="1"/>
        <v>0</v>
      </c>
      <c r="AE17" s="889">
        <f t="shared" si="0"/>
        <v>28991.95</v>
      </c>
      <c r="AF17" s="889">
        <f t="shared" si="0"/>
        <v>7000</v>
      </c>
      <c r="AG17" s="889">
        <f t="shared" si="0"/>
        <v>45993.412499999999</v>
      </c>
      <c r="AH17" s="889">
        <f t="shared" si="0"/>
        <v>11999.512000000001</v>
      </c>
      <c r="AI17" s="889">
        <f t="shared" ref="AI17:AL17" si="2">AI9-SUM(AI10:AI16)</f>
        <v>43000</v>
      </c>
      <c r="AJ17" s="889">
        <f t="shared" si="2"/>
        <v>0</v>
      </c>
      <c r="AK17" s="889">
        <f t="shared" si="2"/>
        <v>0</v>
      </c>
      <c r="AL17" s="889">
        <f t="shared" si="2"/>
        <v>0</v>
      </c>
      <c r="AM17" s="889">
        <f t="shared" si="0"/>
        <v>0</v>
      </c>
      <c r="AN17" s="889">
        <f t="shared" ref="AN17" si="3">AN9-SUM(AN10:AN16)</f>
        <v>0</v>
      </c>
      <c r="AO17" s="888">
        <f t="shared" si="0"/>
        <v>0</v>
      </c>
      <c r="AP17" s="888">
        <f t="shared" si="0"/>
        <v>-8.6080000000000005</v>
      </c>
      <c r="AQ17" s="888">
        <f t="shared" ref="AQ17" si="4">AQ9-SUM(AQ10:AQ16)</f>
        <v>0</v>
      </c>
      <c r="AR17" s="888">
        <f t="shared" si="0"/>
        <v>64945.05</v>
      </c>
      <c r="AS17" s="888">
        <f t="shared" si="0"/>
        <v>-83.9</v>
      </c>
      <c r="AT17" s="888">
        <f t="shared" si="0"/>
        <v>0</v>
      </c>
      <c r="AU17" s="888">
        <f t="shared" si="0"/>
        <v>59927</v>
      </c>
      <c r="AV17" s="888">
        <f t="shared" si="0"/>
        <v>22000</v>
      </c>
      <c r="AW17" s="891">
        <f t="shared" si="0"/>
        <v>21000</v>
      </c>
      <c r="AX17" s="891">
        <f t="shared" ref="AX17:AY17" si="5">AX9-SUM(AX10:AX16)</f>
        <v>0</v>
      </c>
      <c r="AY17" s="891">
        <f t="shared" si="5"/>
        <v>0</v>
      </c>
      <c r="AZ17" s="888">
        <f t="shared" si="0"/>
        <v>1000</v>
      </c>
      <c r="BA17" s="888">
        <f t="shared" si="0"/>
        <v>26993.612499999999</v>
      </c>
      <c r="BB17" s="888">
        <f t="shared" si="0"/>
        <v>296.63499999999999</v>
      </c>
      <c r="BC17" s="888">
        <f t="shared" si="0"/>
        <v>0</v>
      </c>
      <c r="BD17" s="888">
        <f t="shared" si="0"/>
        <v>0</v>
      </c>
      <c r="BE17" s="888">
        <f t="shared" si="0"/>
        <v>15996.445</v>
      </c>
      <c r="BF17" s="888">
        <f t="shared" si="0"/>
        <v>38987.35</v>
      </c>
      <c r="BG17" s="891">
        <f t="shared" si="0"/>
        <v>14990.112999999999</v>
      </c>
      <c r="BH17" s="891">
        <f t="shared" si="0"/>
        <v>-2.44</v>
      </c>
      <c r="BI17" s="891">
        <f t="shared" si="0"/>
        <v>0</v>
      </c>
      <c r="BJ17" s="891">
        <f t="shared" si="0"/>
        <v>0</v>
      </c>
      <c r="BK17" s="888">
        <f t="shared" si="0"/>
        <v>67987.0625</v>
      </c>
      <c r="BL17" s="888">
        <f t="shared" si="0"/>
        <v>-10.435</v>
      </c>
      <c r="BM17" s="888">
        <f t="shared" si="0"/>
        <v>73000</v>
      </c>
      <c r="BN17" s="888">
        <f t="shared" si="0"/>
        <v>39981.699999999997</v>
      </c>
      <c r="BO17" s="888">
        <f t="shared" si="0"/>
        <v>56955.96</v>
      </c>
      <c r="BP17" s="888">
        <f t="shared" si="0"/>
        <v>-31.76</v>
      </c>
      <c r="BQ17" s="888">
        <f t="shared" si="0"/>
        <v>14986.275</v>
      </c>
      <c r="BR17" s="888">
        <f t="shared" ref="BR17:BS17" si="6">BR9-SUM(BR10:BR16)</f>
        <v>12000</v>
      </c>
      <c r="BS17" s="888">
        <f t="shared" si="6"/>
        <v>46000</v>
      </c>
      <c r="BT17" s="888">
        <f t="shared" si="0"/>
        <v>46000</v>
      </c>
      <c r="BU17" s="888">
        <f t="shared" si="0"/>
        <v>87000</v>
      </c>
      <c r="BV17" s="888">
        <f t="shared" si="0"/>
        <v>0</v>
      </c>
      <c r="BW17" s="888">
        <f t="shared" si="0"/>
        <v>2999.9389999999999</v>
      </c>
      <c r="BX17" s="888">
        <f t="shared" si="0"/>
        <v>1999.8205</v>
      </c>
      <c r="BY17" s="888">
        <f t="shared" si="0"/>
        <v>3000</v>
      </c>
      <c r="BZ17" s="888">
        <f t="shared" si="0"/>
        <v>6500</v>
      </c>
      <c r="CA17" s="888">
        <f t="shared" si="0"/>
        <v>1800</v>
      </c>
      <c r="CB17" s="888">
        <f t="shared" ref="CB17" si="7">CB9-SUM(CB10:CB16)</f>
        <v>0</v>
      </c>
      <c r="CC17" s="888">
        <f t="shared" si="0"/>
        <v>4600</v>
      </c>
      <c r="CD17" s="888">
        <f t="shared" si="0"/>
        <v>3000</v>
      </c>
      <c r="CE17" s="888">
        <f t="shared" si="0"/>
        <v>85977.77</v>
      </c>
      <c r="CF17" s="888">
        <f t="shared" si="0"/>
        <v>10999.763000000001</v>
      </c>
      <c r="CG17" s="888">
        <f t="shared" si="0"/>
        <v>1999.4525000000001</v>
      </c>
      <c r="CH17" s="891">
        <f t="shared" si="0"/>
        <v>67926.600000000006</v>
      </c>
      <c r="CI17" s="888">
        <f t="shared" si="0"/>
        <v>1000</v>
      </c>
      <c r="CJ17" s="888">
        <f t="shared" si="0"/>
        <v>2997.1280000000002</v>
      </c>
      <c r="CK17" s="888">
        <f t="shared" ref="CK17:DK17" si="8">CK9-SUM(CK10:CK16)</f>
        <v>13997.128000000001</v>
      </c>
      <c r="CL17" s="888">
        <f t="shared" si="8"/>
        <v>52998.563999999998</v>
      </c>
      <c r="CM17" s="888">
        <f t="shared" si="8"/>
        <v>0</v>
      </c>
      <c r="CN17" s="888">
        <f t="shared" si="8"/>
        <v>0</v>
      </c>
      <c r="CO17" s="888">
        <f t="shared" si="8"/>
        <v>4000</v>
      </c>
      <c r="CP17" s="888">
        <f t="shared" si="8"/>
        <v>23000</v>
      </c>
      <c r="CQ17" s="888">
        <f t="shared" si="8"/>
        <v>77992.820000000007</v>
      </c>
      <c r="CR17" s="888">
        <f t="shared" si="8"/>
        <v>54000</v>
      </c>
      <c r="CS17" s="891">
        <f t="shared" si="8"/>
        <v>36000</v>
      </c>
      <c r="CT17" s="891">
        <f t="shared" si="8"/>
        <v>33985.78</v>
      </c>
      <c r="CU17" s="891">
        <f t="shared" si="8"/>
        <v>11000</v>
      </c>
      <c r="CV17" s="891">
        <f t="shared" si="8"/>
        <v>17000</v>
      </c>
      <c r="CW17" s="891">
        <f t="shared" si="8"/>
        <v>37000</v>
      </c>
      <c r="CX17" s="891">
        <f t="shared" si="8"/>
        <v>0</v>
      </c>
      <c r="CY17" s="891">
        <f t="shared" si="8"/>
        <v>0</v>
      </c>
      <c r="CZ17" s="891">
        <f t="shared" si="8"/>
        <v>0</v>
      </c>
      <c r="DA17" s="888">
        <f t="shared" si="8"/>
        <v>0</v>
      </c>
      <c r="DB17" s="888">
        <f t="shared" si="8"/>
        <v>0</v>
      </c>
      <c r="DC17" s="888">
        <f t="shared" si="8"/>
        <v>0</v>
      </c>
      <c r="DD17" s="888">
        <f t="shared" si="8"/>
        <v>0</v>
      </c>
      <c r="DE17" s="888">
        <f t="shared" si="8"/>
        <v>0</v>
      </c>
      <c r="DF17" s="888">
        <f t="shared" si="8"/>
        <v>0</v>
      </c>
      <c r="DG17" s="888">
        <f t="shared" si="8"/>
        <v>0</v>
      </c>
      <c r="DH17" s="888">
        <f t="shared" si="8"/>
        <v>0</v>
      </c>
      <c r="DI17" s="888">
        <f t="shared" si="8"/>
        <v>0</v>
      </c>
      <c r="DJ17" s="888">
        <f t="shared" si="8"/>
        <v>0</v>
      </c>
      <c r="DK17" s="892">
        <f t="shared" si="8"/>
        <v>0</v>
      </c>
      <c r="DL17" s="893"/>
      <c r="DM17" s="894"/>
      <c r="DN17" s="894"/>
      <c r="DO17" s="895"/>
    </row>
    <row r="18" spans="2:123" ht="32.1" hidden="1" customHeight="1" outlineLevel="1" thickBot="1" x14ac:dyDescent="0.3">
      <c r="B18" s="811" t="s">
        <v>132</v>
      </c>
      <c r="C18" s="812">
        <f>Обложка!D20</f>
        <v>45117</v>
      </c>
      <c r="D18" s="792" t="s">
        <v>133</v>
      </c>
      <c r="E18" s="772" t="s">
        <v>136</v>
      </c>
      <c r="F18" s="203" t="s">
        <v>3</v>
      </c>
      <c r="G18" s="204" t="s">
        <v>133</v>
      </c>
      <c r="H18" s="205" t="s">
        <v>136</v>
      </c>
      <c r="I18" s="896" t="s">
        <v>174</v>
      </c>
      <c r="J18" s="206"/>
      <c r="K18" s="206"/>
      <c r="L18" s="206"/>
      <c r="M18" s="206"/>
      <c r="N18" s="206"/>
      <c r="O18" s="206"/>
      <c r="P18" s="206"/>
      <c r="Q18" s="206"/>
      <c r="R18" s="206"/>
      <c r="S18" s="206"/>
      <c r="T18" s="206"/>
      <c r="U18" s="207"/>
      <c r="V18" s="207"/>
      <c r="W18" s="207"/>
      <c r="X18" s="207"/>
      <c r="Y18" s="207"/>
      <c r="Z18" s="207"/>
      <c r="AA18" s="207"/>
      <c r="AB18" s="207"/>
      <c r="AC18" s="207"/>
      <c r="AD18" s="207"/>
      <c r="AE18" s="207"/>
      <c r="AF18" s="207"/>
      <c r="AG18" s="207"/>
      <c r="AH18" s="207"/>
      <c r="AI18" s="207"/>
      <c r="AJ18" s="207"/>
      <c r="AK18" s="207"/>
      <c r="AL18" s="207"/>
      <c r="AM18" s="207"/>
      <c r="AN18" s="207"/>
      <c r="AO18" s="207"/>
      <c r="AP18" s="208"/>
      <c r="AQ18" s="208"/>
      <c r="AR18" s="208"/>
      <c r="AS18" s="208"/>
      <c r="AT18" s="208"/>
      <c r="AU18" s="209"/>
      <c r="AV18" s="209"/>
      <c r="AW18" s="209"/>
      <c r="AX18" s="209"/>
      <c r="AY18" s="209"/>
      <c r="AZ18" s="209"/>
      <c r="BA18" s="210"/>
      <c r="BB18" s="210"/>
      <c r="BC18" s="210"/>
      <c r="BD18" s="210"/>
      <c r="BE18" s="206"/>
      <c r="BF18" s="206"/>
      <c r="BG18" s="206"/>
      <c r="BH18" s="206"/>
      <c r="BI18" s="206"/>
      <c r="BJ18" s="211"/>
      <c r="BK18" s="207"/>
      <c r="BL18" s="207"/>
      <c r="BM18" s="207"/>
      <c r="BN18" s="207"/>
      <c r="BO18" s="207"/>
      <c r="BP18" s="207">
        <v>80</v>
      </c>
      <c r="BQ18" s="207"/>
      <c r="BR18" s="207"/>
      <c r="BS18" s="207"/>
      <c r="BT18" s="207"/>
      <c r="BU18" s="207"/>
      <c r="BV18" s="207"/>
      <c r="BW18" s="208"/>
      <c r="BX18" s="208"/>
      <c r="BY18" s="208"/>
      <c r="BZ18" s="208"/>
      <c r="CA18" s="208"/>
      <c r="CB18" s="208"/>
      <c r="CC18" s="208"/>
      <c r="CD18" s="208"/>
      <c r="CE18" s="208"/>
      <c r="CF18" s="208"/>
      <c r="CG18" s="208"/>
      <c r="CH18" s="212"/>
      <c r="CI18" s="208"/>
      <c r="CJ18" s="208"/>
      <c r="CK18" s="208"/>
      <c r="CL18" s="208"/>
      <c r="CM18" s="208"/>
      <c r="CN18" s="208"/>
      <c r="CO18" s="209"/>
      <c r="CP18" s="209"/>
      <c r="CQ18" s="209"/>
      <c r="CR18" s="512"/>
      <c r="CS18" s="209"/>
      <c r="CT18" s="209"/>
      <c r="CU18" s="209"/>
      <c r="CV18" s="209"/>
      <c r="CW18" s="512"/>
      <c r="CX18" s="512"/>
      <c r="CY18" s="513"/>
      <c r="CZ18" s="209"/>
      <c r="DA18" s="209"/>
      <c r="DB18" s="209"/>
      <c r="DC18" s="206"/>
      <c r="DD18" s="206"/>
      <c r="DE18" s="206"/>
      <c r="DF18" s="206"/>
      <c r="DG18" s="206"/>
      <c r="DH18" s="206"/>
      <c r="DI18" s="206"/>
      <c r="DJ18" s="206"/>
      <c r="DK18" s="611"/>
      <c r="DL18" s="494">
        <f t="shared" ref="DL18:DL27" si="9">SUM(J18:S18)*5+SUM(V18:AF18)+AH18*4+U18*2.5+AG18/0.75</f>
        <v>0</v>
      </c>
      <c r="DM18" s="122">
        <f t="shared" ref="DM18:DM27" si="10">SUM(J18:DK18)</f>
        <v>80</v>
      </c>
      <c r="DN18" s="122">
        <f t="shared" ref="DN18:DN27" si="11">SUM(BK18:BV18,)</f>
        <v>80</v>
      </c>
      <c r="DO18" s="124">
        <f t="shared" ref="DO18:DO27" si="12">SUM(AT18:AV18)+SUM(AW18:AZ18)*5</f>
        <v>0</v>
      </c>
    </row>
    <row r="19" spans="2:123" ht="32.1" hidden="1" customHeight="1" outlineLevel="1" thickBot="1" x14ac:dyDescent="0.3">
      <c r="B19" s="813"/>
      <c r="C19" s="814"/>
      <c r="D19" s="792"/>
      <c r="E19" s="772"/>
      <c r="F19" s="213" t="s">
        <v>3</v>
      </c>
      <c r="G19" s="214" t="s">
        <v>133</v>
      </c>
      <c r="H19" s="215" t="s">
        <v>136</v>
      </c>
      <c r="I19" s="897" t="s">
        <v>175</v>
      </c>
      <c r="J19" s="216"/>
      <c r="K19" s="216"/>
      <c r="L19" s="216">
        <v>75</v>
      </c>
      <c r="M19" s="216"/>
      <c r="N19" s="216"/>
      <c r="O19" s="216"/>
      <c r="P19" s="216"/>
      <c r="Q19" s="216"/>
      <c r="R19" s="216"/>
      <c r="S19" s="216"/>
      <c r="T19" s="216"/>
      <c r="U19" s="21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217"/>
      <c r="AP19" s="218"/>
      <c r="AQ19" s="218"/>
      <c r="AR19" s="218"/>
      <c r="AS19" s="218"/>
      <c r="AT19" s="218"/>
      <c r="AU19" s="219">
        <v>200</v>
      </c>
      <c r="AV19" s="219"/>
      <c r="AW19" s="219"/>
      <c r="AX19" s="219"/>
      <c r="AY19" s="219"/>
      <c r="AZ19" s="219"/>
      <c r="BA19" s="220"/>
      <c r="BB19" s="220"/>
      <c r="BC19" s="220"/>
      <c r="BD19" s="220"/>
      <c r="BE19" s="216"/>
      <c r="BF19" s="216">
        <v>20</v>
      </c>
      <c r="BG19" s="216">
        <v>5</v>
      </c>
      <c r="BH19" s="216"/>
      <c r="BI19" s="216"/>
      <c r="BJ19" s="221"/>
      <c r="BK19" s="217"/>
      <c r="BL19" s="217"/>
      <c r="BM19" s="217"/>
      <c r="BN19" s="217"/>
      <c r="BO19" s="217"/>
      <c r="BP19" s="217"/>
      <c r="BQ19" s="217"/>
      <c r="BR19" s="217"/>
      <c r="BS19" s="217"/>
      <c r="BT19" s="217"/>
      <c r="BU19" s="217"/>
      <c r="BV19" s="217"/>
      <c r="BW19" s="218"/>
      <c r="BX19" s="218"/>
      <c r="BY19" s="218"/>
      <c r="BZ19" s="218"/>
      <c r="CA19" s="218"/>
      <c r="CB19" s="218"/>
      <c r="CC19" s="218"/>
      <c r="CD19" s="218"/>
      <c r="CE19" s="218"/>
      <c r="CF19" s="218"/>
      <c r="CG19" s="218"/>
      <c r="CH19" s="222"/>
      <c r="CI19" s="218"/>
      <c r="CJ19" s="218"/>
      <c r="CK19" s="218"/>
      <c r="CL19" s="218"/>
      <c r="CM19" s="218"/>
      <c r="CN19" s="218"/>
      <c r="CO19" s="219"/>
      <c r="CP19" s="219"/>
      <c r="CQ19" s="219"/>
      <c r="CR19" s="514"/>
      <c r="CS19" s="219"/>
      <c r="CT19" s="219"/>
      <c r="CU19" s="219"/>
      <c r="CV19" s="219"/>
      <c r="CW19" s="514"/>
      <c r="CX19" s="514"/>
      <c r="CY19" s="515"/>
      <c r="CZ19" s="219"/>
      <c r="DA19" s="219"/>
      <c r="DB19" s="219"/>
      <c r="DC19" s="216"/>
      <c r="DD19" s="216"/>
      <c r="DE19" s="216"/>
      <c r="DF19" s="216"/>
      <c r="DG19" s="216"/>
      <c r="DH19" s="216"/>
      <c r="DI19" s="216"/>
      <c r="DJ19" s="216"/>
      <c r="DK19" s="612"/>
      <c r="DL19" s="495">
        <f t="shared" si="9"/>
        <v>375</v>
      </c>
      <c r="DM19" s="84">
        <f t="shared" si="10"/>
        <v>300</v>
      </c>
      <c r="DN19" s="84">
        <f t="shared" si="11"/>
        <v>0</v>
      </c>
      <c r="DO19" s="125">
        <f t="shared" si="12"/>
        <v>200</v>
      </c>
    </row>
    <row r="20" spans="2:123" ht="32.1" hidden="1" customHeight="1" outlineLevel="1" thickBot="1" x14ac:dyDescent="0.3">
      <c r="B20" s="813"/>
      <c r="C20" s="814"/>
      <c r="D20" s="792"/>
      <c r="E20" s="773"/>
      <c r="F20" s="426" t="s">
        <v>3</v>
      </c>
      <c r="G20" s="488" t="s">
        <v>133</v>
      </c>
      <c r="H20" s="489" t="s">
        <v>136</v>
      </c>
      <c r="I20" s="898" t="s">
        <v>176</v>
      </c>
      <c r="J20" s="227"/>
      <c r="K20" s="227"/>
      <c r="L20" s="227"/>
      <c r="M20" s="227"/>
      <c r="N20" s="227"/>
      <c r="O20" s="227"/>
      <c r="P20" s="227"/>
      <c r="Q20" s="227"/>
      <c r="R20" s="227"/>
      <c r="S20" s="227"/>
      <c r="T20" s="227"/>
      <c r="U20" s="228">
        <v>20</v>
      </c>
      <c r="V20" s="228"/>
      <c r="W20" s="228"/>
      <c r="X20" s="228"/>
      <c r="Y20" s="228"/>
      <c r="Z20" s="228"/>
      <c r="AA20" s="228"/>
      <c r="AB20" s="228"/>
      <c r="AC20" s="228"/>
      <c r="AD20" s="228"/>
      <c r="AE20" s="228"/>
      <c r="AF20" s="228"/>
      <c r="AG20" s="228"/>
      <c r="AH20" s="228"/>
      <c r="AI20" s="228"/>
      <c r="AJ20" s="228"/>
      <c r="AK20" s="228"/>
      <c r="AL20" s="228"/>
      <c r="AM20" s="228"/>
      <c r="AN20" s="228"/>
      <c r="AO20" s="228"/>
      <c r="AP20" s="229"/>
      <c r="AQ20" s="229"/>
      <c r="AR20" s="229"/>
      <c r="AS20" s="229"/>
      <c r="AT20" s="229"/>
      <c r="AU20" s="230"/>
      <c r="AV20" s="230"/>
      <c r="AW20" s="230"/>
      <c r="AX20" s="230"/>
      <c r="AY20" s="230"/>
      <c r="AZ20" s="230"/>
      <c r="BA20" s="232"/>
      <c r="BB20" s="232"/>
      <c r="BC20" s="232"/>
      <c r="BD20" s="232"/>
      <c r="BE20" s="227"/>
      <c r="BF20" s="227"/>
      <c r="BG20" s="227"/>
      <c r="BH20" s="227"/>
      <c r="BI20" s="227"/>
      <c r="BJ20" s="233"/>
      <c r="BK20" s="228"/>
      <c r="BL20" s="228"/>
      <c r="BM20" s="228"/>
      <c r="BN20" s="228"/>
      <c r="BO20" s="228"/>
      <c r="BP20" s="228"/>
      <c r="BQ20" s="228"/>
      <c r="BR20" s="228"/>
      <c r="BS20" s="228"/>
      <c r="BT20" s="228"/>
      <c r="BU20" s="228"/>
      <c r="BV20" s="228"/>
      <c r="BW20" s="229"/>
      <c r="BX20" s="229"/>
      <c r="BY20" s="229"/>
      <c r="BZ20" s="229"/>
      <c r="CA20" s="229"/>
      <c r="CB20" s="229"/>
      <c r="CC20" s="229"/>
      <c r="CD20" s="229"/>
      <c r="CE20" s="229"/>
      <c r="CF20" s="229"/>
      <c r="CG20" s="229"/>
      <c r="CH20" s="235"/>
      <c r="CI20" s="229"/>
      <c r="CJ20" s="229"/>
      <c r="CK20" s="229"/>
      <c r="CL20" s="229"/>
      <c r="CM20" s="229"/>
      <c r="CN20" s="229"/>
      <c r="CO20" s="230"/>
      <c r="CP20" s="230"/>
      <c r="CQ20" s="230"/>
      <c r="CR20" s="516"/>
      <c r="CS20" s="230"/>
      <c r="CT20" s="230"/>
      <c r="CU20" s="230"/>
      <c r="CV20" s="230"/>
      <c r="CW20" s="516"/>
      <c r="CX20" s="516"/>
      <c r="CY20" s="517"/>
      <c r="CZ20" s="230"/>
      <c r="DA20" s="230"/>
      <c r="DB20" s="230"/>
      <c r="DC20" s="227"/>
      <c r="DD20" s="227"/>
      <c r="DE20" s="227"/>
      <c r="DF20" s="227"/>
      <c r="DG20" s="227"/>
      <c r="DH20" s="227"/>
      <c r="DI20" s="227"/>
      <c r="DJ20" s="227"/>
      <c r="DK20" s="613"/>
      <c r="DL20" s="496">
        <f t="shared" si="9"/>
        <v>50</v>
      </c>
      <c r="DM20" s="120">
        <f t="shared" si="10"/>
        <v>20</v>
      </c>
      <c r="DN20" s="120">
        <f t="shared" si="11"/>
        <v>0</v>
      </c>
      <c r="DO20" s="358">
        <f t="shared" si="12"/>
        <v>0</v>
      </c>
    </row>
    <row r="21" spans="2:123" ht="32.1" hidden="1" customHeight="1" outlineLevel="1" thickBot="1" x14ac:dyDescent="0.3">
      <c r="B21" s="813"/>
      <c r="C21" s="814"/>
      <c r="D21" s="792"/>
      <c r="E21" s="772" t="s">
        <v>137</v>
      </c>
      <c r="F21" s="429" t="s">
        <v>3</v>
      </c>
      <c r="G21" s="491" t="s">
        <v>133</v>
      </c>
      <c r="H21" s="205" t="s">
        <v>137</v>
      </c>
      <c r="I21" s="896" t="s">
        <v>177</v>
      </c>
      <c r="J21" s="206"/>
      <c r="K21" s="206"/>
      <c r="L21" s="206"/>
      <c r="M21" s="206"/>
      <c r="N21" s="206"/>
      <c r="O21" s="206"/>
      <c r="P21" s="206"/>
      <c r="Q21" s="206"/>
      <c r="R21" s="206"/>
      <c r="S21" s="206"/>
      <c r="T21" s="206"/>
      <c r="U21" s="207"/>
      <c r="V21" s="207"/>
      <c r="W21" s="207"/>
      <c r="X21" s="207"/>
      <c r="Y21" s="207"/>
      <c r="Z21" s="207"/>
      <c r="AA21" s="207"/>
      <c r="AB21" s="207"/>
      <c r="AC21" s="207"/>
      <c r="AD21" s="207"/>
      <c r="AE21" s="207"/>
      <c r="AF21" s="207"/>
      <c r="AG21" s="207"/>
      <c r="AH21" s="207"/>
      <c r="AI21" s="207"/>
      <c r="AJ21" s="207"/>
      <c r="AK21" s="207"/>
      <c r="AL21" s="207"/>
      <c r="AM21" s="207"/>
      <c r="AN21" s="207"/>
      <c r="AO21" s="207"/>
      <c r="AP21" s="208"/>
      <c r="AQ21" s="208"/>
      <c r="AR21" s="208"/>
      <c r="AS21" s="208"/>
      <c r="AT21" s="208"/>
      <c r="AU21" s="209"/>
      <c r="AV21" s="209"/>
      <c r="AW21" s="209"/>
      <c r="AX21" s="209"/>
      <c r="AY21" s="209"/>
      <c r="AZ21" s="209"/>
      <c r="BA21" s="210"/>
      <c r="BB21" s="210"/>
      <c r="BC21" s="210"/>
      <c r="BD21" s="210"/>
      <c r="BE21" s="206"/>
      <c r="BF21" s="206"/>
      <c r="BG21" s="206"/>
      <c r="BH21" s="206"/>
      <c r="BI21" s="206"/>
      <c r="BJ21" s="211"/>
      <c r="BK21" s="207"/>
      <c r="BL21" s="207">
        <v>20</v>
      </c>
      <c r="BM21" s="207"/>
      <c r="BN21" s="207"/>
      <c r="BO21" s="207"/>
      <c r="BP21" s="207"/>
      <c r="BQ21" s="207"/>
      <c r="BR21" s="207"/>
      <c r="BS21" s="207"/>
      <c r="BT21" s="207"/>
      <c r="BU21" s="207"/>
      <c r="BV21" s="207"/>
      <c r="BW21" s="208"/>
      <c r="BX21" s="208"/>
      <c r="BY21" s="208"/>
      <c r="BZ21" s="208"/>
      <c r="CA21" s="208"/>
      <c r="CB21" s="208"/>
      <c r="CC21" s="208"/>
      <c r="CD21" s="208"/>
      <c r="CE21" s="208"/>
      <c r="CF21" s="208"/>
      <c r="CG21" s="208"/>
      <c r="CH21" s="212"/>
      <c r="CI21" s="208"/>
      <c r="CJ21" s="208"/>
      <c r="CK21" s="208"/>
      <c r="CL21" s="208"/>
      <c r="CM21" s="208"/>
      <c r="CN21" s="208"/>
      <c r="CO21" s="209"/>
      <c r="CP21" s="209"/>
      <c r="CQ21" s="209"/>
      <c r="CR21" s="512"/>
      <c r="CS21" s="518"/>
      <c r="CT21" s="209"/>
      <c r="CU21" s="209"/>
      <c r="CV21" s="519"/>
      <c r="CW21" s="512"/>
      <c r="CX21" s="512"/>
      <c r="CY21" s="513"/>
      <c r="CZ21" s="209"/>
      <c r="DA21" s="209"/>
      <c r="DB21" s="209"/>
      <c r="DC21" s="206"/>
      <c r="DD21" s="206"/>
      <c r="DE21" s="206"/>
      <c r="DF21" s="206"/>
      <c r="DG21" s="206"/>
      <c r="DH21" s="206"/>
      <c r="DI21" s="206"/>
      <c r="DJ21" s="206"/>
      <c r="DK21" s="611"/>
      <c r="DL21" s="494">
        <f t="shared" si="9"/>
        <v>0</v>
      </c>
      <c r="DM21" s="122">
        <f t="shared" si="10"/>
        <v>20</v>
      </c>
      <c r="DN21" s="122">
        <f t="shared" si="11"/>
        <v>20</v>
      </c>
      <c r="DO21" s="124">
        <f t="shared" si="12"/>
        <v>0</v>
      </c>
    </row>
    <row r="22" spans="2:123" ht="32.1" hidden="1" customHeight="1" outlineLevel="1" thickBot="1" x14ac:dyDescent="0.3">
      <c r="B22" s="813"/>
      <c r="C22" s="814"/>
      <c r="D22" s="792"/>
      <c r="E22" s="772"/>
      <c r="F22" s="213" t="s">
        <v>3</v>
      </c>
      <c r="G22" s="214" t="s">
        <v>133</v>
      </c>
      <c r="H22" s="215" t="s">
        <v>137</v>
      </c>
      <c r="I22" s="899" t="s">
        <v>178</v>
      </c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7"/>
      <c r="AL22" s="217"/>
      <c r="AM22" s="217"/>
      <c r="AN22" s="217"/>
      <c r="AO22" s="217"/>
      <c r="AP22" s="218"/>
      <c r="AQ22" s="218"/>
      <c r="AR22" s="218"/>
      <c r="AS22" s="218"/>
      <c r="AT22" s="218"/>
      <c r="AU22" s="219"/>
      <c r="AV22" s="219"/>
      <c r="AW22" s="219"/>
      <c r="AX22" s="219"/>
      <c r="AY22" s="219"/>
      <c r="AZ22" s="219"/>
      <c r="BA22" s="220"/>
      <c r="BB22" s="220">
        <v>1</v>
      </c>
      <c r="BC22" s="220"/>
      <c r="BD22" s="220"/>
      <c r="BE22" s="216"/>
      <c r="BF22" s="216"/>
      <c r="BG22" s="216"/>
      <c r="BH22" s="216"/>
      <c r="BI22" s="216"/>
      <c r="BJ22" s="221"/>
      <c r="BK22" s="217"/>
      <c r="BL22" s="217"/>
      <c r="BM22" s="217"/>
      <c r="BN22" s="217"/>
      <c r="BO22" s="217"/>
      <c r="BP22" s="217"/>
      <c r="BQ22" s="217"/>
      <c r="BR22" s="217"/>
      <c r="BS22" s="217"/>
      <c r="BT22" s="217"/>
      <c r="BU22" s="217"/>
      <c r="BV22" s="217"/>
      <c r="BW22" s="218"/>
      <c r="BX22" s="218"/>
      <c r="BY22" s="218"/>
      <c r="BZ22" s="218"/>
      <c r="CA22" s="218"/>
      <c r="CB22" s="218"/>
      <c r="CC22" s="218"/>
      <c r="CD22" s="218"/>
      <c r="CE22" s="218"/>
      <c r="CF22" s="218"/>
      <c r="CG22" s="218">
        <v>1.5</v>
      </c>
      <c r="CH22" s="222"/>
      <c r="CI22" s="218"/>
      <c r="CJ22" s="218"/>
      <c r="CK22" s="218"/>
      <c r="CL22" s="218"/>
      <c r="CM22" s="218"/>
      <c r="CN22" s="218"/>
      <c r="CO22" s="219"/>
      <c r="CP22" s="219"/>
      <c r="CQ22" s="219"/>
      <c r="CR22" s="514"/>
      <c r="CS22" s="520"/>
      <c r="CT22" s="219"/>
      <c r="CU22" s="219"/>
      <c r="CV22" s="521"/>
      <c r="CW22" s="514"/>
      <c r="CX22" s="514"/>
      <c r="CY22" s="515"/>
      <c r="CZ22" s="219"/>
      <c r="DA22" s="219"/>
      <c r="DB22" s="219"/>
      <c r="DC22" s="216"/>
      <c r="DD22" s="216"/>
      <c r="DE22" s="216"/>
      <c r="DF22" s="216"/>
      <c r="DG22" s="216"/>
      <c r="DH22" s="216"/>
      <c r="DI22" s="216"/>
      <c r="DJ22" s="216"/>
      <c r="DK22" s="612"/>
      <c r="DL22" s="495">
        <f t="shared" si="9"/>
        <v>0</v>
      </c>
      <c r="DM22" s="84">
        <f t="shared" si="10"/>
        <v>2.5</v>
      </c>
      <c r="DN22" s="84">
        <f t="shared" si="11"/>
        <v>0</v>
      </c>
      <c r="DO22" s="125">
        <f t="shared" si="12"/>
        <v>0</v>
      </c>
    </row>
    <row r="23" spans="2:123" ht="32.1" hidden="1" customHeight="1" outlineLevel="1" thickBot="1" x14ac:dyDescent="0.3">
      <c r="B23" s="813"/>
      <c r="C23" s="814"/>
      <c r="D23" s="792"/>
      <c r="E23" s="772"/>
      <c r="F23" s="224" t="s">
        <v>3</v>
      </c>
      <c r="G23" s="225" t="s">
        <v>133</v>
      </c>
      <c r="H23" s="226" t="s">
        <v>137</v>
      </c>
      <c r="I23" s="900" t="s">
        <v>63</v>
      </c>
      <c r="J23" s="434"/>
      <c r="K23" s="434"/>
      <c r="L23" s="434"/>
      <c r="M23" s="434"/>
      <c r="N23" s="434"/>
      <c r="O23" s="434"/>
      <c r="P23" s="434"/>
      <c r="Q23" s="434"/>
      <c r="R23" s="434"/>
      <c r="S23" s="434"/>
      <c r="T23" s="434"/>
      <c r="U23" s="435"/>
      <c r="V23" s="435"/>
      <c r="W23" s="435"/>
      <c r="X23" s="435"/>
      <c r="Y23" s="435"/>
      <c r="Z23" s="435"/>
      <c r="AA23" s="435"/>
      <c r="AB23" s="435"/>
      <c r="AC23" s="435"/>
      <c r="AD23" s="435"/>
      <c r="AE23" s="435"/>
      <c r="AF23" s="435"/>
      <c r="AG23" s="435"/>
      <c r="AH23" s="435"/>
      <c r="AI23" s="435"/>
      <c r="AJ23" s="435"/>
      <c r="AK23" s="435"/>
      <c r="AL23" s="435"/>
      <c r="AM23" s="435"/>
      <c r="AN23" s="435"/>
      <c r="AO23" s="435"/>
      <c r="AP23" s="436"/>
      <c r="AQ23" s="436"/>
      <c r="AR23" s="436"/>
      <c r="AS23" s="436"/>
      <c r="AT23" s="436"/>
      <c r="AU23" s="437"/>
      <c r="AV23" s="437"/>
      <c r="AW23" s="437"/>
      <c r="AX23" s="437"/>
      <c r="AY23" s="437"/>
      <c r="AZ23" s="437"/>
      <c r="BA23" s="438"/>
      <c r="BB23" s="438"/>
      <c r="BC23" s="438"/>
      <c r="BD23" s="438"/>
      <c r="BE23" s="434"/>
      <c r="BF23" s="434"/>
      <c r="BG23" s="434"/>
      <c r="BH23" s="434"/>
      <c r="BI23" s="434"/>
      <c r="BJ23" s="439"/>
      <c r="BK23" s="435"/>
      <c r="BL23" s="435"/>
      <c r="BM23" s="435"/>
      <c r="BN23" s="435"/>
      <c r="BO23" s="435"/>
      <c r="BP23" s="435"/>
      <c r="BQ23" s="435"/>
      <c r="BR23" s="435"/>
      <c r="BS23" s="435"/>
      <c r="BT23" s="435"/>
      <c r="BU23" s="435"/>
      <c r="BV23" s="435"/>
      <c r="BW23" s="436"/>
      <c r="BX23" s="436"/>
      <c r="BY23" s="436"/>
      <c r="BZ23" s="436"/>
      <c r="CA23" s="436"/>
      <c r="CB23" s="436"/>
      <c r="CC23" s="436"/>
      <c r="CD23" s="436"/>
      <c r="CE23" s="436"/>
      <c r="CF23" s="458"/>
      <c r="CG23" s="436"/>
      <c r="CH23" s="440"/>
      <c r="CI23" s="436"/>
      <c r="CJ23" s="436"/>
      <c r="CK23" s="436"/>
      <c r="CL23" s="436"/>
      <c r="CM23" s="436"/>
      <c r="CN23" s="436"/>
      <c r="CO23" s="437"/>
      <c r="CP23" s="437"/>
      <c r="CQ23" s="437"/>
      <c r="CR23" s="522"/>
      <c r="CS23" s="437"/>
      <c r="CT23" s="437"/>
      <c r="CU23" s="437"/>
      <c r="CV23" s="437"/>
      <c r="CW23" s="522"/>
      <c r="CX23" s="522"/>
      <c r="CY23" s="523"/>
      <c r="CZ23" s="437"/>
      <c r="DA23" s="437"/>
      <c r="DB23" s="437"/>
      <c r="DC23" s="434"/>
      <c r="DD23" s="434"/>
      <c r="DE23" s="434"/>
      <c r="DF23" s="434"/>
      <c r="DG23" s="434"/>
      <c r="DH23" s="434"/>
      <c r="DI23" s="434"/>
      <c r="DJ23" s="434"/>
      <c r="DK23" s="614"/>
      <c r="DL23" s="497">
        <f t="shared" si="9"/>
        <v>0</v>
      </c>
      <c r="DM23" s="126">
        <f t="shared" si="10"/>
        <v>0</v>
      </c>
      <c r="DN23" s="126">
        <f t="shared" si="11"/>
        <v>0</v>
      </c>
      <c r="DO23" s="127">
        <f t="shared" si="12"/>
        <v>0</v>
      </c>
    </row>
    <row r="24" spans="2:123" ht="32.1" hidden="1" customHeight="1" outlineLevel="1" thickBot="1" x14ac:dyDescent="0.3">
      <c r="B24" s="813"/>
      <c r="C24" s="814"/>
      <c r="D24" s="792"/>
      <c r="E24" s="774" t="s">
        <v>138</v>
      </c>
      <c r="F24" s="328" t="s">
        <v>3</v>
      </c>
      <c r="G24" s="490" t="s">
        <v>133</v>
      </c>
      <c r="H24" s="329" t="s">
        <v>138</v>
      </c>
      <c r="I24" s="901" t="s">
        <v>179</v>
      </c>
      <c r="J24" s="331"/>
      <c r="K24" s="331"/>
      <c r="L24" s="331"/>
      <c r="M24" s="331"/>
      <c r="N24" s="331"/>
      <c r="O24" s="331"/>
      <c r="P24" s="331"/>
      <c r="Q24" s="331"/>
      <c r="R24" s="331"/>
      <c r="S24" s="331"/>
      <c r="T24" s="331"/>
      <c r="U24" s="332"/>
      <c r="V24" s="332"/>
      <c r="W24" s="332"/>
      <c r="X24" s="332"/>
      <c r="Y24" s="332"/>
      <c r="Z24" s="332"/>
      <c r="AA24" s="332"/>
      <c r="AB24" s="332"/>
      <c r="AC24" s="332"/>
      <c r="AD24" s="332"/>
      <c r="AE24" s="332"/>
      <c r="AF24" s="332"/>
      <c r="AG24" s="332"/>
      <c r="AH24" s="332"/>
      <c r="AI24" s="332"/>
      <c r="AJ24" s="332"/>
      <c r="AK24" s="332"/>
      <c r="AL24" s="332"/>
      <c r="AM24" s="332"/>
      <c r="AN24" s="332"/>
      <c r="AO24" s="332"/>
      <c r="AP24" s="333"/>
      <c r="AQ24" s="333"/>
      <c r="AR24" s="333"/>
      <c r="AS24" s="333"/>
      <c r="AT24" s="333"/>
      <c r="AU24" s="334"/>
      <c r="AV24" s="334"/>
      <c r="AW24" s="334"/>
      <c r="AX24" s="334"/>
      <c r="AY24" s="334"/>
      <c r="AZ24" s="334"/>
      <c r="BA24" s="335"/>
      <c r="BB24" s="335"/>
      <c r="BC24" s="335"/>
      <c r="BD24" s="335"/>
      <c r="BE24" s="331"/>
      <c r="BF24" s="331"/>
      <c r="BG24" s="331"/>
      <c r="BH24" s="331"/>
      <c r="BI24" s="331"/>
      <c r="BJ24" s="336"/>
      <c r="BK24" s="332"/>
      <c r="BL24" s="332"/>
      <c r="BM24" s="332"/>
      <c r="BN24" s="332"/>
      <c r="BO24" s="332"/>
      <c r="BP24" s="332"/>
      <c r="BQ24" s="332"/>
      <c r="BR24" s="332"/>
      <c r="BS24" s="332"/>
      <c r="BT24" s="332"/>
      <c r="BU24" s="332"/>
      <c r="BV24" s="332"/>
      <c r="BW24" s="333"/>
      <c r="BX24" s="333"/>
      <c r="BY24" s="333"/>
      <c r="BZ24" s="333"/>
      <c r="CA24" s="333"/>
      <c r="CB24" s="333"/>
      <c r="CC24" s="333"/>
      <c r="CD24" s="333"/>
      <c r="CE24" s="333"/>
      <c r="CF24" s="453"/>
      <c r="CG24" s="333"/>
      <c r="CH24" s="338"/>
      <c r="CI24" s="333"/>
      <c r="CJ24" s="333"/>
      <c r="CK24" s="333"/>
      <c r="CL24" s="333"/>
      <c r="CM24" s="333"/>
      <c r="CN24" s="333"/>
      <c r="CO24" s="334"/>
      <c r="CP24" s="334"/>
      <c r="CQ24" s="334"/>
      <c r="CR24" s="524"/>
      <c r="CS24" s="334"/>
      <c r="CT24" s="334"/>
      <c r="CU24" s="334"/>
      <c r="CV24" s="334"/>
      <c r="CW24" s="524"/>
      <c r="CX24" s="524"/>
      <c r="CY24" s="525"/>
      <c r="CZ24" s="334"/>
      <c r="DA24" s="334"/>
      <c r="DB24" s="334"/>
      <c r="DC24" s="331"/>
      <c r="DD24" s="331"/>
      <c r="DE24" s="331"/>
      <c r="DF24" s="331"/>
      <c r="DG24" s="331"/>
      <c r="DH24" s="331"/>
      <c r="DI24" s="331"/>
      <c r="DJ24" s="331"/>
      <c r="DK24" s="615"/>
      <c r="DL24" s="498">
        <f t="shared" si="9"/>
        <v>0</v>
      </c>
      <c r="DM24" s="121">
        <f t="shared" si="10"/>
        <v>0</v>
      </c>
      <c r="DN24" s="121">
        <f t="shared" si="11"/>
        <v>0</v>
      </c>
      <c r="DO24" s="357">
        <f t="shared" si="12"/>
        <v>0</v>
      </c>
    </row>
    <row r="25" spans="2:123" ht="32.1" hidden="1" customHeight="1" outlineLevel="1" thickBot="1" x14ac:dyDescent="0.3">
      <c r="B25" s="813"/>
      <c r="C25" s="814"/>
      <c r="D25" s="792"/>
      <c r="E25" s="772"/>
      <c r="F25" s="213" t="s">
        <v>3</v>
      </c>
      <c r="G25" s="214" t="s">
        <v>133</v>
      </c>
      <c r="H25" s="215" t="s">
        <v>138</v>
      </c>
      <c r="I25" s="899" t="s">
        <v>60</v>
      </c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218"/>
      <c r="AQ25" s="218"/>
      <c r="AR25" s="218"/>
      <c r="AS25" s="218"/>
      <c r="AT25" s="218"/>
      <c r="AU25" s="219"/>
      <c r="AV25" s="219"/>
      <c r="AW25" s="219"/>
      <c r="AX25" s="219"/>
      <c r="AY25" s="219"/>
      <c r="AZ25" s="219"/>
      <c r="BA25" s="220"/>
      <c r="BB25" s="220"/>
      <c r="BC25" s="220"/>
      <c r="BD25" s="220"/>
      <c r="BE25" s="216"/>
      <c r="BF25" s="216"/>
      <c r="BG25" s="216"/>
      <c r="BH25" s="216"/>
      <c r="BI25" s="216"/>
      <c r="BJ25" s="221"/>
      <c r="BK25" s="217"/>
      <c r="BL25" s="217"/>
      <c r="BM25" s="217"/>
      <c r="BN25" s="217"/>
      <c r="BO25" s="217"/>
      <c r="BP25" s="217"/>
      <c r="BQ25" s="217"/>
      <c r="BR25" s="217"/>
      <c r="BS25" s="217"/>
      <c r="BT25" s="217"/>
      <c r="BU25" s="217"/>
      <c r="BV25" s="217"/>
      <c r="BW25" s="218"/>
      <c r="BX25" s="218"/>
      <c r="BY25" s="218"/>
      <c r="BZ25" s="218"/>
      <c r="CA25" s="218"/>
      <c r="CB25" s="218"/>
      <c r="CC25" s="218"/>
      <c r="CD25" s="218"/>
      <c r="CE25" s="218">
        <v>25</v>
      </c>
      <c r="CF25" s="223"/>
      <c r="CG25" s="218"/>
      <c r="CH25" s="222"/>
      <c r="CI25" s="218"/>
      <c r="CJ25" s="218"/>
      <c r="CK25" s="218"/>
      <c r="CL25" s="218"/>
      <c r="CM25" s="218"/>
      <c r="CN25" s="218"/>
      <c r="CO25" s="219"/>
      <c r="CP25" s="219"/>
      <c r="CQ25" s="219"/>
      <c r="CR25" s="514"/>
      <c r="CS25" s="219"/>
      <c r="CT25" s="219"/>
      <c r="CU25" s="219"/>
      <c r="CV25" s="219"/>
      <c r="CW25" s="514"/>
      <c r="CX25" s="514"/>
      <c r="CY25" s="515"/>
      <c r="CZ25" s="219"/>
      <c r="DA25" s="219"/>
      <c r="DB25" s="219"/>
      <c r="DC25" s="216"/>
      <c r="DD25" s="216"/>
      <c r="DE25" s="216"/>
      <c r="DF25" s="216"/>
      <c r="DG25" s="216"/>
      <c r="DH25" s="216"/>
      <c r="DI25" s="216"/>
      <c r="DJ25" s="216"/>
      <c r="DK25" s="612"/>
      <c r="DL25" s="495">
        <f t="shared" si="9"/>
        <v>0</v>
      </c>
      <c r="DM25" s="84">
        <f t="shared" si="10"/>
        <v>25</v>
      </c>
      <c r="DN25" s="84">
        <f t="shared" si="11"/>
        <v>0</v>
      </c>
      <c r="DO25" s="125">
        <f t="shared" si="12"/>
        <v>0</v>
      </c>
    </row>
    <row r="26" spans="2:123" ht="32.1" hidden="1" customHeight="1" outlineLevel="1" thickBot="1" x14ac:dyDescent="0.3">
      <c r="B26" s="813"/>
      <c r="C26" s="814"/>
      <c r="D26" s="792"/>
      <c r="E26" s="772"/>
      <c r="F26" s="213" t="s">
        <v>3</v>
      </c>
      <c r="G26" s="214" t="s">
        <v>133</v>
      </c>
      <c r="H26" s="215" t="s">
        <v>138</v>
      </c>
      <c r="I26" s="902" t="s">
        <v>56</v>
      </c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217"/>
      <c r="AP26" s="218"/>
      <c r="AQ26" s="218"/>
      <c r="AR26" s="218">
        <v>50</v>
      </c>
      <c r="AS26" s="218">
        <v>100</v>
      </c>
      <c r="AT26" s="218"/>
      <c r="AU26" s="219"/>
      <c r="AV26" s="219"/>
      <c r="AW26" s="219"/>
      <c r="AX26" s="219"/>
      <c r="AY26" s="219"/>
      <c r="AZ26" s="219"/>
      <c r="BA26" s="220"/>
      <c r="BB26" s="220"/>
      <c r="BC26" s="220"/>
      <c r="BD26" s="220"/>
      <c r="BE26" s="216"/>
      <c r="BF26" s="216"/>
      <c r="BG26" s="216"/>
      <c r="BH26" s="216"/>
      <c r="BI26" s="216"/>
      <c r="BJ26" s="221"/>
      <c r="BK26" s="217"/>
      <c r="BL26" s="217"/>
      <c r="BM26" s="217"/>
      <c r="BN26" s="217"/>
      <c r="BO26" s="217"/>
      <c r="BP26" s="217"/>
      <c r="BQ26" s="217"/>
      <c r="BR26" s="217"/>
      <c r="BS26" s="217"/>
      <c r="BT26" s="217"/>
      <c r="BU26" s="217"/>
      <c r="BV26" s="217"/>
      <c r="BW26" s="218"/>
      <c r="BX26" s="218"/>
      <c r="BY26" s="218"/>
      <c r="BZ26" s="218"/>
      <c r="CA26" s="218"/>
      <c r="CB26" s="218"/>
      <c r="CC26" s="218"/>
      <c r="CD26" s="218"/>
      <c r="CE26" s="218"/>
      <c r="CF26" s="223"/>
      <c r="CG26" s="218"/>
      <c r="CH26" s="222"/>
      <c r="CI26" s="218"/>
      <c r="CJ26" s="218"/>
      <c r="CK26" s="218"/>
      <c r="CL26" s="218"/>
      <c r="CM26" s="218"/>
      <c r="CN26" s="218"/>
      <c r="CO26" s="219"/>
      <c r="CP26" s="219"/>
      <c r="CQ26" s="219"/>
      <c r="CR26" s="514"/>
      <c r="CS26" s="219"/>
      <c r="CT26" s="219"/>
      <c r="CU26" s="219"/>
      <c r="CV26" s="219"/>
      <c r="CW26" s="514"/>
      <c r="CX26" s="514"/>
      <c r="CY26" s="515"/>
      <c r="CZ26" s="219"/>
      <c r="DA26" s="219"/>
      <c r="DB26" s="219"/>
      <c r="DC26" s="216"/>
      <c r="DD26" s="216"/>
      <c r="DE26" s="216"/>
      <c r="DF26" s="216"/>
      <c r="DG26" s="216"/>
      <c r="DH26" s="216"/>
      <c r="DI26" s="216"/>
      <c r="DJ26" s="216"/>
      <c r="DK26" s="612"/>
      <c r="DL26" s="495">
        <f t="shared" si="9"/>
        <v>0</v>
      </c>
      <c r="DM26" s="84">
        <f t="shared" si="10"/>
        <v>150</v>
      </c>
      <c r="DN26" s="84">
        <f t="shared" si="11"/>
        <v>0</v>
      </c>
      <c r="DO26" s="125">
        <f t="shared" si="12"/>
        <v>0</v>
      </c>
    </row>
    <row r="27" spans="2:123" ht="32.1" hidden="1" customHeight="1" outlineLevel="1" thickBot="1" x14ac:dyDescent="0.3">
      <c r="B27" s="813"/>
      <c r="C27" s="814"/>
      <c r="D27" s="793"/>
      <c r="E27" s="773"/>
      <c r="F27" s="224" t="s">
        <v>3</v>
      </c>
      <c r="G27" s="225" t="s">
        <v>133</v>
      </c>
      <c r="H27" s="226" t="s">
        <v>138</v>
      </c>
      <c r="I27" s="902"/>
      <c r="J27" s="227"/>
      <c r="K27" s="227"/>
      <c r="L27" s="227"/>
      <c r="M27" s="227"/>
      <c r="N27" s="227"/>
      <c r="O27" s="227"/>
      <c r="P27" s="227"/>
      <c r="Q27" s="227"/>
      <c r="R27" s="227"/>
      <c r="S27" s="227"/>
      <c r="T27" s="227"/>
      <c r="U27" s="228"/>
      <c r="V27" s="228"/>
      <c r="W27" s="228"/>
      <c r="X27" s="228"/>
      <c r="Y27" s="228"/>
      <c r="Z27" s="228"/>
      <c r="AA27" s="228"/>
      <c r="AB27" s="228"/>
      <c r="AC27" s="228"/>
      <c r="AD27" s="228"/>
      <c r="AE27" s="228"/>
      <c r="AF27" s="228"/>
      <c r="AG27" s="228"/>
      <c r="AH27" s="228"/>
      <c r="AI27" s="228"/>
      <c r="AJ27" s="228"/>
      <c r="AK27" s="228"/>
      <c r="AL27" s="228"/>
      <c r="AM27" s="228"/>
      <c r="AN27" s="228"/>
      <c r="AO27" s="228"/>
      <c r="AP27" s="229"/>
      <c r="AQ27" s="229"/>
      <c r="AR27" s="229"/>
      <c r="AS27" s="229"/>
      <c r="AT27" s="229"/>
      <c r="AU27" s="230"/>
      <c r="AV27" s="230"/>
      <c r="AW27" s="230"/>
      <c r="AX27" s="230"/>
      <c r="AY27" s="230"/>
      <c r="AZ27" s="230"/>
      <c r="BA27" s="231"/>
      <c r="BB27" s="231"/>
      <c r="BC27" s="231"/>
      <c r="BD27" s="232"/>
      <c r="BE27" s="227"/>
      <c r="BF27" s="227"/>
      <c r="BG27" s="227"/>
      <c r="BH27" s="227"/>
      <c r="BI27" s="227"/>
      <c r="BJ27" s="233"/>
      <c r="BK27" s="234"/>
      <c r="BL27" s="228"/>
      <c r="BM27" s="228"/>
      <c r="BN27" s="228"/>
      <c r="BO27" s="228"/>
      <c r="BP27" s="228"/>
      <c r="BQ27" s="228"/>
      <c r="BR27" s="228"/>
      <c r="BS27" s="228"/>
      <c r="BT27" s="228"/>
      <c r="BU27" s="228"/>
      <c r="BV27" s="228"/>
      <c r="BW27" s="229"/>
      <c r="BX27" s="229"/>
      <c r="BY27" s="229"/>
      <c r="BZ27" s="229"/>
      <c r="CA27" s="229"/>
      <c r="CB27" s="229"/>
      <c r="CC27" s="229"/>
      <c r="CD27" s="229"/>
      <c r="CE27" s="229"/>
      <c r="CF27" s="229"/>
      <c r="CG27" s="229"/>
      <c r="CH27" s="235"/>
      <c r="CI27" s="229"/>
      <c r="CJ27" s="229"/>
      <c r="CK27" s="229"/>
      <c r="CL27" s="229"/>
      <c r="CM27" s="229"/>
      <c r="CN27" s="229"/>
      <c r="CO27" s="230"/>
      <c r="CP27" s="230"/>
      <c r="CQ27" s="230"/>
      <c r="CR27" s="516"/>
      <c r="CS27" s="230"/>
      <c r="CT27" s="526"/>
      <c r="CU27" s="230"/>
      <c r="CV27" s="526"/>
      <c r="CW27" s="516"/>
      <c r="CX27" s="516"/>
      <c r="CY27" s="517"/>
      <c r="CZ27" s="230"/>
      <c r="DA27" s="230"/>
      <c r="DB27" s="230"/>
      <c r="DC27" s="227"/>
      <c r="DD27" s="227"/>
      <c r="DE27" s="227"/>
      <c r="DF27" s="227"/>
      <c r="DG27" s="227"/>
      <c r="DH27" s="227"/>
      <c r="DI27" s="227"/>
      <c r="DJ27" s="227"/>
      <c r="DK27" s="613"/>
      <c r="DL27" s="497">
        <f t="shared" si="9"/>
        <v>0</v>
      </c>
      <c r="DM27" s="126">
        <f t="shared" si="10"/>
        <v>0</v>
      </c>
      <c r="DN27" s="126">
        <f t="shared" si="11"/>
        <v>0</v>
      </c>
      <c r="DO27" s="127">
        <f t="shared" si="12"/>
        <v>0</v>
      </c>
    </row>
    <row r="28" spans="2:123" s="834" customFormat="1" ht="16.5" hidden="1" customHeight="1" outlineLevel="1" thickBot="1" x14ac:dyDescent="0.35">
      <c r="B28" s="813"/>
      <c r="C28" s="814"/>
      <c r="D28" s="819"/>
      <c r="E28" s="820" t="s">
        <v>254</v>
      </c>
      <c r="F28" s="821"/>
      <c r="G28" s="822"/>
      <c r="H28" s="823"/>
      <c r="I28" s="903"/>
      <c r="J28" s="824">
        <f>SUM(J18:J27)</f>
        <v>0</v>
      </c>
      <c r="K28" s="824">
        <f t="shared" ref="K28:CL28" si="13">SUM(K18:K27)</f>
        <v>0</v>
      </c>
      <c r="L28" s="824">
        <f t="shared" si="13"/>
        <v>75</v>
      </c>
      <c r="M28" s="824">
        <f t="shared" si="13"/>
        <v>0</v>
      </c>
      <c r="N28" s="824">
        <f t="shared" si="13"/>
        <v>0</v>
      </c>
      <c r="O28" s="824">
        <f t="shared" si="13"/>
        <v>0</v>
      </c>
      <c r="P28" s="824">
        <f t="shared" si="13"/>
        <v>0</v>
      </c>
      <c r="Q28" s="824">
        <f t="shared" si="13"/>
        <v>0</v>
      </c>
      <c r="R28" s="824">
        <f t="shared" si="13"/>
        <v>0</v>
      </c>
      <c r="S28" s="824">
        <f t="shared" si="13"/>
        <v>0</v>
      </c>
      <c r="T28" s="824">
        <f t="shared" si="13"/>
        <v>0</v>
      </c>
      <c r="U28" s="825">
        <f t="shared" si="13"/>
        <v>20</v>
      </c>
      <c r="V28" s="825">
        <f t="shared" si="13"/>
        <v>0</v>
      </c>
      <c r="W28" s="825">
        <f t="shared" si="13"/>
        <v>0</v>
      </c>
      <c r="X28" s="825">
        <f t="shared" si="13"/>
        <v>0</v>
      </c>
      <c r="Y28" s="825">
        <f t="shared" si="13"/>
        <v>0</v>
      </c>
      <c r="Z28" s="825">
        <f t="shared" si="13"/>
        <v>0</v>
      </c>
      <c r="AA28" s="825">
        <f t="shared" si="13"/>
        <v>0</v>
      </c>
      <c r="AB28" s="825">
        <f t="shared" ref="AB28:AD28" si="14">SUM(AB18:AB27)</f>
        <v>0</v>
      </c>
      <c r="AC28" s="825">
        <f t="shared" si="14"/>
        <v>0</v>
      </c>
      <c r="AD28" s="825">
        <f t="shared" si="14"/>
        <v>0</v>
      </c>
      <c r="AE28" s="825">
        <f t="shared" si="13"/>
        <v>0</v>
      </c>
      <c r="AF28" s="825">
        <f t="shared" si="13"/>
        <v>0</v>
      </c>
      <c r="AG28" s="825">
        <f t="shared" si="13"/>
        <v>0</v>
      </c>
      <c r="AH28" s="825">
        <f t="shared" ref="AH28" si="15">SUM(AH18:AH27)</f>
        <v>0</v>
      </c>
      <c r="AI28" s="825">
        <f t="shared" ref="AI28:AO28" si="16">SUM(AI18:AI27)</f>
        <v>0</v>
      </c>
      <c r="AJ28" s="825">
        <f t="shared" si="16"/>
        <v>0</v>
      </c>
      <c r="AK28" s="825">
        <f t="shared" si="16"/>
        <v>0</v>
      </c>
      <c r="AL28" s="825">
        <f t="shared" si="16"/>
        <v>0</v>
      </c>
      <c r="AM28" s="825">
        <f t="shared" si="16"/>
        <v>0</v>
      </c>
      <c r="AN28" s="825">
        <f t="shared" si="16"/>
        <v>0</v>
      </c>
      <c r="AO28" s="825">
        <f t="shared" si="16"/>
        <v>0</v>
      </c>
      <c r="AP28" s="826">
        <f t="shared" si="13"/>
        <v>0</v>
      </c>
      <c r="AQ28" s="826">
        <f t="shared" ref="AQ28" si="17">SUM(AQ18:AQ27)</f>
        <v>0</v>
      </c>
      <c r="AR28" s="826">
        <f t="shared" si="13"/>
        <v>50</v>
      </c>
      <c r="AS28" s="826">
        <f t="shared" si="13"/>
        <v>100</v>
      </c>
      <c r="AT28" s="826">
        <f t="shared" si="13"/>
        <v>0</v>
      </c>
      <c r="AU28" s="827">
        <f t="shared" si="13"/>
        <v>200</v>
      </c>
      <c r="AV28" s="827">
        <f t="shared" si="13"/>
        <v>0</v>
      </c>
      <c r="AW28" s="827">
        <f t="shared" si="13"/>
        <v>0</v>
      </c>
      <c r="AX28" s="827">
        <f t="shared" ref="AX28:AY28" si="18">SUM(AX18:AX27)</f>
        <v>0</v>
      </c>
      <c r="AY28" s="827">
        <f t="shared" si="18"/>
        <v>0</v>
      </c>
      <c r="AZ28" s="827">
        <f t="shared" si="13"/>
        <v>0</v>
      </c>
      <c r="BA28" s="828">
        <f t="shared" si="13"/>
        <v>0</v>
      </c>
      <c r="BB28" s="828">
        <f t="shared" si="13"/>
        <v>1</v>
      </c>
      <c r="BC28" s="828">
        <f t="shared" si="13"/>
        <v>0</v>
      </c>
      <c r="BD28" s="828">
        <f t="shared" si="13"/>
        <v>0</v>
      </c>
      <c r="BE28" s="824">
        <f t="shared" si="13"/>
        <v>0</v>
      </c>
      <c r="BF28" s="824">
        <f t="shared" si="13"/>
        <v>20</v>
      </c>
      <c r="BG28" s="824">
        <f t="shared" si="13"/>
        <v>5</v>
      </c>
      <c r="BH28" s="824">
        <f t="shared" si="13"/>
        <v>0</v>
      </c>
      <c r="BI28" s="824">
        <f t="shared" si="13"/>
        <v>0</v>
      </c>
      <c r="BJ28" s="824">
        <f t="shared" si="13"/>
        <v>0</v>
      </c>
      <c r="BK28" s="825">
        <f t="shared" si="13"/>
        <v>0</v>
      </c>
      <c r="BL28" s="825">
        <f t="shared" si="13"/>
        <v>20</v>
      </c>
      <c r="BM28" s="825">
        <f t="shared" si="13"/>
        <v>0</v>
      </c>
      <c r="BN28" s="825">
        <f t="shared" si="13"/>
        <v>0</v>
      </c>
      <c r="BO28" s="825">
        <f t="shared" si="13"/>
        <v>0</v>
      </c>
      <c r="BP28" s="825">
        <f t="shared" si="13"/>
        <v>80</v>
      </c>
      <c r="BQ28" s="825">
        <f t="shared" si="13"/>
        <v>0</v>
      </c>
      <c r="BR28" s="825">
        <f t="shared" ref="BR28" si="19">SUM(BR18:BR27)</f>
        <v>0</v>
      </c>
      <c r="BS28" s="825">
        <f t="shared" ref="BS28" si="20">SUM(BS18:BS27)</f>
        <v>0</v>
      </c>
      <c r="BT28" s="825">
        <f t="shared" si="13"/>
        <v>0</v>
      </c>
      <c r="BU28" s="825">
        <f t="shared" si="13"/>
        <v>0</v>
      </c>
      <c r="BV28" s="825">
        <f t="shared" si="13"/>
        <v>0</v>
      </c>
      <c r="BW28" s="826">
        <f t="shared" si="13"/>
        <v>0</v>
      </c>
      <c r="BX28" s="826">
        <f t="shared" si="13"/>
        <v>0</v>
      </c>
      <c r="BY28" s="826">
        <f t="shared" si="13"/>
        <v>0</v>
      </c>
      <c r="BZ28" s="826">
        <f t="shared" si="13"/>
        <v>0</v>
      </c>
      <c r="CA28" s="826">
        <f t="shared" si="13"/>
        <v>0</v>
      </c>
      <c r="CB28" s="826">
        <f t="shared" ref="CB28" si="21">SUM(CB18:CB27)</f>
        <v>0</v>
      </c>
      <c r="CC28" s="826">
        <f t="shared" si="13"/>
        <v>0</v>
      </c>
      <c r="CD28" s="826">
        <f t="shared" si="13"/>
        <v>0</v>
      </c>
      <c r="CE28" s="826">
        <f t="shared" si="13"/>
        <v>25</v>
      </c>
      <c r="CF28" s="826">
        <f t="shared" si="13"/>
        <v>0</v>
      </c>
      <c r="CG28" s="826">
        <f t="shared" si="13"/>
        <v>1.5</v>
      </c>
      <c r="CH28" s="826">
        <f t="shared" si="13"/>
        <v>0</v>
      </c>
      <c r="CI28" s="826">
        <f t="shared" si="13"/>
        <v>0</v>
      </c>
      <c r="CJ28" s="826">
        <f t="shared" si="13"/>
        <v>0</v>
      </c>
      <c r="CK28" s="826">
        <f t="shared" si="13"/>
        <v>0</v>
      </c>
      <c r="CL28" s="826">
        <f t="shared" si="13"/>
        <v>0</v>
      </c>
      <c r="CM28" s="826">
        <f t="shared" ref="CM28:DO28" si="22">SUM(CM18:CM27)</f>
        <v>0</v>
      </c>
      <c r="CN28" s="826">
        <f t="shared" si="22"/>
        <v>0</v>
      </c>
      <c r="CO28" s="827">
        <f t="shared" si="22"/>
        <v>0</v>
      </c>
      <c r="CP28" s="827">
        <f t="shared" si="22"/>
        <v>0</v>
      </c>
      <c r="CQ28" s="827">
        <f t="shared" si="22"/>
        <v>0</v>
      </c>
      <c r="CR28" s="827">
        <f t="shared" si="22"/>
        <v>0</v>
      </c>
      <c r="CS28" s="827">
        <f t="shared" si="22"/>
        <v>0</v>
      </c>
      <c r="CT28" s="827">
        <f t="shared" si="22"/>
        <v>0</v>
      </c>
      <c r="CU28" s="827">
        <f t="shared" si="22"/>
        <v>0</v>
      </c>
      <c r="CV28" s="827">
        <f t="shared" si="22"/>
        <v>0</v>
      </c>
      <c r="CW28" s="827">
        <f t="shared" si="22"/>
        <v>0</v>
      </c>
      <c r="CX28" s="827">
        <f t="shared" si="22"/>
        <v>0</v>
      </c>
      <c r="CY28" s="827">
        <f t="shared" si="22"/>
        <v>0</v>
      </c>
      <c r="CZ28" s="827">
        <f t="shared" si="22"/>
        <v>0</v>
      </c>
      <c r="DA28" s="827">
        <f t="shared" si="22"/>
        <v>0</v>
      </c>
      <c r="DB28" s="827">
        <f t="shared" si="22"/>
        <v>0</v>
      </c>
      <c r="DC28" s="824">
        <f t="shared" si="22"/>
        <v>0</v>
      </c>
      <c r="DD28" s="824">
        <f t="shared" si="22"/>
        <v>0</v>
      </c>
      <c r="DE28" s="824">
        <f t="shared" si="22"/>
        <v>0</v>
      </c>
      <c r="DF28" s="824">
        <f t="shared" si="22"/>
        <v>0</v>
      </c>
      <c r="DG28" s="824">
        <f t="shared" si="22"/>
        <v>0</v>
      </c>
      <c r="DH28" s="824">
        <f t="shared" si="22"/>
        <v>0</v>
      </c>
      <c r="DI28" s="824">
        <f t="shared" si="22"/>
        <v>0</v>
      </c>
      <c r="DJ28" s="824">
        <f t="shared" si="22"/>
        <v>0</v>
      </c>
      <c r="DK28" s="829">
        <f t="shared" si="22"/>
        <v>0</v>
      </c>
      <c r="DL28" s="830">
        <f t="shared" si="22"/>
        <v>425</v>
      </c>
      <c r="DM28" s="831">
        <f t="shared" si="22"/>
        <v>597.5</v>
      </c>
      <c r="DN28" s="831">
        <f t="shared" si="22"/>
        <v>100</v>
      </c>
      <c r="DO28" s="832">
        <f t="shared" si="22"/>
        <v>200</v>
      </c>
      <c r="DP28" s="833"/>
      <c r="DQ28" s="833"/>
      <c r="DR28" s="833"/>
      <c r="DS28" s="833"/>
    </row>
    <row r="29" spans="2:123" ht="32.1" hidden="1" customHeight="1" outlineLevel="1" thickBot="1" x14ac:dyDescent="0.3">
      <c r="B29" s="813"/>
      <c r="C29" s="814"/>
      <c r="D29" s="794" t="s">
        <v>134</v>
      </c>
      <c r="E29" s="775" t="s">
        <v>135</v>
      </c>
      <c r="F29" s="236" t="s">
        <v>3</v>
      </c>
      <c r="G29" s="237" t="s">
        <v>134</v>
      </c>
      <c r="H29" s="238" t="s">
        <v>135</v>
      </c>
      <c r="I29" s="904" t="s">
        <v>181</v>
      </c>
      <c r="J29" s="239"/>
      <c r="K29" s="239"/>
      <c r="L29" s="239"/>
      <c r="M29" s="239"/>
      <c r="N29" s="239"/>
      <c r="O29" s="239"/>
      <c r="P29" s="239"/>
      <c r="Q29" s="239"/>
      <c r="R29" s="239"/>
      <c r="S29" s="239"/>
      <c r="T29" s="239"/>
      <c r="U29" s="240"/>
      <c r="V29" s="240">
        <v>130</v>
      </c>
      <c r="W29" s="240"/>
      <c r="X29" s="240">
        <v>10</v>
      </c>
      <c r="Y29" s="240">
        <v>20</v>
      </c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/>
      <c r="AL29" s="240"/>
      <c r="AM29" s="240"/>
      <c r="AN29" s="240"/>
      <c r="AO29" s="240"/>
      <c r="AP29" s="241">
        <v>2</v>
      </c>
      <c r="AQ29" s="241"/>
      <c r="AR29" s="241"/>
      <c r="AS29" s="241"/>
      <c r="AT29" s="241"/>
      <c r="AU29" s="242"/>
      <c r="AV29" s="242"/>
      <c r="AW29" s="242"/>
      <c r="AX29" s="242"/>
      <c r="AY29" s="242"/>
      <c r="AZ29" s="242"/>
      <c r="BA29" s="243"/>
      <c r="BB29" s="243"/>
      <c r="BC29" s="243"/>
      <c r="BD29" s="243"/>
      <c r="BE29" s="239"/>
      <c r="BF29" s="239"/>
      <c r="BG29" s="239"/>
      <c r="BH29" s="239"/>
      <c r="BI29" s="239"/>
      <c r="BJ29" s="244"/>
      <c r="BK29" s="240"/>
      <c r="BL29" s="240"/>
      <c r="BM29" s="240"/>
      <c r="BN29" s="240"/>
      <c r="BO29" s="240"/>
      <c r="BP29" s="240"/>
      <c r="BQ29" s="240"/>
      <c r="BR29" s="240"/>
      <c r="BS29" s="240"/>
      <c r="BT29" s="240"/>
      <c r="BU29" s="240"/>
      <c r="BV29" s="240"/>
      <c r="BW29" s="241"/>
      <c r="BX29" s="241">
        <v>0.5</v>
      </c>
      <c r="BY29" s="241"/>
      <c r="BZ29" s="241"/>
      <c r="CA29" s="241"/>
      <c r="CB29" s="241"/>
      <c r="CC29" s="241"/>
      <c r="CD29" s="241"/>
      <c r="CE29" s="241"/>
      <c r="CF29" s="241"/>
      <c r="CG29" s="241"/>
      <c r="CH29" s="245"/>
      <c r="CI29" s="241"/>
      <c r="CJ29" s="241"/>
      <c r="CK29" s="241"/>
      <c r="CL29" s="241"/>
      <c r="CM29" s="241"/>
      <c r="CN29" s="241"/>
      <c r="CO29" s="242"/>
      <c r="CP29" s="242"/>
      <c r="CQ29" s="242"/>
      <c r="CR29" s="527"/>
      <c r="CS29" s="242"/>
      <c r="CT29" s="527"/>
      <c r="CU29" s="527"/>
      <c r="CV29" s="527"/>
      <c r="CW29" s="527"/>
      <c r="CX29" s="527"/>
      <c r="CY29" s="528"/>
      <c r="CZ29" s="242"/>
      <c r="DA29" s="242"/>
      <c r="DB29" s="242"/>
      <c r="DC29" s="239"/>
      <c r="DD29" s="239"/>
      <c r="DE29" s="239"/>
      <c r="DF29" s="239"/>
      <c r="DG29" s="239"/>
      <c r="DH29" s="239"/>
      <c r="DI29" s="239"/>
      <c r="DJ29" s="239"/>
      <c r="DK29" s="616"/>
      <c r="DL29" s="495">
        <f t="shared" ref="DL29:DL42" si="23">SUM(J29:S29)*5+SUM(V29:AF29)+AH29*4+U29*2.5+AG29/0.75</f>
        <v>160</v>
      </c>
      <c r="DM29" s="84">
        <f t="shared" ref="DM29:DM42" si="24">SUM(J29:DK29)</f>
        <v>162.5</v>
      </c>
      <c r="DN29" s="84">
        <f t="shared" ref="DN29:DN42" si="25">SUM(BK29:BV29,)</f>
        <v>0</v>
      </c>
      <c r="DO29" s="125">
        <f t="shared" ref="DO29:DO42" si="26">SUM(AT29:AV29)+SUM(AW29:AZ29)*5</f>
        <v>0</v>
      </c>
    </row>
    <row r="30" spans="2:123" ht="32.1" hidden="1" customHeight="1" outlineLevel="1" thickBot="1" x14ac:dyDescent="0.3">
      <c r="B30" s="813"/>
      <c r="C30" s="814"/>
      <c r="D30" s="794"/>
      <c r="E30" s="776"/>
      <c r="F30" s="246" t="s">
        <v>3</v>
      </c>
      <c r="G30" s="247" t="s">
        <v>134</v>
      </c>
      <c r="H30" s="248" t="s">
        <v>135</v>
      </c>
      <c r="I30" s="904" t="s">
        <v>180</v>
      </c>
      <c r="J30" s="249">
        <v>22</v>
      </c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50"/>
      <c r="V30" s="250"/>
      <c r="W30" s="250"/>
      <c r="X30" s="250"/>
      <c r="Y30" s="250"/>
      <c r="Z30" s="250"/>
      <c r="AA30" s="250"/>
      <c r="AB30" s="250"/>
      <c r="AC30" s="250"/>
      <c r="AD30" s="250"/>
      <c r="AE30" s="250"/>
      <c r="AF30" s="250"/>
      <c r="AG30" s="250"/>
      <c r="AH30" s="250"/>
      <c r="AI30" s="250"/>
      <c r="AJ30" s="250"/>
      <c r="AK30" s="250"/>
      <c r="AL30" s="250"/>
      <c r="AM30" s="250"/>
      <c r="AN30" s="250"/>
      <c r="AO30" s="250"/>
      <c r="AP30" s="251"/>
      <c r="AQ30" s="251"/>
      <c r="AR30" s="251"/>
      <c r="AS30" s="251"/>
      <c r="AT30" s="251"/>
      <c r="AU30" s="252"/>
      <c r="AV30" s="252"/>
      <c r="AW30" s="252"/>
      <c r="AX30" s="252"/>
      <c r="AY30" s="252"/>
      <c r="AZ30" s="252"/>
      <c r="BA30" s="253"/>
      <c r="BB30" s="253"/>
      <c r="BC30" s="253"/>
      <c r="BD30" s="253"/>
      <c r="BE30" s="249"/>
      <c r="BF30" s="249"/>
      <c r="BG30" s="249"/>
      <c r="BH30" s="249"/>
      <c r="BI30" s="249"/>
      <c r="BJ30" s="254"/>
      <c r="BK30" s="250"/>
      <c r="BL30" s="250"/>
      <c r="BM30" s="250"/>
      <c r="BN30" s="250"/>
      <c r="BO30" s="250"/>
      <c r="BP30" s="250"/>
      <c r="BQ30" s="250"/>
      <c r="BR30" s="250"/>
      <c r="BS30" s="250"/>
      <c r="BT30" s="250"/>
      <c r="BU30" s="250"/>
      <c r="BV30" s="250"/>
      <c r="BW30" s="251"/>
      <c r="BX30" s="251"/>
      <c r="BY30" s="251"/>
      <c r="BZ30" s="251"/>
      <c r="CA30" s="251"/>
      <c r="CB30" s="251"/>
      <c r="CC30" s="251"/>
      <c r="CD30" s="251"/>
      <c r="CE30" s="251"/>
      <c r="CF30" s="251"/>
      <c r="CG30" s="251"/>
      <c r="CH30" s="255"/>
      <c r="CI30" s="251"/>
      <c r="CJ30" s="251"/>
      <c r="CK30" s="251"/>
      <c r="CL30" s="251"/>
      <c r="CM30" s="251"/>
      <c r="CN30" s="251"/>
      <c r="CO30" s="252"/>
      <c r="CP30" s="252"/>
      <c r="CQ30" s="252"/>
      <c r="CR30" s="529"/>
      <c r="CS30" s="252"/>
      <c r="CT30" s="529"/>
      <c r="CU30" s="529"/>
      <c r="CV30" s="529"/>
      <c r="CW30" s="529"/>
      <c r="CX30" s="529"/>
      <c r="CY30" s="530"/>
      <c r="CZ30" s="252"/>
      <c r="DA30" s="252"/>
      <c r="DB30" s="252"/>
      <c r="DC30" s="249"/>
      <c r="DD30" s="249"/>
      <c r="DE30" s="249"/>
      <c r="DF30" s="249"/>
      <c r="DG30" s="249"/>
      <c r="DH30" s="249"/>
      <c r="DI30" s="249"/>
      <c r="DJ30" s="249"/>
      <c r="DK30" s="617"/>
      <c r="DL30" s="495">
        <f t="shared" si="23"/>
        <v>110</v>
      </c>
      <c r="DM30" s="84">
        <f t="shared" si="24"/>
        <v>22</v>
      </c>
      <c r="DN30" s="84">
        <f t="shared" si="25"/>
        <v>0</v>
      </c>
      <c r="DO30" s="125">
        <f t="shared" si="26"/>
        <v>0</v>
      </c>
    </row>
    <row r="31" spans="2:123" ht="32.1" hidden="1" customHeight="1" outlineLevel="1" thickBot="1" x14ac:dyDescent="0.3">
      <c r="B31" s="813"/>
      <c r="C31" s="814"/>
      <c r="D31" s="795"/>
      <c r="E31" s="777"/>
      <c r="F31" s="400" t="s">
        <v>3</v>
      </c>
      <c r="G31" s="483" t="s">
        <v>134</v>
      </c>
      <c r="H31" s="401" t="s">
        <v>135</v>
      </c>
      <c r="I31" s="905"/>
      <c r="J31" s="261"/>
      <c r="K31" s="261"/>
      <c r="L31" s="261"/>
      <c r="M31" s="261"/>
      <c r="N31" s="261"/>
      <c r="O31" s="261"/>
      <c r="P31" s="261"/>
      <c r="Q31" s="261"/>
      <c r="R31" s="261"/>
      <c r="S31" s="261"/>
      <c r="T31" s="261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3"/>
      <c r="AQ31" s="263"/>
      <c r="AR31" s="263"/>
      <c r="AS31" s="263"/>
      <c r="AT31" s="263"/>
      <c r="AU31" s="264"/>
      <c r="AV31" s="264"/>
      <c r="AW31" s="264"/>
      <c r="AX31" s="264"/>
      <c r="AY31" s="264"/>
      <c r="AZ31" s="264"/>
      <c r="BA31" s="265"/>
      <c r="BB31" s="265"/>
      <c r="BC31" s="265"/>
      <c r="BD31" s="265"/>
      <c r="BE31" s="261"/>
      <c r="BF31" s="261"/>
      <c r="BG31" s="261"/>
      <c r="BH31" s="261"/>
      <c r="BI31" s="261"/>
      <c r="BJ31" s="266"/>
      <c r="BK31" s="262"/>
      <c r="BL31" s="262"/>
      <c r="BM31" s="262"/>
      <c r="BN31" s="262"/>
      <c r="BO31" s="262"/>
      <c r="BP31" s="262"/>
      <c r="BQ31" s="262"/>
      <c r="BR31" s="262"/>
      <c r="BS31" s="262"/>
      <c r="BT31" s="262"/>
      <c r="BU31" s="262"/>
      <c r="BV31" s="262"/>
      <c r="BW31" s="263"/>
      <c r="BX31" s="263"/>
      <c r="BY31" s="263"/>
      <c r="BZ31" s="263"/>
      <c r="CA31" s="263"/>
      <c r="CB31" s="263"/>
      <c r="CC31" s="263"/>
      <c r="CD31" s="263"/>
      <c r="CE31" s="263"/>
      <c r="CF31" s="263"/>
      <c r="CG31" s="263"/>
      <c r="CH31" s="267"/>
      <c r="CI31" s="263"/>
      <c r="CJ31" s="263"/>
      <c r="CK31" s="263"/>
      <c r="CL31" s="263"/>
      <c r="CM31" s="263"/>
      <c r="CN31" s="263"/>
      <c r="CO31" s="264"/>
      <c r="CP31" s="264"/>
      <c r="CQ31" s="264"/>
      <c r="CR31" s="531"/>
      <c r="CS31" s="264"/>
      <c r="CT31" s="531"/>
      <c r="CU31" s="531"/>
      <c r="CV31" s="531"/>
      <c r="CW31" s="531"/>
      <c r="CX31" s="531"/>
      <c r="CY31" s="532"/>
      <c r="CZ31" s="264"/>
      <c r="DA31" s="264"/>
      <c r="DB31" s="264"/>
      <c r="DC31" s="261"/>
      <c r="DD31" s="261"/>
      <c r="DE31" s="261"/>
      <c r="DF31" s="261"/>
      <c r="DG31" s="261"/>
      <c r="DH31" s="261"/>
      <c r="DI31" s="261"/>
      <c r="DJ31" s="261"/>
      <c r="DK31" s="618"/>
      <c r="DL31" s="496">
        <f t="shared" si="23"/>
        <v>0</v>
      </c>
      <c r="DM31" s="120">
        <f t="shared" si="24"/>
        <v>0</v>
      </c>
      <c r="DN31" s="120">
        <f t="shared" si="25"/>
        <v>0</v>
      </c>
      <c r="DO31" s="358">
        <f t="shared" si="26"/>
        <v>0</v>
      </c>
    </row>
    <row r="32" spans="2:123" ht="32.1" hidden="1" customHeight="1" outlineLevel="1" thickBot="1" x14ac:dyDescent="0.3">
      <c r="B32" s="813"/>
      <c r="C32" s="814"/>
      <c r="D32" s="795"/>
      <c r="E32" s="776" t="s">
        <v>136</v>
      </c>
      <c r="F32" s="236" t="s">
        <v>3</v>
      </c>
      <c r="G32" s="237" t="s">
        <v>134</v>
      </c>
      <c r="H32" s="238" t="s">
        <v>136</v>
      </c>
      <c r="I32" s="906" t="s">
        <v>182</v>
      </c>
      <c r="J32" s="407"/>
      <c r="K32" s="407"/>
      <c r="L32" s="407"/>
      <c r="M32" s="407"/>
      <c r="N32" s="407"/>
      <c r="O32" s="407"/>
      <c r="P32" s="407"/>
      <c r="Q32" s="407"/>
      <c r="R32" s="407"/>
      <c r="S32" s="407"/>
      <c r="T32" s="407"/>
      <c r="U32" s="408"/>
      <c r="V32" s="408"/>
      <c r="W32" s="408">
        <v>120</v>
      </c>
      <c r="X32" s="408">
        <v>10</v>
      </c>
      <c r="Y32" s="408">
        <v>15</v>
      </c>
      <c r="Z32" s="408"/>
      <c r="AA32" s="408"/>
      <c r="AB32" s="408"/>
      <c r="AC32" s="408"/>
      <c r="AD32" s="408"/>
      <c r="AE32" s="408"/>
      <c r="AF32" s="408"/>
      <c r="AG32" s="408"/>
      <c r="AH32" s="408"/>
      <c r="AI32" s="408"/>
      <c r="AJ32" s="408"/>
      <c r="AK32" s="408"/>
      <c r="AL32" s="408"/>
      <c r="AM32" s="408"/>
      <c r="AN32" s="408"/>
      <c r="AO32" s="408"/>
      <c r="AP32" s="409">
        <v>3</v>
      </c>
      <c r="AQ32" s="409"/>
      <c r="AR32" s="409"/>
      <c r="AS32" s="409"/>
      <c r="AT32" s="409"/>
      <c r="AU32" s="410"/>
      <c r="AV32" s="410"/>
      <c r="AW32" s="410"/>
      <c r="AX32" s="410"/>
      <c r="AY32" s="410"/>
      <c r="AZ32" s="410"/>
      <c r="BA32" s="411">
        <v>17.5</v>
      </c>
      <c r="BB32" s="411"/>
      <c r="BC32" s="411"/>
      <c r="BD32" s="411"/>
      <c r="BE32" s="407"/>
      <c r="BF32" s="407"/>
      <c r="BG32" s="407"/>
      <c r="BH32" s="407"/>
      <c r="BI32" s="407"/>
      <c r="BJ32" s="412"/>
      <c r="BK32" s="408"/>
      <c r="BL32" s="408"/>
      <c r="BM32" s="408"/>
      <c r="BN32" s="408"/>
      <c r="BO32" s="408"/>
      <c r="BP32" s="408"/>
      <c r="BQ32" s="408"/>
      <c r="BR32" s="408"/>
      <c r="BS32" s="408"/>
      <c r="BT32" s="408"/>
      <c r="BU32" s="408"/>
      <c r="BV32" s="408"/>
      <c r="BW32" s="409"/>
      <c r="BX32" s="409"/>
      <c r="BY32" s="409"/>
      <c r="BZ32" s="409"/>
      <c r="CA32" s="409"/>
      <c r="CB32" s="409"/>
      <c r="CC32" s="409"/>
      <c r="CD32" s="409"/>
      <c r="CE32" s="409"/>
      <c r="CF32" s="409"/>
      <c r="CG32" s="409"/>
      <c r="CH32" s="414"/>
      <c r="CI32" s="409"/>
      <c r="CJ32" s="409"/>
      <c r="CK32" s="409"/>
      <c r="CL32" s="409"/>
      <c r="CM32" s="409"/>
      <c r="CN32" s="409"/>
      <c r="CO32" s="410"/>
      <c r="CP32" s="410"/>
      <c r="CQ32" s="410"/>
      <c r="CR32" s="533"/>
      <c r="CS32" s="410"/>
      <c r="CT32" s="533"/>
      <c r="CU32" s="533"/>
      <c r="CV32" s="533"/>
      <c r="CW32" s="533"/>
      <c r="CX32" s="533"/>
      <c r="CY32" s="534"/>
      <c r="CZ32" s="410"/>
      <c r="DA32" s="410"/>
      <c r="DB32" s="410"/>
      <c r="DC32" s="407"/>
      <c r="DD32" s="407"/>
      <c r="DE32" s="407"/>
      <c r="DF32" s="407"/>
      <c r="DG32" s="407"/>
      <c r="DH32" s="407"/>
      <c r="DI32" s="407"/>
      <c r="DJ32" s="407"/>
      <c r="DK32" s="619"/>
      <c r="DL32" s="494">
        <f t="shared" si="23"/>
        <v>145</v>
      </c>
      <c r="DM32" s="122">
        <f t="shared" si="24"/>
        <v>165.5</v>
      </c>
      <c r="DN32" s="122">
        <f t="shared" si="25"/>
        <v>0</v>
      </c>
      <c r="DO32" s="124">
        <f t="shared" si="26"/>
        <v>0</v>
      </c>
    </row>
    <row r="33" spans="2:123" ht="32.1" hidden="1" customHeight="1" outlineLevel="1" thickBot="1" x14ac:dyDescent="0.3">
      <c r="B33" s="813"/>
      <c r="C33" s="814"/>
      <c r="D33" s="795"/>
      <c r="E33" s="776"/>
      <c r="F33" s="246" t="s">
        <v>3</v>
      </c>
      <c r="G33" s="247" t="s">
        <v>134</v>
      </c>
      <c r="H33" s="256" t="s">
        <v>136</v>
      </c>
      <c r="I33" s="907" t="s">
        <v>56</v>
      </c>
      <c r="J33" s="249"/>
      <c r="K33" s="249"/>
      <c r="L33" s="249"/>
      <c r="M33" s="249"/>
      <c r="N33" s="249"/>
      <c r="O33" s="249"/>
      <c r="P33" s="249"/>
      <c r="Q33" s="249"/>
      <c r="R33" s="249"/>
      <c r="S33" s="249"/>
      <c r="T33" s="249"/>
      <c r="U33" s="250"/>
      <c r="V33" s="250"/>
      <c r="W33" s="250"/>
      <c r="X33" s="250"/>
      <c r="Y33" s="250"/>
      <c r="Z33" s="250"/>
      <c r="AA33" s="250"/>
      <c r="AB33" s="250"/>
      <c r="AC33" s="250"/>
      <c r="AD33" s="250"/>
      <c r="AE33" s="250"/>
      <c r="AF33" s="250"/>
      <c r="AG33" s="250"/>
      <c r="AH33" s="250"/>
      <c r="AI33" s="250"/>
      <c r="AJ33" s="250"/>
      <c r="AK33" s="250"/>
      <c r="AL33" s="250"/>
      <c r="AM33" s="250"/>
      <c r="AN33" s="250"/>
      <c r="AO33" s="250"/>
      <c r="AP33" s="251"/>
      <c r="AQ33" s="251"/>
      <c r="AR33" s="251">
        <v>50</v>
      </c>
      <c r="AS33" s="251">
        <v>100</v>
      </c>
      <c r="AT33" s="251"/>
      <c r="AU33" s="252"/>
      <c r="AV33" s="252"/>
      <c r="AW33" s="252"/>
      <c r="AX33" s="252"/>
      <c r="AY33" s="252"/>
      <c r="AZ33" s="252"/>
      <c r="BA33" s="253"/>
      <c r="BB33" s="253"/>
      <c r="BC33" s="253"/>
      <c r="BD33" s="253"/>
      <c r="BE33" s="249"/>
      <c r="BF33" s="249"/>
      <c r="BG33" s="249"/>
      <c r="BH33" s="249"/>
      <c r="BI33" s="249"/>
      <c r="BJ33" s="254"/>
      <c r="BK33" s="250"/>
      <c r="BL33" s="250"/>
      <c r="BM33" s="250"/>
      <c r="BN33" s="250"/>
      <c r="BO33" s="250"/>
      <c r="BP33" s="250"/>
      <c r="BQ33" s="250"/>
      <c r="BR33" s="250"/>
      <c r="BS33" s="250"/>
      <c r="BT33" s="250"/>
      <c r="BU33" s="250"/>
      <c r="BV33" s="250"/>
      <c r="BW33" s="251"/>
      <c r="BX33" s="251"/>
      <c r="BY33" s="251"/>
      <c r="BZ33" s="251"/>
      <c r="CA33" s="251"/>
      <c r="CB33" s="251"/>
      <c r="CC33" s="251"/>
      <c r="CD33" s="251"/>
      <c r="CE33" s="251"/>
      <c r="CF33" s="251"/>
      <c r="CG33" s="251"/>
      <c r="CH33" s="255"/>
      <c r="CI33" s="251"/>
      <c r="CJ33" s="251"/>
      <c r="CK33" s="251"/>
      <c r="CL33" s="251"/>
      <c r="CM33" s="251"/>
      <c r="CN33" s="251"/>
      <c r="CO33" s="252"/>
      <c r="CP33" s="252"/>
      <c r="CQ33" s="252"/>
      <c r="CR33" s="529"/>
      <c r="CS33" s="252"/>
      <c r="CT33" s="529"/>
      <c r="CU33" s="529"/>
      <c r="CV33" s="529"/>
      <c r="CW33" s="529"/>
      <c r="CX33" s="529"/>
      <c r="CY33" s="530"/>
      <c r="CZ33" s="252"/>
      <c r="DA33" s="252"/>
      <c r="DB33" s="252"/>
      <c r="DC33" s="249"/>
      <c r="DD33" s="249"/>
      <c r="DE33" s="249"/>
      <c r="DF33" s="249"/>
      <c r="DG33" s="249"/>
      <c r="DH33" s="249"/>
      <c r="DI33" s="249"/>
      <c r="DJ33" s="249"/>
      <c r="DK33" s="617"/>
      <c r="DL33" s="495">
        <f t="shared" si="23"/>
        <v>0</v>
      </c>
      <c r="DM33" s="84">
        <f t="shared" si="24"/>
        <v>150</v>
      </c>
      <c r="DN33" s="84">
        <f t="shared" si="25"/>
        <v>0</v>
      </c>
      <c r="DO33" s="125">
        <f t="shared" si="26"/>
        <v>0</v>
      </c>
    </row>
    <row r="34" spans="2:123" ht="32.1" hidden="1" customHeight="1" outlineLevel="1" thickBot="1" x14ac:dyDescent="0.3">
      <c r="B34" s="813"/>
      <c r="C34" s="814"/>
      <c r="D34" s="795"/>
      <c r="E34" s="776"/>
      <c r="F34" s="258" t="s">
        <v>3</v>
      </c>
      <c r="G34" s="259" t="s">
        <v>134</v>
      </c>
      <c r="H34" s="260" t="s">
        <v>136</v>
      </c>
      <c r="I34" s="908" t="s">
        <v>67</v>
      </c>
      <c r="J34" s="417"/>
      <c r="K34" s="417"/>
      <c r="L34" s="417"/>
      <c r="M34" s="417"/>
      <c r="N34" s="417"/>
      <c r="O34" s="417"/>
      <c r="P34" s="417"/>
      <c r="Q34" s="417"/>
      <c r="R34" s="417"/>
      <c r="S34" s="417"/>
      <c r="T34" s="417"/>
      <c r="U34" s="418"/>
      <c r="V34" s="418"/>
      <c r="W34" s="418"/>
      <c r="X34" s="418"/>
      <c r="Y34" s="418"/>
      <c r="Z34" s="418"/>
      <c r="AA34" s="418"/>
      <c r="AB34" s="418"/>
      <c r="AC34" s="418"/>
      <c r="AD34" s="418"/>
      <c r="AE34" s="418"/>
      <c r="AF34" s="418"/>
      <c r="AG34" s="418"/>
      <c r="AH34" s="418"/>
      <c r="AI34" s="418"/>
      <c r="AJ34" s="418"/>
      <c r="AK34" s="418"/>
      <c r="AL34" s="418"/>
      <c r="AM34" s="418"/>
      <c r="AN34" s="418"/>
      <c r="AO34" s="418"/>
      <c r="AP34" s="419"/>
      <c r="AQ34" s="419"/>
      <c r="AR34" s="419"/>
      <c r="AS34" s="419"/>
      <c r="AT34" s="419"/>
      <c r="AU34" s="420"/>
      <c r="AV34" s="420"/>
      <c r="AW34" s="420"/>
      <c r="AX34" s="420"/>
      <c r="AY34" s="420"/>
      <c r="AZ34" s="420"/>
      <c r="BA34" s="421"/>
      <c r="BB34" s="421"/>
      <c r="BC34" s="421"/>
      <c r="BD34" s="421"/>
      <c r="BE34" s="417"/>
      <c r="BF34" s="417">
        <v>15</v>
      </c>
      <c r="BG34" s="417"/>
      <c r="BH34" s="417"/>
      <c r="BI34" s="417"/>
      <c r="BJ34" s="422"/>
      <c r="BK34" s="418"/>
      <c r="BL34" s="418"/>
      <c r="BM34" s="418"/>
      <c r="BN34" s="418"/>
      <c r="BO34" s="418"/>
      <c r="BP34" s="418"/>
      <c r="BQ34" s="418"/>
      <c r="BR34" s="418"/>
      <c r="BS34" s="418"/>
      <c r="BT34" s="418"/>
      <c r="BU34" s="418"/>
      <c r="BV34" s="418"/>
      <c r="BW34" s="419"/>
      <c r="BX34" s="419"/>
      <c r="BY34" s="419"/>
      <c r="BZ34" s="419"/>
      <c r="CA34" s="419"/>
      <c r="CB34" s="419"/>
      <c r="CC34" s="419"/>
      <c r="CD34" s="419"/>
      <c r="CE34" s="419"/>
      <c r="CF34" s="419"/>
      <c r="CG34" s="419"/>
      <c r="CH34" s="424"/>
      <c r="CI34" s="419"/>
      <c r="CJ34" s="419"/>
      <c r="CK34" s="419"/>
      <c r="CL34" s="419"/>
      <c r="CM34" s="419"/>
      <c r="CN34" s="419"/>
      <c r="CO34" s="420"/>
      <c r="CP34" s="420"/>
      <c r="CQ34" s="420"/>
      <c r="CR34" s="535"/>
      <c r="CS34" s="420"/>
      <c r="CT34" s="535"/>
      <c r="CU34" s="535"/>
      <c r="CV34" s="535"/>
      <c r="CW34" s="535"/>
      <c r="CX34" s="535"/>
      <c r="CY34" s="536"/>
      <c r="CZ34" s="420"/>
      <c r="DA34" s="420"/>
      <c r="DB34" s="420"/>
      <c r="DC34" s="417"/>
      <c r="DD34" s="417"/>
      <c r="DE34" s="417"/>
      <c r="DF34" s="417"/>
      <c r="DG34" s="417"/>
      <c r="DH34" s="417"/>
      <c r="DI34" s="417"/>
      <c r="DJ34" s="417"/>
      <c r="DK34" s="620"/>
      <c r="DL34" s="497">
        <f t="shared" si="23"/>
        <v>0</v>
      </c>
      <c r="DM34" s="126">
        <f t="shared" si="24"/>
        <v>15</v>
      </c>
      <c r="DN34" s="126">
        <f t="shared" si="25"/>
        <v>0</v>
      </c>
      <c r="DO34" s="127">
        <f t="shared" si="26"/>
        <v>0</v>
      </c>
    </row>
    <row r="35" spans="2:123" ht="32.1" hidden="1" customHeight="1" outlineLevel="1" thickBot="1" x14ac:dyDescent="0.3">
      <c r="B35" s="813"/>
      <c r="C35" s="814"/>
      <c r="D35" s="795"/>
      <c r="E35" s="776" t="s">
        <v>137</v>
      </c>
      <c r="F35" s="236" t="s">
        <v>3</v>
      </c>
      <c r="G35" s="237" t="s">
        <v>134</v>
      </c>
      <c r="H35" s="486" t="s">
        <v>137</v>
      </c>
      <c r="I35" s="906" t="s">
        <v>183</v>
      </c>
      <c r="J35" s="407"/>
      <c r="K35" s="407"/>
      <c r="L35" s="407"/>
      <c r="M35" s="407"/>
      <c r="N35" s="407"/>
      <c r="O35" s="407"/>
      <c r="P35" s="407"/>
      <c r="Q35" s="407"/>
      <c r="R35" s="407"/>
      <c r="S35" s="407"/>
      <c r="T35" s="407"/>
      <c r="U35" s="408"/>
      <c r="V35" s="487"/>
      <c r="W35" s="408"/>
      <c r="X35" s="408">
        <v>10</v>
      </c>
      <c r="Y35" s="408"/>
      <c r="Z35" s="408"/>
      <c r="AA35" s="408"/>
      <c r="AB35" s="408"/>
      <c r="AC35" s="408"/>
      <c r="AD35" s="408"/>
      <c r="AE35" s="408"/>
      <c r="AF35" s="408"/>
      <c r="AG35" s="408"/>
      <c r="AH35" s="408"/>
      <c r="AI35" s="408"/>
      <c r="AJ35" s="408"/>
      <c r="AK35" s="408"/>
      <c r="AL35" s="408"/>
      <c r="AM35" s="408"/>
      <c r="AN35" s="408"/>
      <c r="AO35" s="408"/>
      <c r="AP35" s="409"/>
      <c r="AQ35" s="409"/>
      <c r="AR35" s="409"/>
      <c r="AS35" s="409"/>
      <c r="AT35" s="409"/>
      <c r="AU35" s="410"/>
      <c r="AV35" s="410"/>
      <c r="AW35" s="410"/>
      <c r="AX35" s="410"/>
      <c r="AY35" s="410"/>
      <c r="AZ35" s="410"/>
      <c r="BA35" s="411"/>
      <c r="BB35" s="411"/>
      <c r="BC35" s="411"/>
      <c r="BD35" s="411"/>
      <c r="BE35" s="407"/>
      <c r="BF35" s="407"/>
      <c r="BG35" s="407"/>
      <c r="BH35" s="407"/>
      <c r="BI35" s="407"/>
      <c r="BJ35" s="412"/>
      <c r="BK35" s="408"/>
      <c r="BL35" s="408"/>
      <c r="BM35" s="408"/>
      <c r="BN35" s="408"/>
      <c r="BO35" s="408"/>
      <c r="BP35" s="408"/>
      <c r="BQ35" s="408">
        <v>112.5</v>
      </c>
      <c r="BR35" s="408"/>
      <c r="BS35" s="408"/>
      <c r="BT35" s="408"/>
      <c r="BU35" s="408"/>
      <c r="BV35" s="408"/>
      <c r="BW35" s="409"/>
      <c r="BX35" s="409"/>
      <c r="BY35" s="409"/>
      <c r="BZ35" s="409"/>
      <c r="CA35" s="409"/>
      <c r="CB35" s="409"/>
      <c r="CC35" s="409"/>
      <c r="CD35" s="409"/>
      <c r="CE35" s="409"/>
      <c r="CF35" s="409"/>
      <c r="CG35" s="409"/>
      <c r="CH35" s="414"/>
      <c r="CI35" s="409"/>
      <c r="CJ35" s="409"/>
      <c r="CK35" s="409"/>
      <c r="CL35" s="409"/>
      <c r="CM35" s="409"/>
      <c r="CN35" s="409"/>
      <c r="CO35" s="410"/>
      <c r="CP35" s="410"/>
      <c r="CQ35" s="410"/>
      <c r="CR35" s="533"/>
      <c r="CS35" s="410"/>
      <c r="CT35" s="533"/>
      <c r="CU35" s="533"/>
      <c r="CV35" s="533"/>
      <c r="CW35" s="533"/>
      <c r="CX35" s="533"/>
      <c r="CY35" s="534"/>
      <c r="CZ35" s="410"/>
      <c r="DA35" s="410"/>
      <c r="DB35" s="410"/>
      <c r="DC35" s="407"/>
      <c r="DD35" s="407"/>
      <c r="DE35" s="407"/>
      <c r="DF35" s="407"/>
      <c r="DG35" s="407"/>
      <c r="DH35" s="407"/>
      <c r="DI35" s="407"/>
      <c r="DJ35" s="407"/>
      <c r="DK35" s="619"/>
      <c r="DL35" s="494">
        <f t="shared" si="23"/>
        <v>10</v>
      </c>
      <c r="DM35" s="122">
        <f t="shared" si="24"/>
        <v>122.5</v>
      </c>
      <c r="DN35" s="122">
        <f t="shared" si="25"/>
        <v>112.5</v>
      </c>
      <c r="DO35" s="124">
        <f t="shared" si="26"/>
        <v>0</v>
      </c>
    </row>
    <row r="36" spans="2:123" ht="32.1" hidden="1" customHeight="1" outlineLevel="1" thickBot="1" x14ac:dyDescent="0.3">
      <c r="B36" s="813"/>
      <c r="C36" s="814"/>
      <c r="D36" s="795"/>
      <c r="E36" s="776"/>
      <c r="F36" s="246" t="s">
        <v>3</v>
      </c>
      <c r="G36" s="247" t="s">
        <v>134</v>
      </c>
      <c r="H36" s="256" t="s">
        <v>137</v>
      </c>
      <c r="I36" s="907" t="s">
        <v>184</v>
      </c>
      <c r="J36" s="249"/>
      <c r="K36" s="249">
        <v>70</v>
      </c>
      <c r="L36" s="249"/>
      <c r="M36" s="249"/>
      <c r="N36" s="249"/>
      <c r="O36" s="249"/>
      <c r="P36" s="249"/>
      <c r="Q36" s="249"/>
      <c r="R36" s="249"/>
      <c r="S36" s="249"/>
      <c r="T36" s="249"/>
      <c r="U36" s="250"/>
      <c r="V36" s="250"/>
      <c r="W36" s="250"/>
      <c r="X36" s="250">
        <v>10</v>
      </c>
      <c r="Y36" s="250">
        <v>15</v>
      </c>
      <c r="Z36" s="250"/>
      <c r="AA36" s="250"/>
      <c r="AB36" s="250"/>
      <c r="AC36" s="250"/>
      <c r="AD36" s="250"/>
      <c r="AE36" s="250"/>
      <c r="AF36" s="250"/>
      <c r="AG36" s="250"/>
      <c r="AH36" s="250">
        <v>2</v>
      </c>
      <c r="AI36" s="250"/>
      <c r="AJ36" s="250"/>
      <c r="AK36" s="250"/>
      <c r="AL36" s="250"/>
      <c r="AM36" s="250"/>
      <c r="AN36" s="250"/>
      <c r="AO36" s="250"/>
      <c r="AP36" s="257"/>
      <c r="AQ36" s="257"/>
      <c r="AR36" s="257"/>
      <c r="AS36" s="251"/>
      <c r="AT36" s="251"/>
      <c r="AU36" s="252"/>
      <c r="AV36" s="252"/>
      <c r="AW36" s="252"/>
      <c r="AX36" s="252"/>
      <c r="AY36" s="252"/>
      <c r="AZ36" s="252"/>
      <c r="BA36" s="253"/>
      <c r="BB36" s="253"/>
      <c r="BC36" s="253"/>
      <c r="BD36" s="253"/>
      <c r="BE36" s="249"/>
      <c r="BF36" s="249"/>
      <c r="BG36" s="249">
        <v>5</v>
      </c>
      <c r="BH36" s="249"/>
      <c r="BI36" s="249"/>
      <c r="BJ36" s="254"/>
      <c r="BK36" s="250"/>
      <c r="BL36" s="250"/>
      <c r="BM36" s="250"/>
      <c r="BN36" s="250"/>
      <c r="BO36" s="250"/>
      <c r="BP36" s="250"/>
      <c r="BQ36" s="250"/>
      <c r="BR36" s="250"/>
      <c r="BS36" s="250"/>
      <c r="BT36" s="250"/>
      <c r="BU36" s="250"/>
      <c r="BV36" s="250"/>
      <c r="BW36" s="251"/>
      <c r="BX36" s="251"/>
      <c r="BY36" s="251"/>
      <c r="BZ36" s="251"/>
      <c r="CA36" s="251"/>
      <c r="CB36" s="251"/>
      <c r="CC36" s="251"/>
      <c r="CD36" s="251"/>
      <c r="CE36" s="251"/>
      <c r="CF36" s="251"/>
      <c r="CG36" s="251"/>
      <c r="CH36" s="255"/>
      <c r="CI36" s="251"/>
      <c r="CJ36" s="251"/>
      <c r="CK36" s="251"/>
      <c r="CL36" s="251"/>
      <c r="CM36" s="251"/>
      <c r="CN36" s="251"/>
      <c r="CO36" s="252"/>
      <c r="CP36" s="252"/>
      <c r="CQ36" s="252"/>
      <c r="CR36" s="529"/>
      <c r="CS36" s="252"/>
      <c r="CT36" s="529"/>
      <c r="CU36" s="529"/>
      <c r="CV36" s="529"/>
      <c r="CW36" s="529"/>
      <c r="CX36" s="529"/>
      <c r="CY36" s="530"/>
      <c r="CZ36" s="252"/>
      <c r="DA36" s="252"/>
      <c r="DB36" s="252"/>
      <c r="DC36" s="249"/>
      <c r="DD36" s="249"/>
      <c r="DE36" s="249"/>
      <c r="DF36" s="249"/>
      <c r="DG36" s="249"/>
      <c r="DH36" s="249"/>
      <c r="DI36" s="249"/>
      <c r="DJ36" s="249"/>
      <c r="DK36" s="617"/>
      <c r="DL36" s="495">
        <f t="shared" si="23"/>
        <v>383</v>
      </c>
      <c r="DM36" s="84">
        <f t="shared" si="24"/>
        <v>102</v>
      </c>
      <c r="DN36" s="84">
        <f t="shared" si="25"/>
        <v>0</v>
      </c>
      <c r="DO36" s="125">
        <f t="shared" si="26"/>
        <v>0</v>
      </c>
    </row>
    <row r="37" spans="2:123" ht="32.1" hidden="1" customHeight="1" outlineLevel="1" thickBot="1" x14ac:dyDescent="0.3">
      <c r="B37" s="813"/>
      <c r="C37" s="814"/>
      <c r="D37" s="795"/>
      <c r="E37" s="776"/>
      <c r="F37" s="246" t="s">
        <v>3</v>
      </c>
      <c r="G37" s="247" t="s">
        <v>134</v>
      </c>
      <c r="H37" s="256" t="s">
        <v>137</v>
      </c>
      <c r="I37" s="907" t="s">
        <v>185</v>
      </c>
      <c r="J37" s="249"/>
      <c r="K37" s="249"/>
      <c r="L37" s="249"/>
      <c r="M37" s="249"/>
      <c r="N37" s="249"/>
      <c r="O37" s="249"/>
      <c r="P37" s="249"/>
      <c r="Q37" s="249"/>
      <c r="R37" s="249"/>
      <c r="S37" s="249"/>
      <c r="T37" s="249"/>
      <c r="U37" s="250"/>
      <c r="V37" s="250"/>
      <c r="W37" s="250"/>
      <c r="X37" s="250"/>
      <c r="Y37" s="250"/>
      <c r="Z37" s="250"/>
      <c r="AA37" s="250"/>
      <c r="AB37" s="250"/>
      <c r="AC37" s="250"/>
      <c r="AD37" s="250"/>
      <c r="AE37" s="250"/>
      <c r="AF37" s="250"/>
      <c r="AG37" s="250"/>
      <c r="AH37" s="250"/>
      <c r="AI37" s="250"/>
      <c r="AJ37" s="250"/>
      <c r="AK37" s="250"/>
      <c r="AL37" s="250"/>
      <c r="AM37" s="250"/>
      <c r="AN37" s="250"/>
      <c r="AO37" s="250"/>
      <c r="AP37" s="257"/>
      <c r="AQ37" s="257"/>
      <c r="AR37" s="257"/>
      <c r="AS37" s="251"/>
      <c r="AT37" s="251"/>
      <c r="AU37" s="252"/>
      <c r="AV37" s="252"/>
      <c r="AW37" s="252"/>
      <c r="AX37" s="252"/>
      <c r="AY37" s="252"/>
      <c r="AZ37" s="252"/>
      <c r="BA37" s="253"/>
      <c r="BB37" s="253"/>
      <c r="BC37" s="253"/>
      <c r="BD37" s="253"/>
      <c r="BE37" s="249"/>
      <c r="BF37" s="249"/>
      <c r="BG37" s="249"/>
      <c r="BH37" s="249"/>
      <c r="BI37" s="249"/>
      <c r="BJ37" s="254"/>
      <c r="BK37" s="250"/>
      <c r="BL37" s="250"/>
      <c r="BM37" s="250"/>
      <c r="BN37" s="250"/>
      <c r="BO37" s="250"/>
      <c r="BP37" s="250"/>
      <c r="BQ37" s="250"/>
      <c r="BR37" s="250"/>
      <c r="BS37" s="250"/>
      <c r="BT37" s="250"/>
      <c r="BU37" s="250"/>
      <c r="BV37" s="250"/>
      <c r="BW37" s="251"/>
      <c r="BX37" s="251"/>
      <c r="BY37" s="251"/>
      <c r="BZ37" s="251"/>
      <c r="CA37" s="251"/>
      <c r="CB37" s="251"/>
      <c r="CC37" s="251"/>
      <c r="CD37" s="251"/>
      <c r="CE37" s="251"/>
      <c r="CF37" s="251"/>
      <c r="CG37" s="251"/>
      <c r="CH37" s="255"/>
      <c r="CI37" s="251"/>
      <c r="CJ37" s="251"/>
      <c r="CK37" s="251"/>
      <c r="CL37" s="251"/>
      <c r="CM37" s="251"/>
      <c r="CN37" s="251"/>
      <c r="CO37" s="252"/>
      <c r="CP37" s="252"/>
      <c r="CQ37" s="252"/>
      <c r="CR37" s="529"/>
      <c r="CS37" s="252"/>
      <c r="CT37" s="529"/>
      <c r="CU37" s="529"/>
      <c r="CV37" s="529"/>
      <c r="CW37" s="529"/>
      <c r="CX37" s="529"/>
      <c r="CY37" s="530"/>
      <c r="CZ37" s="252"/>
      <c r="DA37" s="252"/>
      <c r="DB37" s="252"/>
      <c r="DC37" s="249"/>
      <c r="DD37" s="249"/>
      <c r="DE37" s="249"/>
      <c r="DF37" s="249"/>
      <c r="DG37" s="249"/>
      <c r="DH37" s="249"/>
      <c r="DI37" s="249"/>
      <c r="DJ37" s="249"/>
      <c r="DK37" s="617"/>
      <c r="DL37" s="495">
        <f t="shared" si="23"/>
        <v>0</v>
      </c>
      <c r="DM37" s="84">
        <f t="shared" si="24"/>
        <v>0</v>
      </c>
      <c r="DN37" s="84">
        <f t="shared" si="25"/>
        <v>0</v>
      </c>
      <c r="DO37" s="125">
        <f t="shared" si="26"/>
        <v>0</v>
      </c>
    </row>
    <row r="38" spans="2:123" ht="32.1" hidden="1" customHeight="1" outlineLevel="1" thickBot="1" x14ac:dyDescent="0.4">
      <c r="B38" s="813"/>
      <c r="C38" s="814"/>
      <c r="D38" s="795"/>
      <c r="E38" s="776"/>
      <c r="F38" s="258" t="s">
        <v>3</v>
      </c>
      <c r="G38" s="259" t="s">
        <v>134</v>
      </c>
      <c r="H38" s="260" t="s">
        <v>137</v>
      </c>
      <c r="I38" s="908" t="s">
        <v>187</v>
      </c>
      <c r="J38" s="417"/>
      <c r="K38" s="417"/>
      <c r="L38" s="417"/>
      <c r="M38" s="417"/>
      <c r="N38" s="417"/>
      <c r="O38" s="417"/>
      <c r="P38" s="417"/>
      <c r="Q38" s="417"/>
      <c r="R38" s="417"/>
      <c r="S38" s="417"/>
      <c r="T38" s="417"/>
      <c r="U38" s="418"/>
      <c r="V38" s="418"/>
      <c r="W38" s="418"/>
      <c r="X38" s="418"/>
      <c r="Y38" s="418"/>
      <c r="Z38" s="418"/>
      <c r="AA38" s="418"/>
      <c r="AB38" s="418"/>
      <c r="AC38" s="418"/>
      <c r="AD38" s="418"/>
      <c r="AE38" s="418"/>
      <c r="AF38" s="418"/>
      <c r="AG38" s="418"/>
      <c r="AH38" s="418"/>
      <c r="AI38" s="418"/>
      <c r="AJ38" s="418"/>
      <c r="AK38" s="418"/>
      <c r="AL38" s="418"/>
      <c r="AM38" s="418"/>
      <c r="AN38" s="418"/>
      <c r="AO38" s="418"/>
      <c r="AP38" s="419"/>
      <c r="AQ38" s="419"/>
      <c r="AR38" s="419"/>
      <c r="AS38" s="419"/>
      <c r="AT38" s="419"/>
      <c r="AU38" s="420"/>
      <c r="AV38" s="420"/>
      <c r="AW38" s="420"/>
      <c r="AX38" s="420"/>
      <c r="AY38" s="420"/>
      <c r="AZ38" s="420"/>
      <c r="BA38" s="421"/>
      <c r="BB38" s="421"/>
      <c r="BC38" s="421"/>
      <c r="BD38" s="421"/>
      <c r="BE38" s="417"/>
      <c r="BF38" s="417"/>
      <c r="BG38" s="417"/>
      <c r="BH38" s="417">
        <v>20</v>
      </c>
      <c r="BI38" s="417"/>
      <c r="BJ38" s="422"/>
      <c r="BK38" s="418"/>
      <c r="BL38" s="418"/>
      <c r="BM38" s="418"/>
      <c r="BN38" s="418"/>
      <c r="BO38" s="418"/>
      <c r="BP38" s="418"/>
      <c r="BQ38" s="418"/>
      <c r="BR38" s="418"/>
      <c r="BS38" s="418"/>
      <c r="BT38" s="418"/>
      <c r="BU38" s="418"/>
      <c r="BV38" s="418"/>
      <c r="BW38" s="419"/>
      <c r="BX38" s="419"/>
      <c r="BY38" s="419"/>
      <c r="BZ38" s="419"/>
      <c r="CA38" s="419"/>
      <c r="CB38" s="419"/>
      <c r="CC38" s="419"/>
      <c r="CD38" s="419"/>
      <c r="CE38" s="419"/>
      <c r="CF38" s="419"/>
      <c r="CG38" s="419"/>
      <c r="CH38" s="424"/>
      <c r="CI38" s="419"/>
      <c r="CJ38" s="419"/>
      <c r="CK38" s="419"/>
      <c r="CL38" s="419"/>
      <c r="CM38" s="419"/>
      <c r="CN38" s="419"/>
      <c r="CO38" s="420"/>
      <c r="CP38" s="420"/>
      <c r="CQ38" s="420"/>
      <c r="CR38" s="535"/>
      <c r="CS38" s="420"/>
      <c r="CT38" s="535"/>
      <c r="CU38" s="535"/>
      <c r="CV38" s="535"/>
      <c r="CW38" s="535"/>
      <c r="CX38" s="535"/>
      <c r="CY38" s="536"/>
      <c r="CZ38" s="420"/>
      <c r="DA38" s="537"/>
      <c r="DB38" s="537"/>
      <c r="DC38" s="621"/>
      <c r="DD38" s="621"/>
      <c r="DE38" s="621"/>
      <c r="DF38" s="621"/>
      <c r="DG38" s="621"/>
      <c r="DH38" s="621"/>
      <c r="DI38" s="621"/>
      <c r="DJ38" s="621"/>
      <c r="DK38" s="622"/>
      <c r="DL38" s="497">
        <f t="shared" si="23"/>
        <v>0</v>
      </c>
      <c r="DM38" s="126">
        <f t="shared" si="24"/>
        <v>20</v>
      </c>
      <c r="DN38" s="126">
        <f t="shared" si="25"/>
        <v>0</v>
      </c>
      <c r="DO38" s="127">
        <f t="shared" si="26"/>
        <v>0</v>
      </c>
    </row>
    <row r="39" spans="2:123" ht="32.1" hidden="1" customHeight="1" outlineLevel="1" thickBot="1" x14ac:dyDescent="0.4">
      <c r="B39" s="813"/>
      <c r="C39" s="814"/>
      <c r="D39" s="795"/>
      <c r="E39" s="775" t="s">
        <v>138</v>
      </c>
      <c r="F39" s="403" t="s">
        <v>3</v>
      </c>
      <c r="G39" s="484" t="s">
        <v>134</v>
      </c>
      <c r="H39" s="485" t="s">
        <v>138</v>
      </c>
      <c r="I39" s="904" t="s">
        <v>186</v>
      </c>
      <c r="J39" s="239"/>
      <c r="K39" s="239"/>
      <c r="L39" s="239"/>
      <c r="M39" s="239"/>
      <c r="N39" s="239"/>
      <c r="O39" s="239"/>
      <c r="P39" s="239"/>
      <c r="Q39" s="239"/>
      <c r="R39" s="239"/>
      <c r="S39" s="239"/>
      <c r="T39" s="239"/>
      <c r="U39" s="240"/>
      <c r="V39" s="240"/>
      <c r="W39" s="240"/>
      <c r="X39" s="240"/>
      <c r="Y39" s="240"/>
      <c r="Z39" s="240"/>
      <c r="AA39" s="240"/>
      <c r="AB39" s="240"/>
      <c r="AC39" s="240"/>
      <c r="AD39" s="240"/>
      <c r="AE39" s="240"/>
      <c r="AF39" s="240"/>
      <c r="AG39" s="240"/>
      <c r="AH39" s="240"/>
      <c r="AI39" s="240"/>
      <c r="AJ39" s="240"/>
      <c r="AK39" s="240"/>
      <c r="AL39" s="240"/>
      <c r="AM39" s="240"/>
      <c r="AN39" s="240"/>
      <c r="AO39" s="240"/>
      <c r="AP39" s="241"/>
      <c r="AQ39" s="241"/>
      <c r="AR39" s="241"/>
      <c r="AS39" s="241"/>
      <c r="AT39" s="241"/>
      <c r="AU39" s="242"/>
      <c r="AV39" s="242"/>
      <c r="AW39" s="242"/>
      <c r="AX39" s="242"/>
      <c r="AY39" s="242"/>
      <c r="AZ39" s="242"/>
      <c r="BA39" s="243"/>
      <c r="BB39" s="243"/>
      <c r="BC39" s="243"/>
      <c r="BD39" s="243"/>
      <c r="BE39" s="239"/>
      <c r="BF39" s="239"/>
      <c r="BG39" s="239"/>
      <c r="BH39" s="239"/>
      <c r="BI39" s="239"/>
      <c r="BJ39" s="244"/>
      <c r="BK39" s="240"/>
      <c r="BL39" s="240"/>
      <c r="BM39" s="240"/>
      <c r="BN39" s="240"/>
      <c r="BO39" s="240"/>
      <c r="BP39" s="240"/>
      <c r="BQ39" s="240"/>
      <c r="BR39" s="240"/>
      <c r="BS39" s="240"/>
      <c r="BT39" s="240"/>
      <c r="BU39" s="240"/>
      <c r="BV39" s="240"/>
      <c r="BW39" s="241"/>
      <c r="BX39" s="241"/>
      <c r="BY39" s="241"/>
      <c r="BZ39" s="241"/>
      <c r="CA39" s="241"/>
      <c r="CB39" s="241"/>
      <c r="CC39" s="241"/>
      <c r="CD39" s="241"/>
      <c r="CE39" s="241"/>
      <c r="CF39" s="241"/>
      <c r="CG39" s="241"/>
      <c r="CH39" s="245"/>
      <c r="CI39" s="241"/>
      <c r="CJ39" s="241">
        <v>8</v>
      </c>
      <c r="CK39" s="241">
        <v>8</v>
      </c>
      <c r="CL39" s="241">
        <v>4</v>
      </c>
      <c r="CM39" s="241"/>
      <c r="CN39" s="241"/>
      <c r="CO39" s="242"/>
      <c r="CP39" s="242"/>
      <c r="CQ39" s="242"/>
      <c r="CR39" s="527"/>
      <c r="CS39" s="242"/>
      <c r="CT39" s="527"/>
      <c r="CU39" s="527"/>
      <c r="CV39" s="527"/>
      <c r="CW39" s="527"/>
      <c r="CX39" s="527"/>
      <c r="CY39" s="528"/>
      <c r="CZ39" s="242"/>
      <c r="DA39" s="538"/>
      <c r="DB39" s="538"/>
      <c r="DC39" s="623"/>
      <c r="DD39" s="623"/>
      <c r="DE39" s="623"/>
      <c r="DF39" s="623"/>
      <c r="DG39" s="623"/>
      <c r="DH39" s="623"/>
      <c r="DI39" s="623"/>
      <c r="DJ39" s="623"/>
      <c r="DK39" s="624"/>
      <c r="DL39" s="498">
        <f t="shared" si="23"/>
        <v>0</v>
      </c>
      <c r="DM39" s="121">
        <f t="shared" si="24"/>
        <v>20</v>
      </c>
      <c r="DN39" s="121">
        <f t="shared" si="25"/>
        <v>0</v>
      </c>
      <c r="DO39" s="357">
        <f t="shared" si="26"/>
        <v>0</v>
      </c>
    </row>
    <row r="40" spans="2:123" ht="32.1" hidden="1" customHeight="1" outlineLevel="1" thickBot="1" x14ac:dyDescent="0.4">
      <c r="B40" s="813"/>
      <c r="C40" s="814"/>
      <c r="D40" s="795"/>
      <c r="E40" s="776"/>
      <c r="F40" s="246" t="s">
        <v>3</v>
      </c>
      <c r="G40" s="247" t="s">
        <v>134</v>
      </c>
      <c r="H40" s="256" t="s">
        <v>138</v>
      </c>
      <c r="I40" s="907" t="s">
        <v>94</v>
      </c>
      <c r="J40" s="249"/>
      <c r="K40" s="249"/>
      <c r="L40" s="249"/>
      <c r="M40" s="249"/>
      <c r="N40" s="249"/>
      <c r="O40" s="249"/>
      <c r="P40" s="249"/>
      <c r="Q40" s="249"/>
      <c r="R40" s="249"/>
      <c r="S40" s="249"/>
      <c r="T40" s="249"/>
      <c r="U40" s="250"/>
      <c r="V40" s="250"/>
      <c r="W40" s="250"/>
      <c r="X40" s="250"/>
      <c r="Y40" s="250"/>
      <c r="Z40" s="250"/>
      <c r="AA40" s="250"/>
      <c r="AB40" s="250"/>
      <c r="AC40" s="250"/>
      <c r="AD40" s="250"/>
      <c r="AE40" s="250"/>
      <c r="AF40" s="250"/>
      <c r="AG40" s="250"/>
      <c r="AH40" s="250"/>
      <c r="AI40" s="250"/>
      <c r="AJ40" s="250"/>
      <c r="AK40" s="250"/>
      <c r="AL40" s="250"/>
      <c r="AM40" s="250"/>
      <c r="AN40" s="250"/>
      <c r="AO40" s="250"/>
      <c r="AP40" s="251"/>
      <c r="AQ40" s="251"/>
      <c r="AR40" s="251"/>
      <c r="AS40" s="251"/>
      <c r="AT40" s="251"/>
      <c r="AU40" s="252"/>
      <c r="AV40" s="252"/>
      <c r="AW40" s="252"/>
      <c r="AX40" s="252"/>
      <c r="AY40" s="252"/>
      <c r="AZ40" s="252"/>
      <c r="BA40" s="253"/>
      <c r="BB40" s="253"/>
      <c r="BC40" s="253"/>
      <c r="BD40" s="253"/>
      <c r="BE40" s="249"/>
      <c r="BF40" s="249"/>
      <c r="BG40" s="249"/>
      <c r="BH40" s="249"/>
      <c r="BI40" s="249"/>
      <c r="BJ40" s="254"/>
      <c r="BK40" s="250"/>
      <c r="BL40" s="250"/>
      <c r="BM40" s="250"/>
      <c r="BN40" s="250"/>
      <c r="BO40" s="250"/>
      <c r="BP40" s="250"/>
      <c r="BQ40" s="250"/>
      <c r="BR40" s="250"/>
      <c r="BS40" s="250"/>
      <c r="BT40" s="250"/>
      <c r="BU40" s="250"/>
      <c r="BV40" s="250"/>
      <c r="BW40" s="251"/>
      <c r="BX40" s="251"/>
      <c r="BY40" s="251"/>
      <c r="BZ40" s="251"/>
      <c r="CA40" s="251"/>
      <c r="CB40" s="251"/>
      <c r="CC40" s="251"/>
      <c r="CD40" s="251"/>
      <c r="CE40" s="251"/>
      <c r="CF40" s="251"/>
      <c r="CG40" s="251"/>
      <c r="CH40" s="255"/>
      <c r="CI40" s="251"/>
      <c r="CJ40" s="251"/>
      <c r="CK40" s="251"/>
      <c r="CL40" s="251"/>
      <c r="CM40" s="251"/>
      <c r="CN40" s="251"/>
      <c r="CO40" s="252"/>
      <c r="CP40" s="252"/>
      <c r="CQ40" s="252">
        <v>20</v>
      </c>
      <c r="CR40" s="529"/>
      <c r="CS40" s="252"/>
      <c r="CT40" s="529"/>
      <c r="CU40" s="529"/>
      <c r="CV40" s="529"/>
      <c r="CW40" s="529"/>
      <c r="CX40" s="529"/>
      <c r="CY40" s="530"/>
      <c r="CZ40" s="252"/>
      <c r="DA40" s="539"/>
      <c r="DB40" s="539"/>
      <c r="DC40" s="625"/>
      <c r="DD40" s="625"/>
      <c r="DE40" s="625"/>
      <c r="DF40" s="625"/>
      <c r="DG40" s="625"/>
      <c r="DH40" s="625"/>
      <c r="DI40" s="625"/>
      <c r="DJ40" s="625"/>
      <c r="DK40" s="626"/>
      <c r="DL40" s="495">
        <f t="shared" si="23"/>
        <v>0</v>
      </c>
      <c r="DM40" s="84">
        <f t="shared" si="24"/>
        <v>20</v>
      </c>
      <c r="DN40" s="84">
        <f t="shared" si="25"/>
        <v>0</v>
      </c>
      <c r="DO40" s="125">
        <f t="shared" si="26"/>
        <v>0</v>
      </c>
    </row>
    <row r="41" spans="2:123" ht="32.1" hidden="1" customHeight="1" outlineLevel="1" thickBot="1" x14ac:dyDescent="0.4">
      <c r="B41" s="813"/>
      <c r="C41" s="814"/>
      <c r="D41" s="795"/>
      <c r="E41" s="776"/>
      <c r="F41" s="246" t="s">
        <v>3</v>
      </c>
      <c r="G41" s="247" t="s">
        <v>134</v>
      </c>
      <c r="H41" s="256" t="s">
        <v>138</v>
      </c>
      <c r="I41" s="907" t="s">
        <v>60</v>
      </c>
      <c r="J41" s="249"/>
      <c r="K41" s="249"/>
      <c r="L41" s="249"/>
      <c r="M41" s="249"/>
      <c r="N41" s="249"/>
      <c r="O41" s="249"/>
      <c r="P41" s="249"/>
      <c r="Q41" s="249"/>
      <c r="R41" s="249"/>
      <c r="S41" s="249"/>
      <c r="T41" s="249"/>
      <c r="U41" s="250"/>
      <c r="V41" s="250"/>
      <c r="W41" s="250"/>
      <c r="X41" s="250"/>
      <c r="Y41" s="250"/>
      <c r="Z41" s="250"/>
      <c r="AA41" s="250"/>
      <c r="AB41" s="250"/>
      <c r="AC41" s="250"/>
      <c r="AD41" s="250"/>
      <c r="AE41" s="250"/>
      <c r="AF41" s="250"/>
      <c r="AG41" s="250"/>
      <c r="AH41" s="250"/>
      <c r="AI41" s="250"/>
      <c r="AJ41" s="250"/>
      <c r="AK41" s="250"/>
      <c r="AL41" s="250"/>
      <c r="AM41" s="250"/>
      <c r="AN41" s="250"/>
      <c r="AO41" s="250"/>
      <c r="AP41" s="251"/>
      <c r="AQ41" s="251"/>
      <c r="AR41" s="251"/>
      <c r="AS41" s="251"/>
      <c r="AT41" s="251"/>
      <c r="AU41" s="252"/>
      <c r="AV41" s="252"/>
      <c r="AW41" s="252"/>
      <c r="AX41" s="252"/>
      <c r="AY41" s="252"/>
      <c r="AZ41" s="252"/>
      <c r="BA41" s="253"/>
      <c r="BB41" s="253"/>
      <c r="BC41" s="253"/>
      <c r="BD41" s="253"/>
      <c r="BE41" s="249"/>
      <c r="BF41" s="249"/>
      <c r="BG41" s="249"/>
      <c r="BH41" s="249"/>
      <c r="BI41" s="249"/>
      <c r="BJ41" s="254"/>
      <c r="BK41" s="250"/>
      <c r="BL41" s="250"/>
      <c r="BM41" s="250"/>
      <c r="BN41" s="250"/>
      <c r="BO41" s="250"/>
      <c r="BP41" s="250"/>
      <c r="BQ41" s="250"/>
      <c r="BR41" s="250"/>
      <c r="BS41" s="250"/>
      <c r="BT41" s="250"/>
      <c r="BU41" s="250"/>
      <c r="BV41" s="250"/>
      <c r="BW41" s="251"/>
      <c r="BX41" s="251"/>
      <c r="BY41" s="251"/>
      <c r="BZ41" s="251"/>
      <c r="CA41" s="251"/>
      <c r="CB41" s="251"/>
      <c r="CC41" s="251"/>
      <c r="CD41" s="251"/>
      <c r="CE41" s="251">
        <v>20</v>
      </c>
      <c r="CF41" s="251"/>
      <c r="CG41" s="251"/>
      <c r="CH41" s="255"/>
      <c r="CI41" s="251"/>
      <c r="CJ41" s="251"/>
      <c r="CK41" s="251"/>
      <c r="CL41" s="251"/>
      <c r="CM41" s="251"/>
      <c r="CN41" s="251"/>
      <c r="CO41" s="252"/>
      <c r="CP41" s="252"/>
      <c r="CQ41" s="252"/>
      <c r="CR41" s="529"/>
      <c r="CS41" s="252"/>
      <c r="CT41" s="529"/>
      <c r="CU41" s="529"/>
      <c r="CV41" s="529"/>
      <c r="CW41" s="529"/>
      <c r="CX41" s="529"/>
      <c r="CY41" s="530"/>
      <c r="CZ41" s="252"/>
      <c r="DA41" s="539"/>
      <c r="DB41" s="539"/>
      <c r="DC41" s="625"/>
      <c r="DD41" s="625"/>
      <c r="DE41" s="625"/>
      <c r="DF41" s="625"/>
      <c r="DG41" s="625"/>
      <c r="DH41" s="625"/>
      <c r="DI41" s="625"/>
      <c r="DJ41" s="625"/>
      <c r="DK41" s="626"/>
      <c r="DL41" s="495">
        <f t="shared" si="23"/>
        <v>0</v>
      </c>
      <c r="DM41" s="84">
        <f t="shared" si="24"/>
        <v>20</v>
      </c>
      <c r="DN41" s="84">
        <f t="shared" si="25"/>
        <v>0</v>
      </c>
      <c r="DO41" s="125">
        <f t="shared" si="26"/>
        <v>0</v>
      </c>
    </row>
    <row r="42" spans="2:123" ht="32.1" hidden="1" customHeight="1" outlineLevel="1" thickBot="1" x14ac:dyDescent="0.3">
      <c r="B42" s="813"/>
      <c r="C42" s="814"/>
      <c r="D42" s="796"/>
      <c r="E42" s="777"/>
      <c r="F42" s="258" t="s">
        <v>3</v>
      </c>
      <c r="G42" s="259" t="s">
        <v>134</v>
      </c>
      <c r="H42" s="260" t="s">
        <v>138</v>
      </c>
      <c r="I42" s="909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3"/>
      <c r="AQ42" s="263"/>
      <c r="AR42" s="263"/>
      <c r="AS42" s="263"/>
      <c r="AT42" s="263"/>
      <c r="AU42" s="264"/>
      <c r="AV42" s="264"/>
      <c r="AW42" s="264"/>
      <c r="AX42" s="264"/>
      <c r="AY42" s="264"/>
      <c r="AZ42" s="264"/>
      <c r="BA42" s="265"/>
      <c r="BB42" s="265"/>
      <c r="BC42" s="265"/>
      <c r="BD42" s="265"/>
      <c r="BE42" s="261"/>
      <c r="BF42" s="261"/>
      <c r="BG42" s="261"/>
      <c r="BH42" s="261"/>
      <c r="BI42" s="261"/>
      <c r="BJ42" s="266"/>
      <c r="BK42" s="262"/>
      <c r="BL42" s="262"/>
      <c r="BM42" s="262"/>
      <c r="BN42" s="262"/>
      <c r="BO42" s="262"/>
      <c r="BP42" s="262"/>
      <c r="BQ42" s="262"/>
      <c r="BR42" s="262"/>
      <c r="BS42" s="262"/>
      <c r="BT42" s="262"/>
      <c r="BU42" s="262"/>
      <c r="BV42" s="262"/>
      <c r="BW42" s="263"/>
      <c r="BX42" s="263"/>
      <c r="BY42" s="263"/>
      <c r="BZ42" s="263"/>
      <c r="CA42" s="263"/>
      <c r="CB42" s="263"/>
      <c r="CC42" s="263"/>
      <c r="CD42" s="263"/>
      <c r="CE42" s="263"/>
      <c r="CF42" s="263"/>
      <c r="CG42" s="263"/>
      <c r="CH42" s="267"/>
      <c r="CI42" s="263"/>
      <c r="CJ42" s="263"/>
      <c r="CK42" s="263"/>
      <c r="CL42" s="263"/>
      <c r="CM42" s="263"/>
      <c r="CN42" s="263"/>
      <c r="CO42" s="264"/>
      <c r="CP42" s="264"/>
      <c r="CQ42" s="264"/>
      <c r="CR42" s="531"/>
      <c r="CS42" s="264"/>
      <c r="CT42" s="531"/>
      <c r="CU42" s="531"/>
      <c r="CV42" s="531"/>
      <c r="CW42" s="531"/>
      <c r="CX42" s="531"/>
      <c r="CY42" s="532"/>
      <c r="CZ42" s="264"/>
      <c r="DA42" s="264"/>
      <c r="DB42" s="264"/>
      <c r="DC42" s="261"/>
      <c r="DD42" s="627"/>
      <c r="DE42" s="627"/>
      <c r="DF42" s="627"/>
      <c r="DG42" s="627"/>
      <c r="DH42" s="627"/>
      <c r="DI42" s="627"/>
      <c r="DJ42" s="627"/>
      <c r="DK42" s="618"/>
      <c r="DL42" s="495">
        <f t="shared" si="23"/>
        <v>0</v>
      </c>
      <c r="DM42" s="84">
        <f t="shared" si="24"/>
        <v>0</v>
      </c>
      <c r="DN42" s="84">
        <f t="shared" si="25"/>
        <v>0</v>
      </c>
      <c r="DO42" s="125">
        <f t="shared" si="26"/>
        <v>0</v>
      </c>
    </row>
    <row r="43" spans="2:123" s="834" customFormat="1" ht="16.5" hidden="1" customHeight="1" outlineLevel="1" thickBot="1" x14ac:dyDescent="0.35">
      <c r="B43" s="813"/>
      <c r="C43" s="814"/>
      <c r="D43" s="819"/>
      <c r="E43" s="820" t="s">
        <v>254</v>
      </c>
      <c r="F43" s="821"/>
      <c r="G43" s="822"/>
      <c r="H43" s="823"/>
      <c r="I43" s="903"/>
      <c r="J43" s="824">
        <f>SUM(J29:J42)</f>
        <v>22</v>
      </c>
      <c r="K43" s="824">
        <f t="shared" ref="K43:CL43" si="27">SUM(K29:K42)</f>
        <v>70</v>
      </c>
      <c r="L43" s="824">
        <f t="shared" si="27"/>
        <v>0</v>
      </c>
      <c r="M43" s="824">
        <f t="shared" si="27"/>
        <v>0</v>
      </c>
      <c r="N43" s="824">
        <f t="shared" si="27"/>
        <v>0</v>
      </c>
      <c r="O43" s="824">
        <f t="shared" si="27"/>
        <v>0</v>
      </c>
      <c r="P43" s="824">
        <f t="shared" si="27"/>
        <v>0</v>
      </c>
      <c r="Q43" s="824">
        <f t="shared" si="27"/>
        <v>0</v>
      </c>
      <c r="R43" s="824">
        <f t="shared" si="27"/>
        <v>0</v>
      </c>
      <c r="S43" s="824">
        <f t="shared" si="27"/>
        <v>0</v>
      </c>
      <c r="T43" s="824">
        <f t="shared" si="27"/>
        <v>0</v>
      </c>
      <c r="U43" s="825">
        <f t="shared" si="27"/>
        <v>0</v>
      </c>
      <c r="V43" s="825">
        <f t="shared" si="27"/>
        <v>130</v>
      </c>
      <c r="W43" s="825">
        <f t="shared" si="27"/>
        <v>120</v>
      </c>
      <c r="X43" s="825">
        <f t="shared" si="27"/>
        <v>40</v>
      </c>
      <c r="Y43" s="825">
        <f t="shared" si="27"/>
        <v>50</v>
      </c>
      <c r="Z43" s="825">
        <f t="shared" si="27"/>
        <v>0</v>
      </c>
      <c r="AA43" s="825">
        <f t="shared" si="27"/>
        <v>0</v>
      </c>
      <c r="AB43" s="825">
        <f t="shared" ref="AB43:AD43" si="28">SUM(AB29:AB42)</f>
        <v>0</v>
      </c>
      <c r="AC43" s="825">
        <f t="shared" si="28"/>
        <v>0</v>
      </c>
      <c r="AD43" s="825">
        <f t="shared" si="28"/>
        <v>0</v>
      </c>
      <c r="AE43" s="825">
        <f t="shared" si="27"/>
        <v>0</v>
      </c>
      <c r="AF43" s="825">
        <f t="shared" si="27"/>
        <v>0</v>
      </c>
      <c r="AG43" s="825">
        <f t="shared" si="27"/>
        <v>0</v>
      </c>
      <c r="AH43" s="825">
        <f t="shared" ref="AH43" si="29">SUM(AH29:AH42)</f>
        <v>2</v>
      </c>
      <c r="AI43" s="825">
        <f t="shared" ref="AI43:AO43" si="30">SUM(AI29:AI42)</f>
        <v>0</v>
      </c>
      <c r="AJ43" s="825">
        <f t="shared" si="30"/>
        <v>0</v>
      </c>
      <c r="AK43" s="825">
        <f t="shared" si="30"/>
        <v>0</v>
      </c>
      <c r="AL43" s="825">
        <f t="shared" si="30"/>
        <v>0</v>
      </c>
      <c r="AM43" s="825">
        <f t="shared" si="30"/>
        <v>0</v>
      </c>
      <c r="AN43" s="825">
        <f t="shared" si="30"/>
        <v>0</v>
      </c>
      <c r="AO43" s="825">
        <f t="shared" si="30"/>
        <v>0</v>
      </c>
      <c r="AP43" s="826">
        <f t="shared" si="27"/>
        <v>5</v>
      </c>
      <c r="AQ43" s="826">
        <f t="shared" ref="AQ43" si="31">SUM(AQ29:AQ42)</f>
        <v>0</v>
      </c>
      <c r="AR43" s="826">
        <f t="shared" si="27"/>
        <v>50</v>
      </c>
      <c r="AS43" s="826">
        <f t="shared" si="27"/>
        <v>100</v>
      </c>
      <c r="AT43" s="826">
        <f t="shared" si="27"/>
        <v>0</v>
      </c>
      <c r="AU43" s="827">
        <f t="shared" si="27"/>
        <v>0</v>
      </c>
      <c r="AV43" s="827">
        <f t="shared" si="27"/>
        <v>0</v>
      </c>
      <c r="AW43" s="827">
        <f t="shared" si="27"/>
        <v>0</v>
      </c>
      <c r="AX43" s="827">
        <f t="shared" ref="AX43:AY43" si="32">SUM(AX29:AX42)</f>
        <v>0</v>
      </c>
      <c r="AY43" s="827">
        <f t="shared" si="32"/>
        <v>0</v>
      </c>
      <c r="AZ43" s="827">
        <f t="shared" si="27"/>
        <v>0</v>
      </c>
      <c r="BA43" s="828">
        <f t="shared" si="27"/>
        <v>17.5</v>
      </c>
      <c r="BB43" s="828">
        <f t="shared" si="27"/>
        <v>0</v>
      </c>
      <c r="BC43" s="828">
        <f t="shared" si="27"/>
        <v>0</v>
      </c>
      <c r="BD43" s="828">
        <f t="shared" si="27"/>
        <v>0</v>
      </c>
      <c r="BE43" s="824">
        <f t="shared" si="27"/>
        <v>0</v>
      </c>
      <c r="BF43" s="824">
        <f t="shared" si="27"/>
        <v>15</v>
      </c>
      <c r="BG43" s="824">
        <f t="shared" si="27"/>
        <v>5</v>
      </c>
      <c r="BH43" s="824">
        <f t="shared" si="27"/>
        <v>20</v>
      </c>
      <c r="BI43" s="824">
        <f t="shared" si="27"/>
        <v>0</v>
      </c>
      <c r="BJ43" s="824">
        <f t="shared" si="27"/>
        <v>0</v>
      </c>
      <c r="BK43" s="825">
        <f t="shared" si="27"/>
        <v>0</v>
      </c>
      <c r="BL43" s="825">
        <f t="shared" si="27"/>
        <v>0</v>
      </c>
      <c r="BM43" s="825">
        <f t="shared" si="27"/>
        <v>0</v>
      </c>
      <c r="BN43" s="825">
        <f t="shared" si="27"/>
        <v>0</v>
      </c>
      <c r="BO43" s="825">
        <f t="shared" si="27"/>
        <v>0</v>
      </c>
      <c r="BP43" s="825">
        <f t="shared" si="27"/>
        <v>0</v>
      </c>
      <c r="BQ43" s="825">
        <f t="shared" si="27"/>
        <v>112.5</v>
      </c>
      <c r="BR43" s="825">
        <f t="shared" ref="BR43" si="33">SUM(BR29:BR42)</f>
        <v>0</v>
      </c>
      <c r="BS43" s="825">
        <f t="shared" ref="BS43" si="34">SUM(BS29:BS42)</f>
        <v>0</v>
      </c>
      <c r="BT43" s="825">
        <f t="shared" si="27"/>
        <v>0</v>
      </c>
      <c r="BU43" s="825">
        <f t="shared" si="27"/>
        <v>0</v>
      </c>
      <c r="BV43" s="825">
        <f t="shared" si="27"/>
        <v>0</v>
      </c>
      <c r="BW43" s="826">
        <f t="shared" si="27"/>
        <v>0</v>
      </c>
      <c r="BX43" s="826">
        <f t="shared" si="27"/>
        <v>0.5</v>
      </c>
      <c r="BY43" s="826">
        <f t="shared" si="27"/>
        <v>0</v>
      </c>
      <c r="BZ43" s="826">
        <f t="shared" si="27"/>
        <v>0</v>
      </c>
      <c r="CA43" s="826">
        <f t="shared" si="27"/>
        <v>0</v>
      </c>
      <c r="CB43" s="826">
        <f t="shared" ref="CB43" si="35">SUM(CB29:CB42)</f>
        <v>0</v>
      </c>
      <c r="CC43" s="826">
        <f t="shared" si="27"/>
        <v>0</v>
      </c>
      <c r="CD43" s="826">
        <f t="shared" si="27"/>
        <v>0</v>
      </c>
      <c r="CE43" s="826">
        <f t="shared" si="27"/>
        <v>20</v>
      </c>
      <c r="CF43" s="826">
        <f t="shared" si="27"/>
        <v>0</v>
      </c>
      <c r="CG43" s="826">
        <f t="shared" si="27"/>
        <v>0</v>
      </c>
      <c r="CH43" s="826">
        <f t="shared" si="27"/>
        <v>0</v>
      </c>
      <c r="CI43" s="826">
        <f t="shared" si="27"/>
        <v>0</v>
      </c>
      <c r="CJ43" s="826">
        <f t="shared" si="27"/>
        <v>8</v>
      </c>
      <c r="CK43" s="826">
        <f t="shared" si="27"/>
        <v>8</v>
      </c>
      <c r="CL43" s="826">
        <f t="shared" si="27"/>
        <v>4</v>
      </c>
      <c r="CM43" s="826">
        <f t="shared" ref="CM43:DO43" si="36">SUM(CM29:CM42)</f>
        <v>0</v>
      </c>
      <c r="CN43" s="826">
        <f t="shared" si="36"/>
        <v>0</v>
      </c>
      <c r="CO43" s="827">
        <f t="shared" si="36"/>
        <v>0</v>
      </c>
      <c r="CP43" s="827">
        <f t="shared" si="36"/>
        <v>0</v>
      </c>
      <c r="CQ43" s="827">
        <f t="shared" si="36"/>
        <v>20</v>
      </c>
      <c r="CR43" s="827">
        <f t="shared" si="36"/>
        <v>0</v>
      </c>
      <c r="CS43" s="827">
        <f t="shared" si="36"/>
        <v>0</v>
      </c>
      <c r="CT43" s="827">
        <f t="shared" si="36"/>
        <v>0</v>
      </c>
      <c r="CU43" s="827">
        <f t="shared" si="36"/>
        <v>0</v>
      </c>
      <c r="CV43" s="827">
        <f t="shared" si="36"/>
        <v>0</v>
      </c>
      <c r="CW43" s="827">
        <f t="shared" si="36"/>
        <v>0</v>
      </c>
      <c r="CX43" s="827">
        <f t="shared" si="36"/>
        <v>0</v>
      </c>
      <c r="CY43" s="827">
        <f t="shared" si="36"/>
        <v>0</v>
      </c>
      <c r="CZ43" s="827">
        <f t="shared" si="36"/>
        <v>0</v>
      </c>
      <c r="DA43" s="827">
        <f t="shared" si="36"/>
        <v>0</v>
      </c>
      <c r="DB43" s="827">
        <f t="shared" si="36"/>
        <v>0</v>
      </c>
      <c r="DC43" s="824">
        <f t="shared" si="36"/>
        <v>0</v>
      </c>
      <c r="DD43" s="824">
        <f t="shared" si="36"/>
        <v>0</v>
      </c>
      <c r="DE43" s="824">
        <f t="shared" si="36"/>
        <v>0</v>
      </c>
      <c r="DF43" s="824">
        <f t="shared" si="36"/>
        <v>0</v>
      </c>
      <c r="DG43" s="824">
        <f t="shared" si="36"/>
        <v>0</v>
      </c>
      <c r="DH43" s="824">
        <f t="shared" si="36"/>
        <v>0</v>
      </c>
      <c r="DI43" s="824">
        <f t="shared" si="36"/>
        <v>0</v>
      </c>
      <c r="DJ43" s="824">
        <f t="shared" si="36"/>
        <v>0</v>
      </c>
      <c r="DK43" s="829">
        <f t="shared" si="36"/>
        <v>0</v>
      </c>
      <c r="DL43" s="830">
        <f t="shared" si="36"/>
        <v>808</v>
      </c>
      <c r="DM43" s="831">
        <f t="shared" si="36"/>
        <v>819.5</v>
      </c>
      <c r="DN43" s="831">
        <f t="shared" si="36"/>
        <v>112.5</v>
      </c>
      <c r="DO43" s="832">
        <f t="shared" si="36"/>
        <v>0</v>
      </c>
      <c r="DP43" s="833"/>
      <c r="DQ43" s="833"/>
      <c r="DR43" s="833"/>
      <c r="DS43" s="833"/>
    </row>
    <row r="44" spans="2:123" ht="32.1" hidden="1" customHeight="1" outlineLevel="1" thickBot="1" x14ac:dyDescent="0.3">
      <c r="B44" s="813"/>
      <c r="C44" s="814"/>
      <c r="D44" s="797" t="s">
        <v>139</v>
      </c>
      <c r="E44" s="778" t="s">
        <v>136</v>
      </c>
      <c r="F44" s="268" t="s">
        <v>3</v>
      </c>
      <c r="G44" s="269" t="s">
        <v>139</v>
      </c>
      <c r="H44" s="270" t="s">
        <v>139</v>
      </c>
      <c r="I44" s="910" t="s">
        <v>188</v>
      </c>
      <c r="J44" s="271"/>
      <c r="K44" s="271"/>
      <c r="L44" s="271"/>
      <c r="M44" s="271"/>
      <c r="N44" s="271"/>
      <c r="O44" s="271"/>
      <c r="P44" s="271">
        <v>15</v>
      </c>
      <c r="Q44" s="271"/>
      <c r="R44" s="271"/>
      <c r="S44" s="271"/>
      <c r="T44" s="271"/>
      <c r="U44" s="272"/>
      <c r="V44" s="272"/>
      <c r="W44" s="272">
        <v>100</v>
      </c>
      <c r="X44" s="272">
        <v>15</v>
      </c>
      <c r="Y44" s="272">
        <v>17</v>
      </c>
      <c r="Z44" s="272"/>
      <c r="AA44" s="272"/>
      <c r="AB44" s="272"/>
      <c r="AC44" s="272"/>
      <c r="AD44" s="272"/>
      <c r="AE44" s="272"/>
      <c r="AF44" s="272"/>
      <c r="AG44" s="272"/>
      <c r="AH44" s="272"/>
      <c r="AI44" s="272"/>
      <c r="AJ44" s="272"/>
      <c r="AK44" s="272"/>
      <c r="AL44" s="272"/>
      <c r="AM44" s="272"/>
      <c r="AN44" s="272"/>
      <c r="AO44" s="272"/>
      <c r="AP44" s="273"/>
      <c r="AQ44" s="273"/>
      <c r="AR44" s="273"/>
      <c r="AS44" s="273"/>
      <c r="AT44" s="273"/>
      <c r="AU44" s="274"/>
      <c r="AV44" s="274"/>
      <c r="AW44" s="274"/>
      <c r="AX44" s="274"/>
      <c r="AY44" s="274"/>
      <c r="AZ44" s="274"/>
      <c r="BA44" s="275"/>
      <c r="BB44" s="275"/>
      <c r="BC44" s="275"/>
      <c r="BD44" s="275"/>
      <c r="BE44" s="271"/>
      <c r="BF44" s="271"/>
      <c r="BG44" s="271"/>
      <c r="BH44" s="271"/>
      <c r="BI44" s="271"/>
      <c r="BJ44" s="276"/>
      <c r="BK44" s="272"/>
      <c r="BL44" s="272"/>
      <c r="BM44" s="272"/>
      <c r="BN44" s="272"/>
      <c r="BO44" s="272">
        <v>30</v>
      </c>
      <c r="BP44" s="272"/>
      <c r="BQ44" s="272"/>
      <c r="BR44" s="272"/>
      <c r="BS44" s="272"/>
      <c r="BT44" s="272"/>
      <c r="BU44" s="272"/>
      <c r="BV44" s="272"/>
      <c r="BW44" s="273"/>
      <c r="BX44" s="273"/>
      <c r="BY44" s="273"/>
      <c r="BZ44" s="273"/>
      <c r="CA44" s="273"/>
      <c r="CB44" s="273"/>
      <c r="CC44" s="273"/>
      <c r="CD44" s="273"/>
      <c r="CE44" s="273"/>
      <c r="CF44" s="273"/>
      <c r="CG44" s="273"/>
      <c r="CH44" s="277"/>
      <c r="CI44" s="273"/>
      <c r="CJ44" s="273"/>
      <c r="CK44" s="273"/>
      <c r="CL44" s="273"/>
      <c r="CM44" s="273"/>
      <c r="CN44" s="273"/>
      <c r="CO44" s="274"/>
      <c r="CP44" s="274"/>
      <c r="CQ44" s="274"/>
      <c r="CR44" s="540"/>
      <c r="CS44" s="274"/>
      <c r="CT44" s="540"/>
      <c r="CU44" s="540"/>
      <c r="CV44" s="540"/>
      <c r="CW44" s="540"/>
      <c r="CX44" s="540"/>
      <c r="CY44" s="541"/>
      <c r="CZ44" s="274"/>
      <c r="DA44" s="274"/>
      <c r="DB44" s="274"/>
      <c r="DC44" s="271"/>
      <c r="DD44" s="271"/>
      <c r="DE44" s="271"/>
      <c r="DF44" s="271"/>
      <c r="DG44" s="271"/>
      <c r="DH44" s="271"/>
      <c r="DI44" s="271"/>
      <c r="DJ44" s="271"/>
      <c r="DK44" s="628"/>
      <c r="DL44" s="495">
        <f t="shared" ref="DL44:DL55" si="37">SUM(J44:S44)*5+SUM(V44:AF44)+AH44*4+U44*2.5+AG44/0.75</f>
        <v>207</v>
      </c>
      <c r="DM44" s="84">
        <f t="shared" ref="DM44:DM55" si="38">SUM(J44:DK44)</f>
        <v>177</v>
      </c>
      <c r="DN44" s="84">
        <f t="shared" ref="DN44:DN55" si="39">SUM(BK44:BV44,)</f>
        <v>30</v>
      </c>
      <c r="DO44" s="125">
        <f t="shared" ref="DO44:DO55" si="40">SUM(AT44:AV44)+SUM(AW44:AZ44)*5</f>
        <v>0</v>
      </c>
    </row>
    <row r="45" spans="2:123" ht="32.1" hidden="1" customHeight="1" outlineLevel="1" thickBot="1" x14ac:dyDescent="0.3">
      <c r="B45" s="813"/>
      <c r="C45" s="814"/>
      <c r="D45" s="798"/>
      <c r="E45" s="779"/>
      <c r="F45" s="278" t="s">
        <v>3</v>
      </c>
      <c r="G45" s="279" t="s">
        <v>139</v>
      </c>
      <c r="H45" s="280" t="s">
        <v>139</v>
      </c>
      <c r="I45" s="911" t="s">
        <v>56</v>
      </c>
      <c r="J45" s="281">
        <v>50</v>
      </c>
      <c r="K45" s="281">
        <v>100</v>
      </c>
      <c r="L45" s="281"/>
      <c r="M45" s="281"/>
      <c r="N45" s="281"/>
      <c r="O45" s="281"/>
      <c r="P45" s="281"/>
      <c r="Q45" s="281"/>
      <c r="R45" s="281"/>
      <c r="S45" s="281"/>
      <c r="T45" s="281"/>
      <c r="U45" s="282"/>
      <c r="V45" s="282"/>
      <c r="W45" s="282"/>
      <c r="X45" s="282"/>
      <c r="Y45" s="282"/>
      <c r="Z45" s="282"/>
      <c r="AA45" s="282"/>
      <c r="AB45" s="282"/>
      <c r="AC45" s="282"/>
      <c r="AD45" s="282"/>
      <c r="AE45" s="282"/>
      <c r="AF45" s="282"/>
      <c r="AG45" s="282"/>
      <c r="AH45" s="282"/>
      <c r="AI45" s="282"/>
      <c r="AJ45" s="282"/>
      <c r="AK45" s="282"/>
      <c r="AL45" s="282"/>
      <c r="AM45" s="282"/>
      <c r="AN45" s="282"/>
      <c r="AO45" s="282"/>
      <c r="AP45" s="283"/>
      <c r="AQ45" s="283"/>
      <c r="AR45" s="283"/>
      <c r="AS45" s="283"/>
      <c r="AT45" s="283"/>
      <c r="AU45" s="284"/>
      <c r="AV45" s="284"/>
      <c r="AW45" s="284"/>
      <c r="AX45" s="284"/>
      <c r="AY45" s="284"/>
      <c r="AZ45" s="284"/>
      <c r="BA45" s="285"/>
      <c r="BB45" s="285"/>
      <c r="BC45" s="285"/>
      <c r="BD45" s="285"/>
      <c r="BE45" s="281"/>
      <c r="BF45" s="281"/>
      <c r="BG45" s="281"/>
      <c r="BH45" s="281"/>
      <c r="BI45" s="281"/>
      <c r="BJ45" s="286"/>
      <c r="BK45" s="282"/>
      <c r="BL45" s="282"/>
      <c r="BM45" s="282"/>
      <c r="BN45" s="282"/>
      <c r="BO45" s="282"/>
      <c r="BP45" s="282"/>
      <c r="BQ45" s="282"/>
      <c r="BR45" s="282"/>
      <c r="BS45" s="282"/>
      <c r="BT45" s="282"/>
      <c r="BU45" s="282"/>
      <c r="BV45" s="282"/>
      <c r="BW45" s="283"/>
      <c r="BX45" s="283"/>
      <c r="BY45" s="283"/>
      <c r="BZ45" s="283"/>
      <c r="CA45" s="283"/>
      <c r="CB45" s="283"/>
      <c r="CC45" s="283"/>
      <c r="CD45" s="283"/>
      <c r="CE45" s="283"/>
      <c r="CF45" s="283"/>
      <c r="CG45" s="283"/>
      <c r="CH45" s="287"/>
      <c r="CI45" s="283"/>
      <c r="CJ45" s="283"/>
      <c r="CK45" s="283"/>
      <c r="CL45" s="283"/>
      <c r="CM45" s="283"/>
      <c r="CN45" s="283"/>
      <c r="CO45" s="284"/>
      <c r="CP45" s="284"/>
      <c r="CQ45" s="284"/>
      <c r="CR45" s="542"/>
      <c r="CS45" s="284"/>
      <c r="CT45" s="542"/>
      <c r="CU45" s="542"/>
      <c r="CV45" s="542"/>
      <c r="CW45" s="542"/>
      <c r="CX45" s="542"/>
      <c r="CY45" s="543"/>
      <c r="CZ45" s="284"/>
      <c r="DA45" s="284"/>
      <c r="DB45" s="284"/>
      <c r="DC45" s="281"/>
      <c r="DD45" s="281"/>
      <c r="DE45" s="281"/>
      <c r="DF45" s="281"/>
      <c r="DG45" s="281"/>
      <c r="DH45" s="281"/>
      <c r="DI45" s="281"/>
      <c r="DJ45" s="281"/>
      <c r="DK45" s="629"/>
      <c r="DL45" s="495">
        <f t="shared" si="37"/>
        <v>750</v>
      </c>
      <c r="DM45" s="84">
        <f t="shared" si="38"/>
        <v>150</v>
      </c>
      <c r="DN45" s="84">
        <f t="shared" si="39"/>
        <v>0</v>
      </c>
      <c r="DO45" s="125">
        <f t="shared" si="40"/>
        <v>0</v>
      </c>
    </row>
    <row r="46" spans="2:123" ht="32.1" hidden="1" customHeight="1" outlineLevel="1" thickBot="1" x14ac:dyDescent="0.3">
      <c r="B46" s="813"/>
      <c r="C46" s="814"/>
      <c r="D46" s="798"/>
      <c r="E46" s="779"/>
      <c r="F46" s="278" t="s">
        <v>3</v>
      </c>
      <c r="G46" s="279" t="s">
        <v>139</v>
      </c>
      <c r="H46" s="280" t="s">
        <v>139</v>
      </c>
      <c r="I46" s="911" t="s">
        <v>67</v>
      </c>
      <c r="J46" s="281"/>
      <c r="K46" s="281"/>
      <c r="L46" s="281"/>
      <c r="M46" s="281"/>
      <c r="N46" s="281"/>
      <c r="O46" s="281"/>
      <c r="P46" s="281"/>
      <c r="Q46" s="281"/>
      <c r="R46" s="281"/>
      <c r="S46" s="281"/>
      <c r="T46" s="281"/>
      <c r="U46" s="282"/>
      <c r="V46" s="282"/>
      <c r="W46" s="282"/>
      <c r="X46" s="282"/>
      <c r="Y46" s="282"/>
      <c r="Z46" s="282"/>
      <c r="AA46" s="282"/>
      <c r="AB46" s="282"/>
      <c r="AC46" s="282"/>
      <c r="AD46" s="282"/>
      <c r="AE46" s="282"/>
      <c r="AF46" s="282"/>
      <c r="AG46" s="282"/>
      <c r="AH46" s="282"/>
      <c r="AI46" s="282"/>
      <c r="AJ46" s="282"/>
      <c r="AK46" s="282"/>
      <c r="AL46" s="282"/>
      <c r="AM46" s="282"/>
      <c r="AN46" s="282"/>
      <c r="AO46" s="282"/>
      <c r="AP46" s="283"/>
      <c r="AQ46" s="283"/>
      <c r="AR46" s="283"/>
      <c r="AS46" s="283"/>
      <c r="AT46" s="283"/>
      <c r="AU46" s="284"/>
      <c r="AV46" s="284"/>
      <c r="AW46" s="284"/>
      <c r="AX46" s="284"/>
      <c r="AY46" s="284"/>
      <c r="AZ46" s="284"/>
      <c r="BA46" s="285"/>
      <c r="BB46" s="285"/>
      <c r="BC46" s="285"/>
      <c r="BD46" s="285"/>
      <c r="BE46" s="281"/>
      <c r="BF46" s="281">
        <v>15</v>
      </c>
      <c r="BG46" s="281">
        <v>5</v>
      </c>
      <c r="BH46" s="281"/>
      <c r="BI46" s="281"/>
      <c r="BJ46" s="286"/>
      <c r="BK46" s="282"/>
      <c r="BL46" s="282"/>
      <c r="BM46" s="282"/>
      <c r="BN46" s="282"/>
      <c r="BO46" s="282"/>
      <c r="BP46" s="282"/>
      <c r="BQ46" s="282"/>
      <c r="BR46" s="282"/>
      <c r="BS46" s="282"/>
      <c r="BT46" s="282"/>
      <c r="BU46" s="282"/>
      <c r="BV46" s="282"/>
      <c r="BW46" s="283"/>
      <c r="BX46" s="283"/>
      <c r="BY46" s="283"/>
      <c r="BZ46" s="283"/>
      <c r="CA46" s="283"/>
      <c r="CB46" s="283"/>
      <c r="CC46" s="283"/>
      <c r="CD46" s="283"/>
      <c r="CE46" s="283"/>
      <c r="CF46" s="283"/>
      <c r="CG46" s="283"/>
      <c r="CH46" s="287"/>
      <c r="CI46" s="283"/>
      <c r="CJ46" s="283"/>
      <c r="CK46" s="283"/>
      <c r="CL46" s="283"/>
      <c r="CM46" s="283"/>
      <c r="CN46" s="283"/>
      <c r="CO46" s="284"/>
      <c r="CP46" s="284"/>
      <c r="CQ46" s="284"/>
      <c r="CR46" s="542"/>
      <c r="CS46" s="284"/>
      <c r="CT46" s="542"/>
      <c r="CU46" s="542"/>
      <c r="CV46" s="542"/>
      <c r="CW46" s="542"/>
      <c r="CX46" s="542"/>
      <c r="CY46" s="543"/>
      <c r="CZ46" s="284"/>
      <c r="DA46" s="284"/>
      <c r="DB46" s="284"/>
      <c r="DC46" s="281"/>
      <c r="DD46" s="281"/>
      <c r="DE46" s="281"/>
      <c r="DF46" s="281"/>
      <c r="DG46" s="281"/>
      <c r="DH46" s="281"/>
      <c r="DI46" s="281"/>
      <c r="DJ46" s="281"/>
      <c r="DK46" s="629"/>
      <c r="DL46" s="495">
        <f t="shared" si="37"/>
        <v>0</v>
      </c>
      <c r="DM46" s="84">
        <f t="shared" si="38"/>
        <v>20</v>
      </c>
      <c r="DN46" s="84">
        <f t="shared" si="39"/>
        <v>0</v>
      </c>
      <c r="DO46" s="125">
        <f t="shared" si="40"/>
        <v>0</v>
      </c>
    </row>
    <row r="47" spans="2:123" ht="32.1" hidden="1" customHeight="1" outlineLevel="1" thickBot="1" x14ac:dyDescent="0.3">
      <c r="B47" s="813"/>
      <c r="C47" s="814"/>
      <c r="D47" s="798"/>
      <c r="E47" s="780"/>
      <c r="F47" s="372" t="s">
        <v>3</v>
      </c>
      <c r="G47" s="481" t="s">
        <v>139</v>
      </c>
      <c r="H47" s="373" t="s">
        <v>139</v>
      </c>
      <c r="I47" s="912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2"/>
      <c r="V47" s="292"/>
      <c r="W47" s="292"/>
      <c r="X47" s="292"/>
      <c r="Y47" s="292"/>
      <c r="Z47" s="292"/>
      <c r="AA47" s="292"/>
      <c r="AB47" s="292"/>
      <c r="AC47" s="292"/>
      <c r="AD47" s="292"/>
      <c r="AE47" s="292"/>
      <c r="AF47" s="292"/>
      <c r="AG47" s="292"/>
      <c r="AH47" s="292"/>
      <c r="AI47" s="292"/>
      <c r="AJ47" s="292"/>
      <c r="AK47" s="292"/>
      <c r="AL47" s="292"/>
      <c r="AM47" s="292"/>
      <c r="AN47" s="292"/>
      <c r="AO47" s="292"/>
      <c r="AP47" s="293"/>
      <c r="AQ47" s="293"/>
      <c r="AR47" s="293"/>
      <c r="AS47" s="293"/>
      <c r="AT47" s="293"/>
      <c r="AU47" s="294"/>
      <c r="AV47" s="294"/>
      <c r="AW47" s="294"/>
      <c r="AX47" s="294"/>
      <c r="AY47" s="294"/>
      <c r="AZ47" s="294"/>
      <c r="BA47" s="295"/>
      <c r="BB47" s="295"/>
      <c r="BC47" s="295"/>
      <c r="BD47" s="295"/>
      <c r="BE47" s="291"/>
      <c r="BF47" s="291"/>
      <c r="BG47" s="291"/>
      <c r="BH47" s="291"/>
      <c r="BI47" s="291"/>
      <c r="BJ47" s="296"/>
      <c r="BK47" s="292"/>
      <c r="BL47" s="292"/>
      <c r="BM47" s="292"/>
      <c r="BN47" s="292"/>
      <c r="BO47" s="292"/>
      <c r="BP47" s="292"/>
      <c r="BQ47" s="292"/>
      <c r="BR47" s="292"/>
      <c r="BS47" s="292"/>
      <c r="BT47" s="292"/>
      <c r="BU47" s="292"/>
      <c r="BV47" s="292"/>
      <c r="BW47" s="293"/>
      <c r="BX47" s="293"/>
      <c r="BY47" s="293"/>
      <c r="BZ47" s="293"/>
      <c r="CA47" s="293"/>
      <c r="CB47" s="293"/>
      <c r="CC47" s="293"/>
      <c r="CD47" s="293"/>
      <c r="CE47" s="293"/>
      <c r="CF47" s="293"/>
      <c r="CG47" s="293"/>
      <c r="CH47" s="297"/>
      <c r="CI47" s="293"/>
      <c r="CJ47" s="293"/>
      <c r="CK47" s="293"/>
      <c r="CL47" s="293"/>
      <c r="CM47" s="293"/>
      <c r="CN47" s="293"/>
      <c r="CO47" s="294"/>
      <c r="CP47" s="294"/>
      <c r="CQ47" s="294"/>
      <c r="CR47" s="544"/>
      <c r="CS47" s="294"/>
      <c r="CT47" s="544"/>
      <c r="CU47" s="544"/>
      <c r="CV47" s="544"/>
      <c r="CW47" s="544"/>
      <c r="CX47" s="544"/>
      <c r="CY47" s="545"/>
      <c r="CZ47" s="294"/>
      <c r="DA47" s="294"/>
      <c r="DB47" s="294"/>
      <c r="DC47" s="291"/>
      <c r="DD47" s="291"/>
      <c r="DE47" s="291"/>
      <c r="DF47" s="291"/>
      <c r="DG47" s="291"/>
      <c r="DH47" s="291"/>
      <c r="DI47" s="291"/>
      <c r="DJ47" s="291"/>
      <c r="DK47" s="630"/>
      <c r="DL47" s="496">
        <f t="shared" si="37"/>
        <v>0</v>
      </c>
      <c r="DM47" s="120">
        <f t="shared" si="38"/>
        <v>0</v>
      </c>
      <c r="DN47" s="120">
        <f t="shared" si="39"/>
        <v>0</v>
      </c>
      <c r="DO47" s="358">
        <f t="shared" si="40"/>
        <v>0</v>
      </c>
    </row>
    <row r="48" spans="2:123" ht="32.1" hidden="1" customHeight="1" outlineLevel="1" thickBot="1" x14ac:dyDescent="0.3">
      <c r="B48" s="813"/>
      <c r="C48" s="814"/>
      <c r="D48" s="798"/>
      <c r="E48" s="779" t="s">
        <v>137</v>
      </c>
      <c r="F48" s="268" t="s">
        <v>3</v>
      </c>
      <c r="G48" s="269" t="s">
        <v>139</v>
      </c>
      <c r="H48" s="270" t="s">
        <v>139</v>
      </c>
      <c r="I48" s="913" t="s">
        <v>189</v>
      </c>
      <c r="J48" s="379"/>
      <c r="K48" s="379"/>
      <c r="L48" s="379"/>
      <c r="M48" s="379"/>
      <c r="N48" s="379"/>
      <c r="O48" s="379"/>
      <c r="P48" s="379"/>
      <c r="Q48" s="379"/>
      <c r="R48" s="379"/>
      <c r="S48" s="379"/>
      <c r="T48" s="379"/>
      <c r="U48" s="380"/>
      <c r="V48" s="380"/>
      <c r="W48" s="380"/>
      <c r="X48" s="380"/>
      <c r="Y48" s="380"/>
      <c r="Z48" s="380"/>
      <c r="AA48" s="380"/>
      <c r="AB48" s="380"/>
      <c r="AC48" s="380"/>
      <c r="AD48" s="380"/>
      <c r="AE48" s="380"/>
      <c r="AF48" s="380"/>
      <c r="AG48" s="380"/>
      <c r="AH48" s="380"/>
      <c r="AI48" s="380"/>
      <c r="AJ48" s="380"/>
      <c r="AK48" s="380"/>
      <c r="AL48" s="380"/>
      <c r="AM48" s="380"/>
      <c r="AN48" s="380"/>
      <c r="AO48" s="380"/>
      <c r="AP48" s="381">
        <v>4</v>
      </c>
      <c r="AQ48" s="381"/>
      <c r="AR48" s="381"/>
      <c r="AS48" s="381"/>
      <c r="AT48" s="381"/>
      <c r="AU48" s="382"/>
      <c r="AV48" s="382"/>
      <c r="AW48" s="382"/>
      <c r="AX48" s="382"/>
      <c r="AY48" s="382"/>
      <c r="AZ48" s="382"/>
      <c r="BA48" s="383"/>
      <c r="BB48" s="383"/>
      <c r="BC48" s="383"/>
      <c r="BD48" s="383"/>
      <c r="BE48" s="379"/>
      <c r="BF48" s="379"/>
      <c r="BG48" s="379"/>
      <c r="BH48" s="379"/>
      <c r="BI48" s="379"/>
      <c r="BJ48" s="384"/>
      <c r="BK48" s="380"/>
      <c r="BL48" s="380"/>
      <c r="BM48" s="380"/>
      <c r="BN48" s="380"/>
      <c r="BO48" s="380">
        <v>90</v>
      </c>
      <c r="BP48" s="380"/>
      <c r="BQ48" s="380"/>
      <c r="BR48" s="380"/>
      <c r="BS48" s="380"/>
      <c r="BT48" s="380"/>
      <c r="BU48" s="380"/>
      <c r="BV48" s="380"/>
      <c r="BW48" s="381"/>
      <c r="BX48" s="381"/>
      <c r="BY48" s="381"/>
      <c r="BZ48" s="381"/>
      <c r="CA48" s="381"/>
      <c r="CB48" s="381"/>
      <c r="CC48" s="381"/>
      <c r="CD48" s="381"/>
      <c r="CE48" s="381"/>
      <c r="CF48" s="381"/>
      <c r="CG48" s="381"/>
      <c r="CH48" s="386"/>
      <c r="CI48" s="381"/>
      <c r="CJ48" s="381"/>
      <c r="CK48" s="381"/>
      <c r="CL48" s="381"/>
      <c r="CM48" s="381"/>
      <c r="CN48" s="381"/>
      <c r="CO48" s="382"/>
      <c r="CP48" s="382"/>
      <c r="CQ48" s="382"/>
      <c r="CR48" s="546"/>
      <c r="CS48" s="382"/>
      <c r="CT48" s="546"/>
      <c r="CU48" s="546"/>
      <c r="CV48" s="546"/>
      <c r="CW48" s="546"/>
      <c r="CX48" s="546"/>
      <c r="CY48" s="547"/>
      <c r="CZ48" s="382"/>
      <c r="DA48" s="382"/>
      <c r="DB48" s="382"/>
      <c r="DC48" s="379"/>
      <c r="DD48" s="379"/>
      <c r="DE48" s="379"/>
      <c r="DF48" s="379"/>
      <c r="DG48" s="379"/>
      <c r="DH48" s="379"/>
      <c r="DI48" s="379"/>
      <c r="DJ48" s="379"/>
      <c r="DK48" s="631"/>
      <c r="DL48" s="494">
        <f t="shared" si="37"/>
        <v>0</v>
      </c>
      <c r="DM48" s="122">
        <f t="shared" si="38"/>
        <v>94</v>
      </c>
      <c r="DN48" s="122">
        <f t="shared" si="39"/>
        <v>90</v>
      </c>
      <c r="DO48" s="124">
        <f t="shared" si="40"/>
        <v>0</v>
      </c>
    </row>
    <row r="49" spans="2:123" ht="32.1" hidden="1" customHeight="1" outlineLevel="1" thickBot="1" x14ac:dyDescent="0.3">
      <c r="B49" s="813"/>
      <c r="C49" s="814"/>
      <c r="D49" s="798"/>
      <c r="E49" s="779"/>
      <c r="F49" s="278" t="s">
        <v>3</v>
      </c>
      <c r="G49" s="279" t="s">
        <v>139</v>
      </c>
      <c r="H49" s="280" t="s">
        <v>139</v>
      </c>
      <c r="I49" s="911" t="s">
        <v>190</v>
      </c>
      <c r="J49" s="281"/>
      <c r="K49" s="281"/>
      <c r="L49" s="281"/>
      <c r="M49" s="281"/>
      <c r="N49" s="281"/>
      <c r="O49" s="281"/>
      <c r="P49" s="281"/>
      <c r="Q49" s="281"/>
      <c r="R49" s="281"/>
      <c r="S49" s="281"/>
      <c r="T49" s="281">
        <v>70</v>
      </c>
      <c r="U49" s="282"/>
      <c r="V49" s="282"/>
      <c r="W49" s="282"/>
      <c r="X49" s="282"/>
      <c r="Y49" s="282"/>
      <c r="Z49" s="282"/>
      <c r="AA49" s="282"/>
      <c r="AB49" s="282"/>
      <c r="AC49" s="282"/>
      <c r="AD49" s="282"/>
      <c r="AE49" s="282"/>
      <c r="AF49" s="282"/>
      <c r="AG49" s="282"/>
      <c r="AH49" s="282"/>
      <c r="AI49" s="282"/>
      <c r="AJ49" s="282"/>
      <c r="AK49" s="282"/>
      <c r="AL49" s="282"/>
      <c r="AM49" s="282"/>
      <c r="AN49" s="282"/>
      <c r="AO49" s="282"/>
      <c r="AP49" s="283"/>
      <c r="AQ49" s="283"/>
      <c r="AR49" s="283"/>
      <c r="AS49" s="283"/>
      <c r="AT49" s="283"/>
      <c r="AU49" s="284"/>
      <c r="AV49" s="284"/>
      <c r="AW49" s="284"/>
      <c r="AX49" s="284"/>
      <c r="AY49" s="284"/>
      <c r="AZ49" s="284"/>
      <c r="BA49" s="285"/>
      <c r="BB49" s="285"/>
      <c r="BC49" s="285"/>
      <c r="BD49" s="285"/>
      <c r="BE49" s="281"/>
      <c r="BF49" s="281"/>
      <c r="BG49" s="281">
        <v>5</v>
      </c>
      <c r="BH49" s="281"/>
      <c r="BI49" s="281"/>
      <c r="BJ49" s="286"/>
      <c r="BK49" s="282"/>
      <c r="BL49" s="282"/>
      <c r="BM49" s="282"/>
      <c r="BN49" s="282"/>
      <c r="BO49" s="282"/>
      <c r="BP49" s="282"/>
      <c r="BQ49" s="282"/>
      <c r="BR49" s="282"/>
      <c r="BS49" s="282"/>
      <c r="BT49" s="282"/>
      <c r="BU49" s="282"/>
      <c r="BV49" s="282"/>
      <c r="BW49" s="283"/>
      <c r="BX49" s="283"/>
      <c r="BY49" s="283"/>
      <c r="BZ49" s="283"/>
      <c r="CA49" s="283"/>
      <c r="CB49" s="283"/>
      <c r="CC49" s="283"/>
      <c r="CD49" s="283"/>
      <c r="CE49" s="283"/>
      <c r="CF49" s="283"/>
      <c r="CG49" s="283"/>
      <c r="CH49" s="287"/>
      <c r="CI49" s="283"/>
      <c r="CJ49" s="283"/>
      <c r="CK49" s="283"/>
      <c r="CL49" s="283"/>
      <c r="CM49" s="283"/>
      <c r="CN49" s="283"/>
      <c r="CO49" s="284"/>
      <c r="CP49" s="284"/>
      <c r="CQ49" s="284"/>
      <c r="CR49" s="542"/>
      <c r="CS49" s="284"/>
      <c r="CT49" s="542"/>
      <c r="CU49" s="542"/>
      <c r="CV49" s="542"/>
      <c r="CW49" s="542"/>
      <c r="CX49" s="542"/>
      <c r="CY49" s="543"/>
      <c r="CZ49" s="284"/>
      <c r="DA49" s="284"/>
      <c r="DB49" s="284"/>
      <c r="DC49" s="281"/>
      <c r="DD49" s="281"/>
      <c r="DE49" s="281"/>
      <c r="DF49" s="281"/>
      <c r="DG49" s="281"/>
      <c r="DH49" s="281"/>
      <c r="DI49" s="281"/>
      <c r="DJ49" s="281"/>
      <c r="DK49" s="629"/>
      <c r="DL49" s="495">
        <f t="shared" si="37"/>
        <v>0</v>
      </c>
      <c r="DM49" s="84">
        <f t="shared" si="38"/>
        <v>75</v>
      </c>
      <c r="DN49" s="84">
        <f t="shared" si="39"/>
        <v>0</v>
      </c>
      <c r="DO49" s="125">
        <f t="shared" si="40"/>
        <v>0</v>
      </c>
    </row>
    <row r="50" spans="2:123" ht="32.1" hidden="1" customHeight="1" outlineLevel="1" thickBot="1" x14ac:dyDescent="0.3">
      <c r="B50" s="813"/>
      <c r="C50" s="814"/>
      <c r="D50" s="798"/>
      <c r="E50" s="779"/>
      <c r="F50" s="278" t="s">
        <v>3</v>
      </c>
      <c r="G50" s="279" t="s">
        <v>139</v>
      </c>
      <c r="H50" s="280" t="s">
        <v>139</v>
      </c>
      <c r="I50" s="911" t="s">
        <v>191</v>
      </c>
      <c r="J50" s="281"/>
      <c r="K50" s="281"/>
      <c r="L50" s="281"/>
      <c r="M50" s="281"/>
      <c r="N50" s="281"/>
      <c r="O50" s="281"/>
      <c r="P50" s="281"/>
      <c r="Q50" s="281"/>
      <c r="R50" s="281"/>
      <c r="S50" s="281"/>
      <c r="T50" s="281"/>
      <c r="U50" s="282"/>
      <c r="V50" s="282"/>
      <c r="W50" s="282"/>
      <c r="X50" s="282"/>
      <c r="Y50" s="282"/>
      <c r="Z50" s="282"/>
      <c r="AA50" s="282"/>
      <c r="AB50" s="282"/>
      <c r="AC50" s="282"/>
      <c r="AD50" s="282"/>
      <c r="AE50" s="282"/>
      <c r="AF50" s="282"/>
      <c r="AG50" s="282">
        <v>37.5</v>
      </c>
      <c r="AH50" s="282"/>
      <c r="AI50" s="282"/>
      <c r="AJ50" s="282"/>
      <c r="AK50" s="282"/>
      <c r="AL50" s="282"/>
      <c r="AM50" s="282"/>
      <c r="AN50" s="282"/>
      <c r="AO50" s="282"/>
      <c r="AP50" s="283"/>
      <c r="AQ50" s="283"/>
      <c r="AR50" s="283"/>
      <c r="AS50" s="283"/>
      <c r="AT50" s="283"/>
      <c r="AU50" s="284"/>
      <c r="AV50" s="284"/>
      <c r="AW50" s="284"/>
      <c r="AX50" s="284"/>
      <c r="AY50" s="284"/>
      <c r="AZ50" s="284"/>
      <c r="BA50" s="285"/>
      <c r="BB50" s="285"/>
      <c r="BC50" s="285"/>
      <c r="BD50" s="285"/>
      <c r="BE50" s="281"/>
      <c r="BF50" s="281"/>
      <c r="BG50" s="281"/>
      <c r="BH50" s="281"/>
      <c r="BI50" s="281"/>
      <c r="BJ50" s="286"/>
      <c r="BK50" s="282"/>
      <c r="BL50" s="282"/>
      <c r="BM50" s="282"/>
      <c r="BN50" s="282"/>
      <c r="BO50" s="282"/>
      <c r="BP50" s="282"/>
      <c r="BQ50" s="282"/>
      <c r="BR50" s="282"/>
      <c r="BS50" s="282"/>
      <c r="BT50" s="282"/>
      <c r="BU50" s="282"/>
      <c r="BV50" s="282"/>
      <c r="BW50" s="283"/>
      <c r="BX50" s="283"/>
      <c r="BY50" s="283"/>
      <c r="BZ50" s="283"/>
      <c r="CA50" s="283"/>
      <c r="CB50" s="283"/>
      <c r="CC50" s="283"/>
      <c r="CD50" s="283"/>
      <c r="CE50" s="283"/>
      <c r="CF50" s="283"/>
      <c r="CG50" s="283"/>
      <c r="CH50" s="287"/>
      <c r="CI50" s="283"/>
      <c r="CJ50" s="283"/>
      <c r="CK50" s="283"/>
      <c r="CL50" s="283"/>
      <c r="CM50" s="283"/>
      <c r="CN50" s="283"/>
      <c r="CO50" s="284"/>
      <c r="CP50" s="284"/>
      <c r="CQ50" s="284"/>
      <c r="CR50" s="542"/>
      <c r="CS50" s="284"/>
      <c r="CT50" s="542"/>
      <c r="CU50" s="542"/>
      <c r="CV50" s="542"/>
      <c r="CW50" s="542"/>
      <c r="CX50" s="542"/>
      <c r="CY50" s="543"/>
      <c r="CZ50" s="284"/>
      <c r="DA50" s="284"/>
      <c r="DB50" s="284"/>
      <c r="DC50" s="281"/>
      <c r="DD50" s="281"/>
      <c r="DE50" s="281"/>
      <c r="DF50" s="281"/>
      <c r="DG50" s="281"/>
      <c r="DH50" s="281"/>
      <c r="DI50" s="281"/>
      <c r="DJ50" s="281"/>
      <c r="DK50" s="629"/>
      <c r="DL50" s="495">
        <f t="shared" si="37"/>
        <v>50</v>
      </c>
      <c r="DM50" s="84">
        <f t="shared" si="38"/>
        <v>37.5</v>
      </c>
      <c r="DN50" s="84">
        <f t="shared" si="39"/>
        <v>0</v>
      </c>
      <c r="DO50" s="125">
        <f t="shared" si="40"/>
        <v>0</v>
      </c>
    </row>
    <row r="51" spans="2:123" ht="32.1" hidden="1" customHeight="1" outlineLevel="1" thickBot="1" x14ac:dyDescent="0.3">
      <c r="B51" s="813"/>
      <c r="C51" s="814"/>
      <c r="D51" s="798"/>
      <c r="E51" s="779"/>
      <c r="F51" s="288" t="s">
        <v>3</v>
      </c>
      <c r="G51" s="289" t="s">
        <v>139</v>
      </c>
      <c r="H51" s="290" t="s">
        <v>139</v>
      </c>
      <c r="I51" s="914"/>
      <c r="J51" s="387"/>
      <c r="K51" s="387"/>
      <c r="L51" s="387"/>
      <c r="M51" s="387"/>
      <c r="N51" s="387"/>
      <c r="O51" s="387"/>
      <c r="P51" s="387"/>
      <c r="Q51" s="387"/>
      <c r="R51" s="387"/>
      <c r="S51" s="387"/>
      <c r="T51" s="387"/>
      <c r="U51" s="388"/>
      <c r="V51" s="388"/>
      <c r="W51" s="388"/>
      <c r="X51" s="388"/>
      <c r="Y51" s="388"/>
      <c r="Z51" s="388"/>
      <c r="AA51" s="388"/>
      <c r="AB51" s="388"/>
      <c r="AC51" s="388"/>
      <c r="AD51" s="388"/>
      <c r="AE51" s="388"/>
      <c r="AF51" s="388"/>
      <c r="AG51" s="388"/>
      <c r="AH51" s="388"/>
      <c r="AI51" s="388"/>
      <c r="AJ51" s="388"/>
      <c r="AK51" s="388"/>
      <c r="AL51" s="388"/>
      <c r="AM51" s="388"/>
      <c r="AN51" s="388"/>
      <c r="AO51" s="388"/>
      <c r="AP51" s="389"/>
      <c r="AQ51" s="389"/>
      <c r="AR51" s="389"/>
      <c r="AS51" s="389"/>
      <c r="AT51" s="389"/>
      <c r="AU51" s="390"/>
      <c r="AV51" s="390"/>
      <c r="AW51" s="390"/>
      <c r="AX51" s="390"/>
      <c r="AY51" s="390"/>
      <c r="AZ51" s="390"/>
      <c r="BA51" s="391"/>
      <c r="BB51" s="391"/>
      <c r="BC51" s="391"/>
      <c r="BD51" s="391"/>
      <c r="BE51" s="387"/>
      <c r="BF51" s="387"/>
      <c r="BG51" s="387"/>
      <c r="BH51" s="387"/>
      <c r="BI51" s="387"/>
      <c r="BJ51" s="392"/>
      <c r="BK51" s="388"/>
      <c r="BL51" s="388"/>
      <c r="BM51" s="388"/>
      <c r="BN51" s="388"/>
      <c r="BO51" s="388"/>
      <c r="BP51" s="388"/>
      <c r="BQ51" s="388"/>
      <c r="BR51" s="388"/>
      <c r="BS51" s="388"/>
      <c r="BT51" s="388"/>
      <c r="BU51" s="388"/>
      <c r="BV51" s="388"/>
      <c r="BW51" s="389"/>
      <c r="BX51" s="389"/>
      <c r="BY51" s="389"/>
      <c r="BZ51" s="389"/>
      <c r="CA51" s="389"/>
      <c r="CB51" s="389"/>
      <c r="CC51" s="389"/>
      <c r="CD51" s="389"/>
      <c r="CE51" s="389"/>
      <c r="CF51" s="389"/>
      <c r="CG51" s="389"/>
      <c r="CH51" s="394"/>
      <c r="CI51" s="389"/>
      <c r="CJ51" s="389"/>
      <c r="CK51" s="389"/>
      <c r="CL51" s="389"/>
      <c r="CM51" s="389"/>
      <c r="CN51" s="389"/>
      <c r="CO51" s="390"/>
      <c r="CP51" s="390"/>
      <c r="CQ51" s="390"/>
      <c r="CR51" s="548"/>
      <c r="CS51" s="390"/>
      <c r="CT51" s="548"/>
      <c r="CU51" s="548"/>
      <c r="CV51" s="548"/>
      <c r="CW51" s="548"/>
      <c r="CX51" s="548"/>
      <c r="CY51" s="549"/>
      <c r="CZ51" s="390"/>
      <c r="DA51" s="390"/>
      <c r="DB51" s="390"/>
      <c r="DC51" s="387"/>
      <c r="DD51" s="387"/>
      <c r="DE51" s="387"/>
      <c r="DF51" s="387"/>
      <c r="DG51" s="387"/>
      <c r="DH51" s="387"/>
      <c r="DI51" s="387"/>
      <c r="DJ51" s="387"/>
      <c r="DK51" s="632"/>
      <c r="DL51" s="497">
        <f t="shared" si="37"/>
        <v>0</v>
      </c>
      <c r="DM51" s="126">
        <f t="shared" si="38"/>
        <v>0</v>
      </c>
      <c r="DN51" s="126">
        <f t="shared" si="39"/>
        <v>0</v>
      </c>
      <c r="DO51" s="127">
        <f t="shared" si="40"/>
        <v>0</v>
      </c>
    </row>
    <row r="52" spans="2:123" ht="32.1" hidden="1" customHeight="1" outlineLevel="1" thickBot="1" x14ac:dyDescent="0.3">
      <c r="B52" s="813"/>
      <c r="C52" s="814"/>
      <c r="D52" s="798"/>
      <c r="E52" s="778" t="s">
        <v>138</v>
      </c>
      <c r="F52" s="375" t="s">
        <v>3</v>
      </c>
      <c r="G52" s="482" t="s">
        <v>139</v>
      </c>
      <c r="H52" s="376" t="s">
        <v>139</v>
      </c>
      <c r="I52" s="910" t="s">
        <v>86</v>
      </c>
      <c r="J52" s="271"/>
      <c r="K52" s="271"/>
      <c r="L52" s="271"/>
      <c r="M52" s="271"/>
      <c r="N52" s="271"/>
      <c r="O52" s="271"/>
      <c r="P52" s="271"/>
      <c r="Q52" s="271"/>
      <c r="R52" s="271"/>
      <c r="S52" s="271"/>
      <c r="T52" s="271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  <c r="AF52" s="272"/>
      <c r="AG52" s="272"/>
      <c r="AH52" s="272"/>
      <c r="AI52" s="272"/>
      <c r="AJ52" s="272"/>
      <c r="AK52" s="272"/>
      <c r="AL52" s="272"/>
      <c r="AM52" s="272"/>
      <c r="AN52" s="272"/>
      <c r="AO52" s="272"/>
      <c r="AP52" s="273"/>
      <c r="AQ52" s="273"/>
      <c r="AR52" s="273"/>
      <c r="AS52" s="273"/>
      <c r="AT52" s="273"/>
      <c r="AU52" s="274"/>
      <c r="AV52" s="274"/>
      <c r="AW52" s="274"/>
      <c r="AX52" s="274"/>
      <c r="AY52" s="274"/>
      <c r="AZ52" s="274"/>
      <c r="BA52" s="275"/>
      <c r="BB52" s="275"/>
      <c r="BC52" s="275"/>
      <c r="BD52" s="275"/>
      <c r="BE52" s="271"/>
      <c r="BF52" s="271"/>
      <c r="BG52" s="271"/>
      <c r="BH52" s="271"/>
      <c r="BI52" s="271"/>
      <c r="BJ52" s="276"/>
      <c r="BK52" s="272"/>
      <c r="BL52" s="272"/>
      <c r="BM52" s="272"/>
      <c r="BN52" s="272"/>
      <c r="BO52" s="272"/>
      <c r="BP52" s="272"/>
      <c r="BQ52" s="272"/>
      <c r="BR52" s="272"/>
      <c r="BS52" s="272"/>
      <c r="BT52" s="272"/>
      <c r="BU52" s="272"/>
      <c r="BV52" s="272"/>
      <c r="BW52" s="273"/>
      <c r="BX52" s="273"/>
      <c r="BY52" s="273"/>
      <c r="BZ52" s="273"/>
      <c r="CA52" s="273"/>
      <c r="CB52" s="273"/>
      <c r="CC52" s="273"/>
      <c r="CD52" s="273"/>
      <c r="CE52" s="273"/>
      <c r="CF52" s="273"/>
      <c r="CG52" s="273"/>
      <c r="CH52" s="277">
        <v>200</v>
      </c>
      <c r="CI52" s="273"/>
      <c r="CJ52" s="273"/>
      <c r="CK52" s="273"/>
      <c r="CL52" s="273"/>
      <c r="CM52" s="273"/>
      <c r="CN52" s="273"/>
      <c r="CO52" s="274"/>
      <c r="CP52" s="274"/>
      <c r="CQ52" s="274"/>
      <c r="CR52" s="540"/>
      <c r="CS52" s="274"/>
      <c r="CT52" s="540"/>
      <c r="CU52" s="540"/>
      <c r="CV52" s="540"/>
      <c r="CW52" s="540"/>
      <c r="CX52" s="540"/>
      <c r="CY52" s="541"/>
      <c r="CZ52" s="274"/>
      <c r="DA52" s="274"/>
      <c r="DB52" s="274"/>
      <c r="DC52" s="271"/>
      <c r="DD52" s="271"/>
      <c r="DE52" s="271"/>
      <c r="DF52" s="271"/>
      <c r="DG52" s="271"/>
      <c r="DH52" s="271"/>
      <c r="DI52" s="271"/>
      <c r="DJ52" s="271"/>
      <c r="DK52" s="628"/>
      <c r="DL52" s="498">
        <f t="shared" si="37"/>
        <v>0</v>
      </c>
      <c r="DM52" s="121">
        <f t="shared" si="38"/>
        <v>200</v>
      </c>
      <c r="DN52" s="121">
        <f t="shared" si="39"/>
        <v>0</v>
      </c>
      <c r="DO52" s="357">
        <f t="shared" si="40"/>
        <v>0</v>
      </c>
    </row>
    <row r="53" spans="2:123" ht="32.1" hidden="1" customHeight="1" outlineLevel="1" thickBot="1" x14ac:dyDescent="0.3">
      <c r="B53" s="813"/>
      <c r="C53" s="814"/>
      <c r="D53" s="798"/>
      <c r="E53" s="779"/>
      <c r="F53" s="278" t="s">
        <v>3</v>
      </c>
      <c r="G53" s="279" t="s">
        <v>139</v>
      </c>
      <c r="H53" s="280" t="s">
        <v>139</v>
      </c>
      <c r="I53" s="911"/>
      <c r="J53" s="281"/>
      <c r="K53" s="281"/>
      <c r="L53" s="281"/>
      <c r="M53" s="281"/>
      <c r="N53" s="281"/>
      <c r="O53" s="281"/>
      <c r="P53" s="281"/>
      <c r="Q53" s="281"/>
      <c r="R53" s="281"/>
      <c r="S53" s="281"/>
      <c r="T53" s="281"/>
      <c r="U53" s="282"/>
      <c r="V53" s="282"/>
      <c r="W53" s="282"/>
      <c r="X53" s="282"/>
      <c r="Y53" s="282"/>
      <c r="Z53" s="282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283"/>
      <c r="AQ53" s="283"/>
      <c r="AR53" s="283"/>
      <c r="AS53" s="283"/>
      <c r="AT53" s="283"/>
      <c r="AU53" s="284"/>
      <c r="AV53" s="284"/>
      <c r="AW53" s="284"/>
      <c r="AX53" s="284"/>
      <c r="AY53" s="284"/>
      <c r="AZ53" s="284"/>
      <c r="BA53" s="285"/>
      <c r="BB53" s="285"/>
      <c r="BC53" s="285"/>
      <c r="BD53" s="285"/>
      <c r="BE53" s="281"/>
      <c r="BF53" s="281"/>
      <c r="BG53" s="281"/>
      <c r="BH53" s="281"/>
      <c r="BI53" s="281"/>
      <c r="BJ53" s="286"/>
      <c r="BK53" s="282"/>
      <c r="BL53" s="282"/>
      <c r="BM53" s="282"/>
      <c r="BN53" s="282"/>
      <c r="BO53" s="282"/>
      <c r="BP53" s="282"/>
      <c r="BQ53" s="282"/>
      <c r="BR53" s="282"/>
      <c r="BS53" s="282"/>
      <c r="BT53" s="282"/>
      <c r="BU53" s="282"/>
      <c r="BV53" s="282"/>
      <c r="BW53" s="283"/>
      <c r="BX53" s="283"/>
      <c r="BY53" s="283"/>
      <c r="BZ53" s="283"/>
      <c r="CA53" s="283"/>
      <c r="CB53" s="283"/>
      <c r="CC53" s="283"/>
      <c r="CD53" s="283"/>
      <c r="CE53" s="283"/>
      <c r="CF53" s="283"/>
      <c r="CG53" s="283"/>
      <c r="CH53" s="287"/>
      <c r="CI53" s="283"/>
      <c r="CJ53" s="283"/>
      <c r="CK53" s="283"/>
      <c r="CL53" s="283"/>
      <c r="CM53" s="283"/>
      <c r="CN53" s="283"/>
      <c r="CO53" s="284"/>
      <c r="CP53" s="284"/>
      <c r="CQ53" s="284"/>
      <c r="CR53" s="542"/>
      <c r="CS53" s="284"/>
      <c r="CT53" s="542"/>
      <c r="CU53" s="542"/>
      <c r="CV53" s="542"/>
      <c r="CW53" s="542"/>
      <c r="CX53" s="542"/>
      <c r="CY53" s="543"/>
      <c r="CZ53" s="284"/>
      <c r="DA53" s="284"/>
      <c r="DB53" s="284"/>
      <c r="DC53" s="281"/>
      <c r="DD53" s="281"/>
      <c r="DE53" s="281"/>
      <c r="DF53" s="281"/>
      <c r="DG53" s="281"/>
      <c r="DH53" s="281"/>
      <c r="DI53" s="281"/>
      <c r="DJ53" s="281"/>
      <c r="DK53" s="629"/>
      <c r="DL53" s="495">
        <f t="shared" si="37"/>
        <v>0</v>
      </c>
      <c r="DM53" s="84">
        <f t="shared" si="38"/>
        <v>0</v>
      </c>
      <c r="DN53" s="84">
        <f t="shared" si="39"/>
        <v>0</v>
      </c>
      <c r="DO53" s="125">
        <f t="shared" si="40"/>
        <v>0</v>
      </c>
    </row>
    <row r="54" spans="2:123" ht="32.1" hidden="1" customHeight="1" outlineLevel="1" thickBot="1" x14ac:dyDescent="0.3">
      <c r="B54" s="813"/>
      <c r="C54" s="814"/>
      <c r="D54" s="798"/>
      <c r="E54" s="779"/>
      <c r="F54" s="278" t="s">
        <v>3</v>
      </c>
      <c r="G54" s="279" t="s">
        <v>139</v>
      </c>
      <c r="H54" s="280" t="s">
        <v>139</v>
      </c>
      <c r="I54" s="911"/>
      <c r="J54" s="281"/>
      <c r="K54" s="281"/>
      <c r="L54" s="281"/>
      <c r="M54" s="281"/>
      <c r="N54" s="281"/>
      <c r="O54" s="281"/>
      <c r="P54" s="281"/>
      <c r="Q54" s="281"/>
      <c r="R54" s="281"/>
      <c r="S54" s="281"/>
      <c r="T54" s="281"/>
      <c r="U54" s="282"/>
      <c r="V54" s="282"/>
      <c r="W54" s="282"/>
      <c r="X54" s="282"/>
      <c r="Y54" s="282"/>
      <c r="Z54" s="282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83"/>
      <c r="AQ54" s="283"/>
      <c r="AR54" s="283"/>
      <c r="AS54" s="283"/>
      <c r="AT54" s="283"/>
      <c r="AU54" s="284"/>
      <c r="AV54" s="284"/>
      <c r="AW54" s="284"/>
      <c r="AX54" s="284"/>
      <c r="AY54" s="284"/>
      <c r="AZ54" s="284"/>
      <c r="BA54" s="285"/>
      <c r="BB54" s="285"/>
      <c r="BC54" s="285"/>
      <c r="BD54" s="285"/>
      <c r="BE54" s="281"/>
      <c r="BF54" s="281"/>
      <c r="BG54" s="281"/>
      <c r="BH54" s="281"/>
      <c r="BI54" s="281"/>
      <c r="BJ54" s="286"/>
      <c r="BK54" s="282"/>
      <c r="BL54" s="282"/>
      <c r="BM54" s="282"/>
      <c r="BN54" s="282"/>
      <c r="BO54" s="282"/>
      <c r="BP54" s="282"/>
      <c r="BQ54" s="282"/>
      <c r="BR54" s="282"/>
      <c r="BS54" s="282"/>
      <c r="BT54" s="282"/>
      <c r="BU54" s="282"/>
      <c r="BV54" s="282"/>
      <c r="BW54" s="283"/>
      <c r="BX54" s="283"/>
      <c r="BY54" s="283"/>
      <c r="BZ54" s="283"/>
      <c r="CA54" s="283"/>
      <c r="CB54" s="283"/>
      <c r="CC54" s="283"/>
      <c r="CD54" s="283"/>
      <c r="CE54" s="283"/>
      <c r="CF54" s="283"/>
      <c r="CG54" s="283"/>
      <c r="CH54" s="287"/>
      <c r="CI54" s="283"/>
      <c r="CJ54" s="283"/>
      <c r="CK54" s="283"/>
      <c r="CL54" s="283"/>
      <c r="CM54" s="283"/>
      <c r="CN54" s="283"/>
      <c r="CO54" s="284"/>
      <c r="CP54" s="284"/>
      <c r="CQ54" s="284"/>
      <c r="CR54" s="542"/>
      <c r="CS54" s="284"/>
      <c r="CT54" s="542"/>
      <c r="CU54" s="542"/>
      <c r="CV54" s="542"/>
      <c r="CW54" s="542"/>
      <c r="CX54" s="542"/>
      <c r="CY54" s="543"/>
      <c r="CZ54" s="284"/>
      <c r="DA54" s="284"/>
      <c r="DB54" s="284"/>
      <c r="DC54" s="281"/>
      <c r="DD54" s="281"/>
      <c r="DE54" s="281"/>
      <c r="DF54" s="281"/>
      <c r="DG54" s="281"/>
      <c r="DH54" s="281"/>
      <c r="DI54" s="281"/>
      <c r="DJ54" s="281"/>
      <c r="DK54" s="629"/>
      <c r="DL54" s="495">
        <f t="shared" si="37"/>
        <v>0</v>
      </c>
      <c r="DM54" s="84">
        <f t="shared" si="38"/>
        <v>0</v>
      </c>
      <c r="DN54" s="84">
        <f t="shared" si="39"/>
        <v>0</v>
      </c>
      <c r="DO54" s="125">
        <f t="shared" si="40"/>
        <v>0</v>
      </c>
    </row>
    <row r="55" spans="2:123" ht="32.1" hidden="1" customHeight="1" outlineLevel="1" thickBot="1" x14ac:dyDescent="0.3">
      <c r="B55" s="813"/>
      <c r="C55" s="814"/>
      <c r="D55" s="799"/>
      <c r="E55" s="780"/>
      <c r="F55" s="288" t="s">
        <v>3</v>
      </c>
      <c r="G55" s="289" t="s">
        <v>139</v>
      </c>
      <c r="H55" s="290" t="s">
        <v>139</v>
      </c>
      <c r="I55" s="912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2"/>
      <c r="V55" s="292"/>
      <c r="W55" s="292"/>
      <c r="X55" s="292"/>
      <c r="Y55" s="292"/>
      <c r="Z55" s="292"/>
      <c r="AA55" s="292"/>
      <c r="AB55" s="292"/>
      <c r="AC55" s="292"/>
      <c r="AD55" s="292"/>
      <c r="AE55" s="292"/>
      <c r="AF55" s="292"/>
      <c r="AG55" s="292"/>
      <c r="AH55" s="292"/>
      <c r="AI55" s="292"/>
      <c r="AJ55" s="292"/>
      <c r="AK55" s="292"/>
      <c r="AL55" s="292"/>
      <c r="AM55" s="292"/>
      <c r="AN55" s="292"/>
      <c r="AO55" s="292"/>
      <c r="AP55" s="293"/>
      <c r="AQ55" s="293"/>
      <c r="AR55" s="293"/>
      <c r="AS55" s="293"/>
      <c r="AT55" s="293"/>
      <c r="AU55" s="294"/>
      <c r="AV55" s="294"/>
      <c r="AW55" s="294"/>
      <c r="AX55" s="294"/>
      <c r="AY55" s="294"/>
      <c r="AZ55" s="294"/>
      <c r="BA55" s="295"/>
      <c r="BB55" s="295"/>
      <c r="BC55" s="295"/>
      <c r="BD55" s="295"/>
      <c r="BE55" s="291"/>
      <c r="BF55" s="291"/>
      <c r="BG55" s="291"/>
      <c r="BH55" s="291"/>
      <c r="BI55" s="291"/>
      <c r="BJ55" s="296"/>
      <c r="BK55" s="292"/>
      <c r="BL55" s="292"/>
      <c r="BM55" s="292"/>
      <c r="BN55" s="292"/>
      <c r="BO55" s="292"/>
      <c r="BP55" s="292"/>
      <c r="BQ55" s="292"/>
      <c r="BR55" s="292"/>
      <c r="BS55" s="292"/>
      <c r="BT55" s="292"/>
      <c r="BU55" s="292"/>
      <c r="BV55" s="292"/>
      <c r="BW55" s="293"/>
      <c r="BX55" s="293"/>
      <c r="BY55" s="293"/>
      <c r="BZ55" s="293"/>
      <c r="CA55" s="293"/>
      <c r="CB55" s="293"/>
      <c r="CC55" s="293"/>
      <c r="CD55" s="293"/>
      <c r="CE55" s="293"/>
      <c r="CF55" s="293"/>
      <c r="CG55" s="293"/>
      <c r="CH55" s="297"/>
      <c r="CI55" s="293"/>
      <c r="CJ55" s="293"/>
      <c r="CK55" s="293"/>
      <c r="CL55" s="293"/>
      <c r="CM55" s="293"/>
      <c r="CN55" s="293"/>
      <c r="CO55" s="294"/>
      <c r="CP55" s="294"/>
      <c r="CQ55" s="294"/>
      <c r="CR55" s="544"/>
      <c r="CS55" s="294"/>
      <c r="CT55" s="544"/>
      <c r="CU55" s="544"/>
      <c r="CV55" s="544"/>
      <c r="CW55" s="544"/>
      <c r="CX55" s="544"/>
      <c r="CY55" s="545"/>
      <c r="CZ55" s="294"/>
      <c r="DA55" s="294"/>
      <c r="DB55" s="294"/>
      <c r="DC55" s="291"/>
      <c r="DD55" s="291"/>
      <c r="DE55" s="291"/>
      <c r="DF55" s="291"/>
      <c r="DG55" s="291"/>
      <c r="DH55" s="291"/>
      <c r="DI55" s="291"/>
      <c r="DJ55" s="291"/>
      <c r="DK55" s="630"/>
      <c r="DL55" s="495">
        <f t="shared" si="37"/>
        <v>0</v>
      </c>
      <c r="DM55" s="84">
        <f t="shared" si="38"/>
        <v>0</v>
      </c>
      <c r="DN55" s="84">
        <f t="shared" si="39"/>
        <v>0</v>
      </c>
      <c r="DO55" s="125">
        <f t="shared" si="40"/>
        <v>0</v>
      </c>
    </row>
    <row r="56" spans="2:123" s="834" customFormat="1" ht="16.5" hidden="1" customHeight="1" outlineLevel="1" thickBot="1" x14ac:dyDescent="0.35">
      <c r="B56" s="813"/>
      <c r="C56" s="814"/>
      <c r="D56" s="819"/>
      <c r="E56" s="820" t="s">
        <v>254</v>
      </c>
      <c r="F56" s="821"/>
      <c r="G56" s="822"/>
      <c r="H56" s="823"/>
      <c r="I56" s="903"/>
      <c r="J56" s="824">
        <f>SUM(J44:J55)</f>
        <v>50</v>
      </c>
      <c r="K56" s="824">
        <f t="shared" ref="K56:CL56" si="41">SUM(K44:K55)</f>
        <v>100</v>
      </c>
      <c r="L56" s="824">
        <f t="shared" si="41"/>
        <v>0</v>
      </c>
      <c r="M56" s="824">
        <f t="shared" si="41"/>
        <v>0</v>
      </c>
      <c r="N56" s="824">
        <f t="shared" si="41"/>
        <v>0</v>
      </c>
      <c r="O56" s="824">
        <f t="shared" si="41"/>
        <v>0</v>
      </c>
      <c r="P56" s="824">
        <f t="shared" si="41"/>
        <v>15</v>
      </c>
      <c r="Q56" s="824">
        <f t="shared" si="41"/>
        <v>0</v>
      </c>
      <c r="R56" s="824">
        <f t="shared" si="41"/>
        <v>0</v>
      </c>
      <c r="S56" s="824">
        <f t="shared" si="41"/>
        <v>0</v>
      </c>
      <c r="T56" s="824">
        <f t="shared" si="41"/>
        <v>70</v>
      </c>
      <c r="U56" s="825">
        <f t="shared" si="41"/>
        <v>0</v>
      </c>
      <c r="V56" s="825">
        <f t="shared" si="41"/>
        <v>0</v>
      </c>
      <c r="W56" s="825">
        <f t="shared" si="41"/>
        <v>100</v>
      </c>
      <c r="X56" s="825">
        <f t="shared" si="41"/>
        <v>15</v>
      </c>
      <c r="Y56" s="825">
        <f t="shared" si="41"/>
        <v>17</v>
      </c>
      <c r="Z56" s="825">
        <f t="shared" si="41"/>
        <v>0</v>
      </c>
      <c r="AA56" s="825">
        <f t="shared" si="41"/>
        <v>0</v>
      </c>
      <c r="AB56" s="825">
        <f t="shared" ref="AB56:AD56" si="42">SUM(AB44:AB55)</f>
        <v>0</v>
      </c>
      <c r="AC56" s="825">
        <f t="shared" si="42"/>
        <v>0</v>
      </c>
      <c r="AD56" s="825">
        <f t="shared" si="42"/>
        <v>0</v>
      </c>
      <c r="AE56" s="825">
        <f t="shared" si="41"/>
        <v>0</v>
      </c>
      <c r="AF56" s="825">
        <f t="shared" si="41"/>
        <v>0</v>
      </c>
      <c r="AG56" s="825">
        <f t="shared" si="41"/>
        <v>37.5</v>
      </c>
      <c r="AH56" s="825">
        <f t="shared" ref="AH56" si="43">SUM(AH44:AH55)</f>
        <v>0</v>
      </c>
      <c r="AI56" s="825">
        <f t="shared" ref="AI56:AO56" si="44">SUM(AI44:AI55)</f>
        <v>0</v>
      </c>
      <c r="AJ56" s="825">
        <f t="shared" si="44"/>
        <v>0</v>
      </c>
      <c r="AK56" s="825">
        <f t="shared" si="44"/>
        <v>0</v>
      </c>
      <c r="AL56" s="825">
        <f t="shared" si="44"/>
        <v>0</v>
      </c>
      <c r="AM56" s="825">
        <f t="shared" si="44"/>
        <v>0</v>
      </c>
      <c r="AN56" s="825">
        <f t="shared" si="44"/>
        <v>0</v>
      </c>
      <c r="AO56" s="825">
        <f t="shared" si="44"/>
        <v>0</v>
      </c>
      <c r="AP56" s="826">
        <f t="shared" si="41"/>
        <v>4</v>
      </c>
      <c r="AQ56" s="826">
        <f t="shared" ref="AQ56" si="45">SUM(AQ44:AQ55)</f>
        <v>0</v>
      </c>
      <c r="AR56" s="826">
        <f t="shared" si="41"/>
        <v>0</v>
      </c>
      <c r="AS56" s="826">
        <f t="shared" si="41"/>
        <v>0</v>
      </c>
      <c r="AT56" s="826">
        <f t="shared" si="41"/>
        <v>0</v>
      </c>
      <c r="AU56" s="827">
        <f t="shared" si="41"/>
        <v>0</v>
      </c>
      <c r="AV56" s="827">
        <f t="shared" si="41"/>
        <v>0</v>
      </c>
      <c r="AW56" s="827">
        <f t="shared" si="41"/>
        <v>0</v>
      </c>
      <c r="AX56" s="827">
        <f t="shared" ref="AX56:AY56" si="46">SUM(AX44:AX55)</f>
        <v>0</v>
      </c>
      <c r="AY56" s="827">
        <f t="shared" si="46"/>
        <v>0</v>
      </c>
      <c r="AZ56" s="827">
        <f t="shared" si="41"/>
        <v>0</v>
      </c>
      <c r="BA56" s="828">
        <f t="shared" si="41"/>
        <v>0</v>
      </c>
      <c r="BB56" s="828">
        <f t="shared" si="41"/>
        <v>0</v>
      </c>
      <c r="BC56" s="828">
        <f t="shared" si="41"/>
        <v>0</v>
      </c>
      <c r="BD56" s="828">
        <f t="shared" si="41"/>
        <v>0</v>
      </c>
      <c r="BE56" s="824">
        <f t="shared" si="41"/>
        <v>0</v>
      </c>
      <c r="BF56" s="824">
        <f t="shared" si="41"/>
        <v>15</v>
      </c>
      <c r="BG56" s="824">
        <f t="shared" si="41"/>
        <v>10</v>
      </c>
      <c r="BH56" s="824">
        <f t="shared" si="41"/>
        <v>0</v>
      </c>
      <c r="BI56" s="824">
        <f t="shared" si="41"/>
        <v>0</v>
      </c>
      <c r="BJ56" s="824">
        <f t="shared" si="41"/>
        <v>0</v>
      </c>
      <c r="BK56" s="825">
        <f t="shared" si="41"/>
        <v>0</v>
      </c>
      <c r="BL56" s="825">
        <f t="shared" si="41"/>
        <v>0</v>
      </c>
      <c r="BM56" s="825">
        <f t="shared" si="41"/>
        <v>0</v>
      </c>
      <c r="BN56" s="825">
        <f t="shared" si="41"/>
        <v>0</v>
      </c>
      <c r="BO56" s="825">
        <f t="shared" si="41"/>
        <v>120</v>
      </c>
      <c r="BP56" s="825">
        <f t="shared" si="41"/>
        <v>0</v>
      </c>
      <c r="BQ56" s="825">
        <f t="shared" si="41"/>
        <v>0</v>
      </c>
      <c r="BR56" s="825">
        <f t="shared" ref="BR56" si="47">SUM(BR44:BR55)</f>
        <v>0</v>
      </c>
      <c r="BS56" s="825">
        <f t="shared" ref="BS56" si="48">SUM(BS44:BS55)</f>
        <v>0</v>
      </c>
      <c r="BT56" s="825">
        <f t="shared" si="41"/>
        <v>0</v>
      </c>
      <c r="BU56" s="825">
        <f t="shared" si="41"/>
        <v>0</v>
      </c>
      <c r="BV56" s="825">
        <f t="shared" si="41"/>
        <v>0</v>
      </c>
      <c r="BW56" s="826">
        <f t="shared" si="41"/>
        <v>0</v>
      </c>
      <c r="BX56" s="826">
        <f t="shared" si="41"/>
        <v>0</v>
      </c>
      <c r="BY56" s="826">
        <f t="shared" si="41"/>
        <v>0</v>
      </c>
      <c r="BZ56" s="826">
        <f t="shared" si="41"/>
        <v>0</v>
      </c>
      <c r="CA56" s="826">
        <f t="shared" si="41"/>
        <v>0</v>
      </c>
      <c r="CB56" s="826">
        <f t="shared" ref="CB56" si="49">SUM(CB44:CB55)</f>
        <v>0</v>
      </c>
      <c r="CC56" s="826">
        <f t="shared" si="41"/>
        <v>0</v>
      </c>
      <c r="CD56" s="826">
        <f t="shared" si="41"/>
        <v>0</v>
      </c>
      <c r="CE56" s="826">
        <f t="shared" si="41"/>
        <v>0</v>
      </c>
      <c r="CF56" s="826">
        <f t="shared" si="41"/>
        <v>0</v>
      </c>
      <c r="CG56" s="826">
        <f t="shared" si="41"/>
        <v>0</v>
      </c>
      <c r="CH56" s="826">
        <f t="shared" si="41"/>
        <v>200</v>
      </c>
      <c r="CI56" s="826">
        <f t="shared" si="41"/>
        <v>0</v>
      </c>
      <c r="CJ56" s="826">
        <f t="shared" si="41"/>
        <v>0</v>
      </c>
      <c r="CK56" s="826">
        <f t="shared" si="41"/>
        <v>0</v>
      </c>
      <c r="CL56" s="826">
        <f t="shared" si="41"/>
        <v>0</v>
      </c>
      <c r="CM56" s="826">
        <f t="shared" ref="CM56:DO56" si="50">SUM(CM44:CM55)</f>
        <v>0</v>
      </c>
      <c r="CN56" s="826">
        <f t="shared" si="50"/>
        <v>0</v>
      </c>
      <c r="CO56" s="827">
        <f t="shared" si="50"/>
        <v>0</v>
      </c>
      <c r="CP56" s="827">
        <f t="shared" si="50"/>
        <v>0</v>
      </c>
      <c r="CQ56" s="827">
        <f t="shared" si="50"/>
        <v>0</v>
      </c>
      <c r="CR56" s="827">
        <f t="shared" si="50"/>
        <v>0</v>
      </c>
      <c r="CS56" s="827">
        <f t="shared" si="50"/>
        <v>0</v>
      </c>
      <c r="CT56" s="827">
        <f t="shared" si="50"/>
        <v>0</v>
      </c>
      <c r="CU56" s="827">
        <f t="shared" si="50"/>
        <v>0</v>
      </c>
      <c r="CV56" s="827">
        <f t="shared" si="50"/>
        <v>0</v>
      </c>
      <c r="CW56" s="827">
        <f t="shared" si="50"/>
        <v>0</v>
      </c>
      <c r="CX56" s="827">
        <f t="shared" si="50"/>
        <v>0</v>
      </c>
      <c r="CY56" s="827">
        <f t="shared" si="50"/>
        <v>0</v>
      </c>
      <c r="CZ56" s="827">
        <f t="shared" si="50"/>
        <v>0</v>
      </c>
      <c r="DA56" s="827">
        <f t="shared" si="50"/>
        <v>0</v>
      </c>
      <c r="DB56" s="827">
        <f t="shared" si="50"/>
        <v>0</v>
      </c>
      <c r="DC56" s="824">
        <f t="shared" si="50"/>
        <v>0</v>
      </c>
      <c r="DD56" s="824">
        <f t="shared" si="50"/>
        <v>0</v>
      </c>
      <c r="DE56" s="824">
        <f t="shared" si="50"/>
        <v>0</v>
      </c>
      <c r="DF56" s="824">
        <f t="shared" si="50"/>
        <v>0</v>
      </c>
      <c r="DG56" s="824">
        <f t="shared" si="50"/>
        <v>0</v>
      </c>
      <c r="DH56" s="824">
        <f t="shared" si="50"/>
        <v>0</v>
      </c>
      <c r="DI56" s="824">
        <f t="shared" si="50"/>
        <v>0</v>
      </c>
      <c r="DJ56" s="824">
        <f t="shared" si="50"/>
        <v>0</v>
      </c>
      <c r="DK56" s="829">
        <f t="shared" si="50"/>
        <v>0</v>
      </c>
      <c r="DL56" s="830">
        <f t="shared" si="50"/>
        <v>1007</v>
      </c>
      <c r="DM56" s="831">
        <f t="shared" si="50"/>
        <v>753.5</v>
      </c>
      <c r="DN56" s="831">
        <f t="shared" si="50"/>
        <v>120</v>
      </c>
      <c r="DO56" s="832">
        <f t="shared" si="50"/>
        <v>0</v>
      </c>
      <c r="DP56" s="833"/>
      <c r="DQ56" s="833"/>
      <c r="DR56" s="833"/>
      <c r="DS56" s="833"/>
    </row>
    <row r="57" spans="2:123" ht="32.1" hidden="1" customHeight="1" outlineLevel="1" thickBot="1" x14ac:dyDescent="0.3">
      <c r="B57" s="813"/>
      <c r="C57" s="814"/>
      <c r="D57" s="800" t="s">
        <v>192</v>
      </c>
      <c r="E57" s="781" t="s">
        <v>192</v>
      </c>
      <c r="F57" s="298" t="s">
        <v>3</v>
      </c>
      <c r="G57" s="299" t="s">
        <v>192</v>
      </c>
      <c r="H57" s="300" t="s">
        <v>192</v>
      </c>
      <c r="I57" s="915" t="s">
        <v>64</v>
      </c>
      <c r="J57" s="301"/>
      <c r="K57" s="301"/>
      <c r="L57" s="301"/>
      <c r="M57" s="301"/>
      <c r="N57" s="301"/>
      <c r="O57" s="301"/>
      <c r="P57" s="301"/>
      <c r="Q57" s="301"/>
      <c r="R57" s="301"/>
      <c r="S57" s="301"/>
      <c r="T57" s="301"/>
      <c r="U57" s="302"/>
      <c r="V57" s="302"/>
      <c r="W57" s="302"/>
      <c r="X57" s="302"/>
      <c r="Y57" s="302"/>
      <c r="Z57" s="302"/>
      <c r="AA57" s="302"/>
      <c r="AB57" s="302"/>
      <c r="AC57" s="302"/>
      <c r="AD57" s="302"/>
      <c r="AE57" s="302"/>
      <c r="AF57" s="302"/>
      <c r="AG57" s="302"/>
      <c r="AH57" s="302"/>
      <c r="AI57" s="302"/>
      <c r="AJ57" s="302"/>
      <c r="AK57" s="302"/>
      <c r="AL57" s="302"/>
      <c r="AM57" s="302"/>
      <c r="AN57" s="302"/>
      <c r="AO57" s="302"/>
      <c r="AP57" s="303"/>
      <c r="AQ57" s="303"/>
      <c r="AR57" s="303"/>
      <c r="AS57" s="303"/>
      <c r="AT57" s="303"/>
      <c r="AU57" s="304"/>
      <c r="AV57" s="304"/>
      <c r="AW57" s="304"/>
      <c r="AX57" s="304"/>
      <c r="AY57" s="304"/>
      <c r="AZ57" s="304"/>
      <c r="BA57" s="305"/>
      <c r="BB57" s="305"/>
      <c r="BC57" s="305"/>
      <c r="BD57" s="305"/>
      <c r="BE57" s="301"/>
      <c r="BF57" s="301"/>
      <c r="BG57" s="301"/>
      <c r="BH57" s="301"/>
      <c r="BI57" s="301"/>
      <c r="BJ57" s="306"/>
      <c r="BK57" s="302"/>
      <c r="BL57" s="302"/>
      <c r="BM57" s="302"/>
      <c r="BN57" s="302"/>
      <c r="BO57" s="302"/>
      <c r="BP57" s="302"/>
      <c r="BQ57" s="302"/>
      <c r="BR57" s="302"/>
      <c r="BS57" s="302"/>
      <c r="BT57" s="302"/>
      <c r="BU57" s="302"/>
      <c r="BV57" s="302"/>
      <c r="BW57" s="303"/>
      <c r="BX57" s="303"/>
      <c r="BY57" s="303"/>
      <c r="BZ57" s="303"/>
      <c r="CA57" s="303"/>
      <c r="CB57" s="303"/>
      <c r="CC57" s="303"/>
      <c r="CD57" s="303"/>
      <c r="CE57" s="303"/>
      <c r="CF57" s="303">
        <v>1</v>
      </c>
      <c r="CG57" s="303"/>
      <c r="CH57" s="307"/>
      <c r="CI57" s="303"/>
      <c r="CJ57" s="303"/>
      <c r="CK57" s="303"/>
      <c r="CL57" s="303"/>
      <c r="CM57" s="303"/>
      <c r="CN57" s="303"/>
      <c r="CO57" s="304"/>
      <c r="CP57" s="304"/>
      <c r="CQ57" s="304"/>
      <c r="CR57" s="550"/>
      <c r="CS57" s="304"/>
      <c r="CT57" s="550"/>
      <c r="CU57" s="550"/>
      <c r="CV57" s="550"/>
      <c r="CW57" s="550"/>
      <c r="CX57" s="550"/>
      <c r="CY57" s="551"/>
      <c r="CZ57" s="304"/>
      <c r="DA57" s="304"/>
      <c r="DB57" s="304"/>
      <c r="DC57" s="301"/>
      <c r="DD57" s="301"/>
      <c r="DE57" s="301"/>
      <c r="DF57" s="301"/>
      <c r="DG57" s="301"/>
      <c r="DH57" s="301"/>
      <c r="DI57" s="301"/>
      <c r="DJ57" s="301"/>
      <c r="DK57" s="633"/>
      <c r="DL57" s="495">
        <f>SUM(J57:S57)*5+SUM(V57:AF57)+AH57*4+U57*2.5+AG57/0.75</f>
        <v>0</v>
      </c>
      <c r="DM57" s="84">
        <f>SUM(J57:DK57)</f>
        <v>1</v>
      </c>
      <c r="DN57" s="84">
        <f>SUM(BK57:BV57,)</f>
        <v>0</v>
      </c>
      <c r="DO57" s="125">
        <f>SUM(AT57:AV57)+SUM(AW57:AZ57)*5</f>
        <v>0</v>
      </c>
    </row>
    <row r="58" spans="2:123" ht="32.1" hidden="1" customHeight="1" outlineLevel="1" thickBot="1" x14ac:dyDescent="0.3">
      <c r="B58" s="813"/>
      <c r="C58" s="814"/>
      <c r="D58" s="801"/>
      <c r="E58" s="782"/>
      <c r="F58" s="308" t="s">
        <v>3</v>
      </c>
      <c r="G58" s="309" t="s">
        <v>192</v>
      </c>
      <c r="H58" s="310" t="s">
        <v>192</v>
      </c>
      <c r="I58" s="916" t="s">
        <v>60</v>
      </c>
      <c r="J58" s="311"/>
      <c r="K58" s="311"/>
      <c r="L58" s="311"/>
      <c r="M58" s="311"/>
      <c r="N58" s="311"/>
      <c r="O58" s="311"/>
      <c r="P58" s="311"/>
      <c r="Q58" s="311"/>
      <c r="R58" s="311"/>
      <c r="S58" s="311"/>
      <c r="T58" s="311"/>
      <c r="U58" s="312"/>
      <c r="V58" s="312"/>
      <c r="W58" s="312"/>
      <c r="X58" s="312"/>
      <c r="Y58" s="312"/>
      <c r="Z58" s="312"/>
      <c r="AA58" s="312"/>
      <c r="AB58" s="312"/>
      <c r="AC58" s="312"/>
      <c r="AD58" s="312"/>
      <c r="AE58" s="312"/>
      <c r="AF58" s="312"/>
      <c r="AG58" s="312"/>
      <c r="AH58" s="312"/>
      <c r="AI58" s="312"/>
      <c r="AJ58" s="312"/>
      <c r="AK58" s="312"/>
      <c r="AL58" s="312"/>
      <c r="AM58" s="312"/>
      <c r="AN58" s="312"/>
      <c r="AO58" s="312"/>
      <c r="AP58" s="313"/>
      <c r="AQ58" s="313"/>
      <c r="AR58" s="313"/>
      <c r="AS58" s="313"/>
      <c r="AT58" s="313"/>
      <c r="AU58" s="314"/>
      <c r="AV58" s="314"/>
      <c r="AW58" s="314"/>
      <c r="AX58" s="314"/>
      <c r="AY58" s="314"/>
      <c r="AZ58" s="314"/>
      <c r="BA58" s="315"/>
      <c r="BB58" s="315"/>
      <c r="BC58" s="315"/>
      <c r="BD58" s="315"/>
      <c r="BE58" s="311"/>
      <c r="BF58" s="311"/>
      <c r="BG58" s="311"/>
      <c r="BH58" s="311"/>
      <c r="BI58" s="311"/>
      <c r="BJ58" s="316"/>
      <c r="BK58" s="312"/>
      <c r="BL58" s="312"/>
      <c r="BM58" s="312"/>
      <c r="BN58" s="312"/>
      <c r="BO58" s="312"/>
      <c r="BP58" s="312"/>
      <c r="BQ58" s="312"/>
      <c r="BR58" s="312"/>
      <c r="BS58" s="312"/>
      <c r="BT58" s="312"/>
      <c r="BU58" s="312"/>
      <c r="BV58" s="312"/>
      <c r="BW58" s="313"/>
      <c r="BX58" s="313"/>
      <c r="BY58" s="313"/>
      <c r="BZ58" s="313"/>
      <c r="CA58" s="313"/>
      <c r="CB58" s="313"/>
      <c r="CC58" s="313"/>
      <c r="CD58" s="313"/>
      <c r="CE58" s="313">
        <v>25</v>
      </c>
      <c r="CF58" s="313"/>
      <c r="CG58" s="313"/>
      <c r="CH58" s="317"/>
      <c r="CI58" s="313"/>
      <c r="CJ58" s="313"/>
      <c r="CK58" s="313"/>
      <c r="CL58" s="313"/>
      <c r="CM58" s="313"/>
      <c r="CN58" s="313"/>
      <c r="CO58" s="314"/>
      <c r="CP58" s="314"/>
      <c r="CQ58" s="314"/>
      <c r="CR58" s="552"/>
      <c r="CS58" s="314"/>
      <c r="CT58" s="552"/>
      <c r="CU58" s="552"/>
      <c r="CV58" s="552"/>
      <c r="CW58" s="552"/>
      <c r="CX58" s="552"/>
      <c r="CY58" s="553"/>
      <c r="CZ58" s="314"/>
      <c r="DA58" s="314"/>
      <c r="DB58" s="314"/>
      <c r="DC58" s="311"/>
      <c r="DD58" s="311"/>
      <c r="DE58" s="311"/>
      <c r="DF58" s="311"/>
      <c r="DG58" s="311"/>
      <c r="DH58" s="311"/>
      <c r="DI58" s="311"/>
      <c r="DJ58" s="311"/>
      <c r="DK58" s="634"/>
      <c r="DL58" s="495">
        <f>SUM(J58:S58)*5+SUM(V58:AF58)+AH58*4+U58*2.5+AG58/0.75</f>
        <v>0</v>
      </c>
      <c r="DM58" s="84">
        <f>SUM(J58:DK58)</f>
        <v>25</v>
      </c>
      <c r="DN58" s="84">
        <f>SUM(BK58:BV58,)</f>
        <v>0</v>
      </c>
      <c r="DO58" s="125">
        <f>SUM(AT58:AV58)+SUM(AW58:AZ58)*5</f>
        <v>0</v>
      </c>
    </row>
    <row r="59" spans="2:123" ht="32.1" hidden="1" customHeight="1" outlineLevel="1" thickBot="1" x14ac:dyDescent="0.3">
      <c r="B59" s="813"/>
      <c r="C59" s="814"/>
      <c r="D59" s="801"/>
      <c r="E59" s="782"/>
      <c r="F59" s="308" t="s">
        <v>3</v>
      </c>
      <c r="G59" s="309" t="s">
        <v>192</v>
      </c>
      <c r="H59" s="310" t="s">
        <v>192</v>
      </c>
      <c r="I59" s="916" t="s">
        <v>98</v>
      </c>
      <c r="J59" s="311"/>
      <c r="K59" s="311"/>
      <c r="L59" s="311"/>
      <c r="M59" s="311"/>
      <c r="N59" s="311"/>
      <c r="O59" s="311"/>
      <c r="P59" s="311"/>
      <c r="Q59" s="311"/>
      <c r="R59" s="311"/>
      <c r="S59" s="311"/>
      <c r="T59" s="311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312"/>
      <c r="AF59" s="312"/>
      <c r="AG59" s="312"/>
      <c r="AH59" s="312"/>
      <c r="AI59" s="312"/>
      <c r="AJ59" s="312"/>
      <c r="AK59" s="312"/>
      <c r="AL59" s="312"/>
      <c r="AM59" s="312"/>
      <c r="AN59" s="312"/>
      <c r="AO59" s="312"/>
      <c r="AP59" s="313"/>
      <c r="AQ59" s="313"/>
      <c r="AR59" s="313"/>
      <c r="AS59" s="313"/>
      <c r="AT59" s="313"/>
      <c r="AU59" s="314"/>
      <c r="AV59" s="314"/>
      <c r="AW59" s="314"/>
      <c r="AX59" s="314"/>
      <c r="AY59" s="314"/>
      <c r="AZ59" s="314"/>
      <c r="BA59" s="315"/>
      <c r="BB59" s="315"/>
      <c r="BC59" s="315"/>
      <c r="BD59" s="315"/>
      <c r="BE59" s="311"/>
      <c r="BF59" s="311"/>
      <c r="BG59" s="311"/>
      <c r="BH59" s="311"/>
      <c r="BI59" s="311"/>
      <c r="BJ59" s="316"/>
      <c r="BK59" s="312"/>
      <c r="BL59" s="312"/>
      <c r="BM59" s="312"/>
      <c r="BN59" s="312"/>
      <c r="BO59" s="312"/>
      <c r="BP59" s="312"/>
      <c r="BQ59" s="312"/>
      <c r="BR59" s="312"/>
      <c r="BS59" s="312"/>
      <c r="BT59" s="312"/>
      <c r="BU59" s="312"/>
      <c r="BV59" s="312"/>
      <c r="BW59" s="313"/>
      <c r="BX59" s="313"/>
      <c r="BY59" s="313"/>
      <c r="BZ59" s="313"/>
      <c r="CA59" s="313"/>
      <c r="CB59" s="313"/>
      <c r="CC59" s="313"/>
      <c r="CD59" s="313"/>
      <c r="CE59" s="313"/>
      <c r="CF59" s="313"/>
      <c r="CG59" s="313"/>
      <c r="CH59" s="317"/>
      <c r="CI59" s="313"/>
      <c r="CJ59" s="313"/>
      <c r="CK59" s="313"/>
      <c r="CL59" s="313"/>
      <c r="CM59" s="313"/>
      <c r="CN59" s="313"/>
      <c r="CO59" s="314"/>
      <c r="CP59" s="314"/>
      <c r="CQ59" s="314"/>
      <c r="CR59" s="552"/>
      <c r="CS59" s="314"/>
      <c r="CT59" s="552">
        <v>60</v>
      </c>
      <c r="CU59" s="552"/>
      <c r="CV59" s="552"/>
      <c r="CW59" s="552"/>
      <c r="CX59" s="552"/>
      <c r="CY59" s="553"/>
      <c r="CZ59" s="314"/>
      <c r="DA59" s="314"/>
      <c r="DB59" s="314"/>
      <c r="DC59" s="311"/>
      <c r="DD59" s="311"/>
      <c r="DE59" s="311"/>
      <c r="DF59" s="311"/>
      <c r="DG59" s="311"/>
      <c r="DH59" s="311"/>
      <c r="DI59" s="311"/>
      <c r="DJ59" s="311"/>
      <c r="DK59" s="634"/>
      <c r="DL59" s="495">
        <f>SUM(J59:S59)*5+SUM(V59:AF59)+AH59*4+U59*2.5+AG59/0.75</f>
        <v>0</v>
      </c>
      <c r="DM59" s="84">
        <f>SUM(J59:DK59)</f>
        <v>60</v>
      </c>
      <c r="DN59" s="84">
        <f>SUM(BK59:BV59,)</f>
        <v>0</v>
      </c>
      <c r="DO59" s="125">
        <f>SUM(AT59:AV59)+SUM(AW59:AZ59)*5</f>
        <v>0</v>
      </c>
    </row>
    <row r="60" spans="2:123" ht="32.1" hidden="1" customHeight="1" outlineLevel="1" thickBot="1" x14ac:dyDescent="0.3">
      <c r="B60" s="813"/>
      <c r="C60" s="814"/>
      <c r="D60" s="802"/>
      <c r="E60" s="783"/>
      <c r="F60" s="318" t="s">
        <v>3</v>
      </c>
      <c r="G60" s="319" t="s">
        <v>192</v>
      </c>
      <c r="H60" s="320" t="s">
        <v>192</v>
      </c>
      <c r="I60" s="917" t="s">
        <v>67</v>
      </c>
      <c r="J60" s="321"/>
      <c r="K60" s="321"/>
      <c r="L60" s="321"/>
      <c r="M60" s="321"/>
      <c r="N60" s="321"/>
      <c r="O60" s="321"/>
      <c r="P60" s="321"/>
      <c r="Q60" s="321"/>
      <c r="R60" s="321"/>
      <c r="S60" s="321"/>
      <c r="T60" s="321"/>
      <c r="U60" s="322"/>
      <c r="V60" s="322"/>
      <c r="W60" s="322"/>
      <c r="X60" s="322"/>
      <c r="Y60" s="322"/>
      <c r="Z60" s="322"/>
      <c r="AA60" s="322"/>
      <c r="AB60" s="322"/>
      <c r="AC60" s="322"/>
      <c r="AD60" s="322"/>
      <c r="AE60" s="322"/>
      <c r="AF60" s="322"/>
      <c r="AG60" s="322"/>
      <c r="AH60" s="322"/>
      <c r="AI60" s="322"/>
      <c r="AJ60" s="322"/>
      <c r="AK60" s="322"/>
      <c r="AL60" s="322"/>
      <c r="AM60" s="322"/>
      <c r="AN60" s="322"/>
      <c r="AO60" s="322"/>
      <c r="AP60" s="323"/>
      <c r="AQ60" s="323"/>
      <c r="AR60" s="323"/>
      <c r="AS60" s="323"/>
      <c r="AT60" s="323"/>
      <c r="AU60" s="324"/>
      <c r="AV60" s="324"/>
      <c r="AW60" s="324"/>
      <c r="AX60" s="324"/>
      <c r="AY60" s="324"/>
      <c r="AZ60" s="324"/>
      <c r="BA60" s="325"/>
      <c r="BB60" s="325"/>
      <c r="BC60" s="325"/>
      <c r="BD60" s="325"/>
      <c r="BE60" s="321"/>
      <c r="BF60" s="321"/>
      <c r="BG60" s="321">
        <v>15</v>
      </c>
      <c r="BH60" s="321"/>
      <c r="BI60" s="321"/>
      <c r="BJ60" s="326"/>
      <c r="BK60" s="322"/>
      <c r="BL60" s="322"/>
      <c r="BM60" s="322"/>
      <c r="BN60" s="322"/>
      <c r="BO60" s="322"/>
      <c r="BP60" s="322"/>
      <c r="BQ60" s="322"/>
      <c r="BR60" s="322"/>
      <c r="BS60" s="322"/>
      <c r="BT60" s="322"/>
      <c r="BU60" s="322"/>
      <c r="BV60" s="322"/>
      <c r="BW60" s="323"/>
      <c r="BX60" s="323"/>
      <c r="BY60" s="323"/>
      <c r="BZ60" s="323"/>
      <c r="CA60" s="323"/>
      <c r="CB60" s="323"/>
      <c r="CC60" s="323"/>
      <c r="CD60" s="323"/>
      <c r="CE60" s="323"/>
      <c r="CF60" s="323"/>
      <c r="CG60" s="323"/>
      <c r="CH60" s="327"/>
      <c r="CI60" s="323"/>
      <c r="CJ60" s="323"/>
      <c r="CK60" s="323"/>
      <c r="CL60" s="323"/>
      <c r="CM60" s="323"/>
      <c r="CN60" s="323"/>
      <c r="CO60" s="324"/>
      <c r="CP60" s="324"/>
      <c r="CQ60" s="324"/>
      <c r="CR60" s="554"/>
      <c r="CS60" s="324"/>
      <c r="CT60" s="554"/>
      <c r="CU60" s="554"/>
      <c r="CV60" s="554"/>
      <c r="CW60" s="554"/>
      <c r="CX60" s="554"/>
      <c r="CY60" s="555"/>
      <c r="CZ60" s="324"/>
      <c r="DA60" s="324"/>
      <c r="DB60" s="324"/>
      <c r="DC60" s="321"/>
      <c r="DD60" s="321"/>
      <c r="DE60" s="321"/>
      <c r="DF60" s="321"/>
      <c r="DG60" s="321"/>
      <c r="DH60" s="321"/>
      <c r="DI60" s="321"/>
      <c r="DJ60" s="321"/>
      <c r="DK60" s="635"/>
      <c r="DL60" s="495">
        <f>SUM(J60:S60)*5+SUM(V60:AF60)+AH60*4+U60*2.5+AG60/0.75</f>
        <v>0</v>
      </c>
      <c r="DM60" s="84">
        <f>SUM(J60:DK60)</f>
        <v>15</v>
      </c>
      <c r="DN60" s="84">
        <f>SUM(BK60:BV60,)</f>
        <v>0</v>
      </c>
      <c r="DO60" s="125">
        <f>SUM(AT60:AV60)+SUM(AW60:AZ60)*5</f>
        <v>0</v>
      </c>
    </row>
    <row r="61" spans="2:123" s="834" customFormat="1" ht="16.5" hidden="1" customHeight="1" outlineLevel="1" thickBot="1" x14ac:dyDescent="0.35">
      <c r="B61" s="813"/>
      <c r="C61" s="814"/>
      <c r="D61" s="835"/>
      <c r="E61" s="836" t="s">
        <v>254</v>
      </c>
      <c r="F61" s="837"/>
      <c r="G61" s="838"/>
      <c r="H61" s="839"/>
      <c r="I61" s="918"/>
      <c r="J61" s="824">
        <f>SUM(J57:J60)</f>
        <v>0</v>
      </c>
      <c r="K61" s="824">
        <f t="shared" ref="K61:CL61" si="51">SUM(K57:K60)</f>
        <v>0</v>
      </c>
      <c r="L61" s="824">
        <f t="shared" si="51"/>
        <v>0</v>
      </c>
      <c r="M61" s="824">
        <f t="shared" si="51"/>
        <v>0</v>
      </c>
      <c r="N61" s="824">
        <f t="shared" si="51"/>
        <v>0</v>
      </c>
      <c r="O61" s="824">
        <f t="shared" si="51"/>
        <v>0</v>
      </c>
      <c r="P61" s="824">
        <f t="shared" si="51"/>
        <v>0</v>
      </c>
      <c r="Q61" s="824">
        <f t="shared" si="51"/>
        <v>0</v>
      </c>
      <c r="R61" s="824">
        <f t="shared" si="51"/>
        <v>0</v>
      </c>
      <c r="S61" s="824">
        <f t="shared" si="51"/>
        <v>0</v>
      </c>
      <c r="T61" s="824">
        <f t="shared" si="51"/>
        <v>0</v>
      </c>
      <c r="U61" s="825">
        <f t="shared" si="51"/>
        <v>0</v>
      </c>
      <c r="V61" s="825">
        <f t="shared" si="51"/>
        <v>0</v>
      </c>
      <c r="W61" s="825">
        <f t="shared" si="51"/>
        <v>0</v>
      </c>
      <c r="X61" s="825">
        <f t="shared" si="51"/>
        <v>0</v>
      </c>
      <c r="Y61" s="825">
        <f t="shared" si="51"/>
        <v>0</v>
      </c>
      <c r="Z61" s="825">
        <f t="shared" si="51"/>
        <v>0</v>
      </c>
      <c r="AA61" s="825">
        <f t="shared" si="51"/>
        <v>0</v>
      </c>
      <c r="AB61" s="825">
        <f t="shared" ref="AB61:AD61" si="52">SUM(AB57:AB60)</f>
        <v>0</v>
      </c>
      <c r="AC61" s="825">
        <f t="shared" si="52"/>
        <v>0</v>
      </c>
      <c r="AD61" s="825">
        <f t="shared" si="52"/>
        <v>0</v>
      </c>
      <c r="AE61" s="825">
        <f t="shared" si="51"/>
        <v>0</v>
      </c>
      <c r="AF61" s="825">
        <f t="shared" si="51"/>
        <v>0</v>
      </c>
      <c r="AG61" s="825">
        <f t="shared" si="51"/>
        <v>0</v>
      </c>
      <c r="AH61" s="825">
        <f t="shared" ref="AH61" si="53">SUM(AH57:AH60)</f>
        <v>0</v>
      </c>
      <c r="AI61" s="825">
        <f t="shared" ref="AI61:AO61" si="54">SUM(AI57:AI60)</f>
        <v>0</v>
      </c>
      <c r="AJ61" s="825">
        <f t="shared" si="54"/>
        <v>0</v>
      </c>
      <c r="AK61" s="825">
        <f t="shared" si="54"/>
        <v>0</v>
      </c>
      <c r="AL61" s="825">
        <f t="shared" si="54"/>
        <v>0</v>
      </c>
      <c r="AM61" s="825">
        <f t="shared" si="54"/>
        <v>0</v>
      </c>
      <c r="AN61" s="825">
        <f t="shared" si="54"/>
        <v>0</v>
      </c>
      <c r="AO61" s="825">
        <f t="shared" si="54"/>
        <v>0</v>
      </c>
      <c r="AP61" s="826">
        <f t="shared" si="51"/>
        <v>0</v>
      </c>
      <c r="AQ61" s="826">
        <f t="shared" ref="AQ61" si="55">SUM(AQ57:AQ60)</f>
        <v>0</v>
      </c>
      <c r="AR61" s="826">
        <f t="shared" si="51"/>
        <v>0</v>
      </c>
      <c r="AS61" s="826">
        <f t="shared" si="51"/>
        <v>0</v>
      </c>
      <c r="AT61" s="826">
        <f t="shared" si="51"/>
        <v>0</v>
      </c>
      <c r="AU61" s="827">
        <f t="shared" si="51"/>
        <v>0</v>
      </c>
      <c r="AV61" s="827">
        <f t="shared" si="51"/>
        <v>0</v>
      </c>
      <c r="AW61" s="827">
        <f t="shared" si="51"/>
        <v>0</v>
      </c>
      <c r="AX61" s="827">
        <f t="shared" ref="AX61:AY61" si="56">SUM(AX57:AX60)</f>
        <v>0</v>
      </c>
      <c r="AY61" s="827">
        <f t="shared" si="56"/>
        <v>0</v>
      </c>
      <c r="AZ61" s="827">
        <f t="shared" si="51"/>
        <v>0</v>
      </c>
      <c r="BA61" s="828">
        <f t="shared" si="51"/>
        <v>0</v>
      </c>
      <c r="BB61" s="828">
        <f t="shared" si="51"/>
        <v>0</v>
      </c>
      <c r="BC61" s="828">
        <f t="shared" si="51"/>
        <v>0</v>
      </c>
      <c r="BD61" s="828">
        <f t="shared" si="51"/>
        <v>0</v>
      </c>
      <c r="BE61" s="824">
        <f t="shared" si="51"/>
        <v>0</v>
      </c>
      <c r="BF61" s="824">
        <f t="shared" si="51"/>
        <v>0</v>
      </c>
      <c r="BG61" s="824">
        <f t="shared" si="51"/>
        <v>15</v>
      </c>
      <c r="BH61" s="824">
        <f t="shared" si="51"/>
        <v>0</v>
      </c>
      <c r="BI61" s="824">
        <f t="shared" si="51"/>
        <v>0</v>
      </c>
      <c r="BJ61" s="824">
        <f t="shared" si="51"/>
        <v>0</v>
      </c>
      <c r="BK61" s="825">
        <f t="shared" si="51"/>
        <v>0</v>
      </c>
      <c r="BL61" s="825">
        <f t="shared" si="51"/>
        <v>0</v>
      </c>
      <c r="BM61" s="825">
        <f t="shared" si="51"/>
        <v>0</v>
      </c>
      <c r="BN61" s="825">
        <f t="shared" si="51"/>
        <v>0</v>
      </c>
      <c r="BO61" s="825">
        <f t="shared" si="51"/>
        <v>0</v>
      </c>
      <c r="BP61" s="825">
        <f t="shared" si="51"/>
        <v>0</v>
      </c>
      <c r="BQ61" s="825">
        <f t="shared" si="51"/>
        <v>0</v>
      </c>
      <c r="BR61" s="825">
        <f t="shared" ref="BR61" si="57">SUM(BR57:BR60)</f>
        <v>0</v>
      </c>
      <c r="BS61" s="825">
        <f t="shared" ref="BS61" si="58">SUM(BS57:BS60)</f>
        <v>0</v>
      </c>
      <c r="BT61" s="825">
        <f t="shared" si="51"/>
        <v>0</v>
      </c>
      <c r="BU61" s="825">
        <f t="shared" si="51"/>
        <v>0</v>
      </c>
      <c r="BV61" s="825">
        <f t="shared" si="51"/>
        <v>0</v>
      </c>
      <c r="BW61" s="826">
        <f t="shared" si="51"/>
        <v>0</v>
      </c>
      <c r="BX61" s="826">
        <f t="shared" si="51"/>
        <v>0</v>
      </c>
      <c r="BY61" s="826">
        <f t="shared" si="51"/>
        <v>0</v>
      </c>
      <c r="BZ61" s="826">
        <f t="shared" si="51"/>
        <v>0</v>
      </c>
      <c r="CA61" s="826">
        <f t="shared" si="51"/>
        <v>0</v>
      </c>
      <c r="CB61" s="826">
        <f t="shared" ref="CB61" si="59">SUM(CB57:CB60)</f>
        <v>0</v>
      </c>
      <c r="CC61" s="826">
        <f t="shared" si="51"/>
        <v>0</v>
      </c>
      <c r="CD61" s="826">
        <f t="shared" si="51"/>
        <v>0</v>
      </c>
      <c r="CE61" s="826">
        <f t="shared" si="51"/>
        <v>25</v>
      </c>
      <c r="CF61" s="826">
        <f t="shared" si="51"/>
        <v>1</v>
      </c>
      <c r="CG61" s="826">
        <f t="shared" si="51"/>
        <v>0</v>
      </c>
      <c r="CH61" s="826">
        <f t="shared" si="51"/>
        <v>0</v>
      </c>
      <c r="CI61" s="826">
        <f t="shared" si="51"/>
        <v>0</v>
      </c>
      <c r="CJ61" s="826">
        <f t="shared" si="51"/>
        <v>0</v>
      </c>
      <c r="CK61" s="826">
        <f t="shared" si="51"/>
        <v>0</v>
      </c>
      <c r="CL61" s="826">
        <f t="shared" si="51"/>
        <v>0</v>
      </c>
      <c r="CM61" s="826">
        <f t="shared" ref="CM61:DO61" si="60">SUM(CM57:CM60)</f>
        <v>0</v>
      </c>
      <c r="CN61" s="826">
        <f t="shared" si="60"/>
        <v>0</v>
      </c>
      <c r="CO61" s="827">
        <f t="shared" si="60"/>
        <v>0</v>
      </c>
      <c r="CP61" s="827">
        <f t="shared" si="60"/>
        <v>0</v>
      </c>
      <c r="CQ61" s="827">
        <f t="shared" si="60"/>
        <v>0</v>
      </c>
      <c r="CR61" s="827">
        <f t="shared" si="60"/>
        <v>0</v>
      </c>
      <c r="CS61" s="827">
        <f t="shared" si="60"/>
        <v>0</v>
      </c>
      <c r="CT61" s="827">
        <f t="shared" si="60"/>
        <v>60</v>
      </c>
      <c r="CU61" s="827">
        <f t="shared" si="60"/>
        <v>0</v>
      </c>
      <c r="CV61" s="827">
        <f t="shared" si="60"/>
        <v>0</v>
      </c>
      <c r="CW61" s="827">
        <f t="shared" si="60"/>
        <v>0</v>
      </c>
      <c r="CX61" s="827">
        <f t="shared" si="60"/>
        <v>0</v>
      </c>
      <c r="CY61" s="827">
        <f t="shared" si="60"/>
        <v>0</v>
      </c>
      <c r="CZ61" s="827">
        <f t="shared" si="60"/>
        <v>0</v>
      </c>
      <c r="DA61" s="827">
        <f t="shared" si="60"/>
        <v>0</v>
      </c>
      <c r="DB61" s="827">
        <f t="shared" si="60"/>
        <v>0</v>
      </c>
      <c r="DC61" s="824">
        <f t="shared" si="60"/>
        <v>0</v>
      </c>
      <c r="DD61" s="824">
        <f t="shared" si="60"/>
        <v>0</v>
      </c>
      <c r="DE61" s="824">
        <f t="shared" si="60"/>
        <v>0</v>
      </c>
      <c r="DF61" s="824">
        <f t="shared" si="60"/>
        <v>0</v>
      </c>
      <c r="DG61" s="824">
        <f t="shared" si="60"/>
        <v>0</v>
      </c>
      <c r="DH61" s="824">
        <f t="shared" si="60"/>
        <v>0</v>
      </c>
      <c r="DI61" s="824">
        <f t="shared" si="60"/>
        <v>0</v>
      </c>
      <c r="DJ61" s="824">
        <f t="shared" si="60"/>
        <v>0</v>
      </c>
      <c r="DK61" s="829">
        <f t="shared" si="60"/>
        <v>0</v>
      </c>
      <c r="DL61" s="830">
        <f t="shared" si="60"/>
        <v>0</v>
      </c>
      <c r="DM61" s="831">
        <f t="shared" si="60"/>
        <v>101</v>
      </c>
      <c r="DN61" s="831">
        <f t="shared" si="60"/>
        <v>0</v>
      </c>
      <c r="DO61" s="832">
        <f t="shared" si="60"/>
        <v>0</v>
      </c>
      <c r="DP61" s="833"/>
      <c r="DQ61" s="833"/>
      <c r="DR61" s="833"/>
      <c r="DS61" s="833"/>
    </row>
    <row r="62" spans="2:123" s="789" customFormat="1" ht="32.1" customHeight="1" collapsed="1" thickBot="1" x14ac:dyDescent="0.4">
      <c r="B62" s="985" t="s">
        <v>255</v>
      </c>
      <c r="C62" s="984"/>
      <c r="D62" s="841"/>
      <c r="E62" s="784" t="s">
        <v>256</v>
      </c>
      <c r="F62" s="842"/>
      <c r="G62" s="843"/>
      <c r="H62" s="784"/>
      <c r="I62" s="842" t="s">
        <v>287</v>
      </c>
      <c r="J62" s="130">
        <f>SUMIF($E18:$E61,$E62,J18:J61)</f>
        <v>72</v>
      </c>
      <c r="K62" s="130">
        <f t="shared" ref="K62:CL62" si="61">SUMIF($E18:$E61,$E62,K18:K61)</f>
        <v>170</v>
      </c>
      <c r="L62" s="130">
        <f t="shared" si="61"/>
        <v>75</v>
      </c>
      <c r="M62" s="130">
        <f t="shared" si="61"/>
        <v>0</v>
      </c>
      <c r="N62" s="130">
        <f t="shared" si="61"/>
        <v>0</v>
      </c>
      <c r="O62" s="130">
        <f t="shared" si="61"/>
        <v>0</v>
      </c>
      <c r="P62" s="130">
        <f t="shared" si="61"/>
        <v>15</v>
      </c>
      <c r="Q62" s="130">
        <f t="shared" si="61"/>
        <v>0</v>
      </c>
      <c r="R62" s="130">
        <f t="shared" si="61"/>
        <v>0</v>
      </c>
      <c r="S62" s="130">
        <f t="shared" si="61"/>
        <v>0</v>
      </c>
      <c r="T62" s="130">
        <f t="shared" si="61"/>
        <v>70</v>
      </c>
      <c r="U62" s="135">
        <f t="shared" si="61"/>
        <v>20</v>
      </c>
      <c r="V62" s="135">
        <f t="shared" si="61"/>
        <v>130</v>
      </c>
      <c r="W62" s="135">
        <f t="shared" si="61"/>
        <v>220</v>
      </c>
      <c r="X62" s="135">
        <f t="shared" si="61"/>
        <v>55</v>
      </c>
      <c r="Y62" s="135">
        <f t="shared" si="61"/>
        <v>67</v>
      </c>
      <c r="Z62" s="135">
        <f t="shared" si="61"/>
        <v>0</v>
      </c>
      <c r="AA62" s="135">
        <f t="shared" si="61"/>
        <v>0</v>
      </c>
      <c r="AB62" s="135">
        <f t="shared" ref="AB62:AD62" si="62">SUMIF($E18:$E61,$E62,AB18:AB61)</f>
        <v>0</v>
      </c>
      <c r="AC62" s="135">
        <f t="shared" si="62"/>
        <v>0</v>
      </c>
      <c r="AD62" s="135">
        <f t="shared" si="62"/>
        <v>0</v>
      </c>
      <c r="AE62" s="135">
        <f t="shared" si="61"/>
        <v>0</v>
      </c>
      <c r="AF62" s="135">
        <f t="shared" si="61"/>
        <v>0</v>
      </c>
      <c r="AG62" s="135">
        <f t="shared" si="61"/>
        <v>37.5</v>
      </c>
      <c r="AH62" s="135">
        <f t="shared" ref="AH62" si="63">SUMIF($E18:$E61,$E62,AH18:AH61)</f>
        <v>2</v>
      </c>
      <c r="AI62" s="135">
        <f t="shared" ref="AI62:AO62" si="64">SUMIF($E18:$E61,$E62,AI18:AI61)</f>
        <v>0</v>
      </c>
      <c r="AJ62" s="135">
        <f t="shared" si="64"/>
        <v>0</v>
      </c>
      <c r="AK62" s="135">
        <f t="shared" si="64"/>
        <v>0</v>
      </c>
      <c r="AL62" s="135">
        <f t="shared" si="64"/>
        <v>0</v>
      </c>
      <c r="AM62" s="135">
        <f t="shared" si="64"/>
        <v>0</v>
      </c>
      <c r="AN62" s="135">
        <f t="shared" si="64"/>
        <v>0</v>
      </c>
      <c r="AO62" s="135">
        <f t="shared" si="64"/>
        <v>0</v>
      </c>
      <c r="AP62" s="138">
        <f t="shared" si="61"/>
        <v>9</v>
      </c>
      <c r="AQ62" s="138">
        <f t="shared" ref="AQ62" si="65">SUMIF($E18:$E61,$E62,AQ18:AQ61)</f>
        <v>0</v>
      </c>
      <c r="AR62" s="138">
        <f t="shared" si="61"/>
        <v>100</v>
      </c>
      <c r="AS62" s="138">
        <f t="shared" si="61"/>
        <v>200</v>
      </c>
      <c r="AT62" s="138">
        <f t="shared" si="61"/>
        <v>0</v>
      </c>
      <c r="AU62" s="146">
        <f t="shared" si="61"/>
        <v>200</v>
      </c>
      <c r="AV62" s="146">
        <f t="shared" si="61"/>
        <v>0</v>
      </c>
      <c r="AW62" s="146">
        <f t="shared" si="61"/>
        <v>0</v>
      </c>
      <c r="AX62" s="146">
        <f t="shared" ref="AX62:AY62" si="66">SUMIF($E18:$E61,$E62,AX18:AX61)</f>
        <v>0</v>
      </c>
      <c r="AY62" s="146">
        <f t="shared" si="66"/>
        <v>0</v>
      </c>
      <c r="AZ62" s="146">
        <f t="shared" si="61"/>
        <v>0</v>
      </c>
      <c r="BA62" s="142">
        <f t="shared" si="61"/>
        <v>17.5</v>
      </c>
      <c r="BB62" s="142">
        <f t="shared" si="61"/>
        <v>1</v>
      </c>
      <c r="BC62" s="142">
        <f t="shared" si="61"/>
        <v>0</v>
      </c>
      <c r="BD62" s="142">
        <f t="shared" si="61"/>
        <v>0</v>
      </c>
      <c r="BE62" s="130">
        <f t="shared" si="61"/>
        <v>0</v>
      </c>
      <c r="BF62" s="130">
        <f t="shared" si="61"/>
        <v>50</v>
      </c>
      <c r="BG62" s="130">
        <f t="shared" si="61"/>
        <v>35</v>
      </c>
      <c r="BH62" s="130">
        <f t="shared" si="61"/>
        <v>20</v>
      </c>
      <c r="BI62" s="130">
        <f t="shared" si="61"/>
        <v>0</v>
      </c>
      <c r="BJ62" s="130">
        <f t="shared" si="61"/>
        <v>0</v>
      </c>
      <c r="BK62" s="135">
        <f t="shared" si="61"/>
        <v>0</v>
      </c>
      <c r="BL62" s="135">
        <f t="shared" si="61"/>
        <v>20</v>
      </c>
      <c r="BM62" s="135">
        <f t="shared" si="61"/>
        <v>0</v>
      </c>
      <c r="BN62" s="135">
        <f t="shared" si="61"/>
        <v>0</v>
      </c>
      <c r="BO62" s="135">
        <f t="shared" si="61"/>
        <v>120</v>
      </c>
      <c r="BP62" s="135">
        <f t="shared" si="61"/>
        <v>80</v>
      </c>
      <c r="BQ62" s="135">
        <f t="shared" si="61"/>
        <v>112.5</v>
      </c>
      <c r="BR62" s="135">
        <f t="shared" ref="BR62" si="67">SUMIF($E18:$E61,$E62,BR18:BR61)</f>
        <v>0</v>
      </c>
      <c r="BS62" s="135">
        <f t="shared" ref="BS62" si="68">SUMIF($E18:$E61,$E62,BS18:BS61)</f>
        <v>0</v>
      </c>
      <c r="BT62" s="135">
        <f t="shared" si="61"/>
        <v>0</v>
      </c>
      <c r="BU62" s="135">
        <f t="shared" si="61"/>
        <v>0</v>
      </c>
      <c r="BV62" s="135">
        <f t="shared" si="61"/>
        <v>0</v>
      </c>
      <c r="BW62" s="138">
        <f t="shared" si="61"/>
        <v>0</v>
      </c>
      <c r="BX62" s="138">
        <f t="shared" si="61"/>
        <v>0.5</v>
      </c>
      <c r="BY62" s="138">
        <f t="shared" si="61"/>
        <v>0</v>
      </c>
      <c r="BZ62" s="138">
        <f t="shared" si="61"/>
        <v>0</v>
      </c>
      <c r="CA62" s="138">
        <f t="shared" si="61"/>
        <v>0</v>
      </c>
      <c r="CB62" s="138">
        <f t="shared" ref="CB62" si="69">SUMIF($E18:$E61,$E62,CB18:CB61)</f>
        <v>0</v>
      </c>
      <c r="CC62" s="138">
        <f t="shared" si="61"/>
        <v>0</v>
      </c>
      <c r="CD62" s="138">
        <f t="shared" si="61"/>
        <v>0</v>
      </c>
      <c r="CE62" s="138">
        <f t="shared" si="61"/>
        <v>70</v>
      </c>
      <c r="CF62" s="138">
        <f t="shared" si="61"/>
        <v>1</v>
      </c>
      <c r="CG62" s="138">
        <f t="shared" si="61"/>
        <v>1.5</v>
      </c>
      <c r="CH62" s="138">
        <f t="shared" si="61"/>
        <v>200</v>
      </c>
      <c r="CI62" s="138">
        <f t="shared" si="61"/>
        <v>0</v>
      </c>
      <c r="CJ62" s="138">
        <f t="shared" si="61"/>
        <v>8</v>
      </c>
      <c r="CK62" s="138">
        <f t="shared" si="61"/>
        <v>8</v>
      </c>
      <c r="CL62" s="138">
        <f t="shared" si="61"/>
        <v>4</v>
      </c>
      <c r="CM62" s="138">
        <f t="shared" ref="CM62:DO62" si="70">SUMIF($E18:$E61,$E62,CM18:CM61)</f>
        <v>0</v>
      </c>
      <c r="CN62" s="138">
        <f t="shared" si="70"/>
        <v>0</v>
      </c>
      <c r="CO62" s="146">
        <f t="shared" si="70"/>
        <v>0</v>
      </c>
      <c r="CP62" s="146">
        <f t="shared" si="70"/>
        <v>0</v>
      </c>
      <c r="CQ62" s="146">
        <f t="shared" si="70"/>
        <v>20</v>
      </c>
      <c r="CR62" s="146">
        <f t="shared" si="70"/>
        <v>0</v>
      </c>
      <c r="CS62" s="146">
        <f t="shared" si="70"/>
        <v>0</v>
      </c>
      <c r="CT62" s="146">
        <f t="shared" si="70"/>
        <v>60</v>
      </c>
      <c r="CU62" s="146">
        <f t="shared" si="70"/>
        <v>0</v>
      </c>
      <c r="CV62" s="146">
        <f t="shared" si="70"/>
        <v>0</v>
      </c>
      <c r="CW62" s="146">
        <f t="shared" si="70"/>
        <v>0</v>
      </c>
      <c r="CX62" s="146">
        <f t="shared" si="70"/>
        <v>0</v>
      </c>
      <c r="CY62" s="146">
        <f t="shared" si="70"/>
        <v>0</v>
      </c>
      <c r="CZ62" s="146">
        <f t="shared" si="70"/>
        <v>0</v>
      </c>
      <c r="DA62" s="146">
        <f t="shared" si="70"/>
        <v>0</v>
      </c>
      <c r="DB62" s="146">
        <f t="shared" si="70"/>
        <v>0</v>
      </c>
      <c r="DC62" s="130">
        <f t="shared" si="70"/>
        <v>0</v>
      </c>
      <c r="DD62" s="130">
        <f t="shared" si="70"/>
        <v>0</v>
      </c>
      <c r="DE62" s="130">
        <f t="shared" si="70"/>
        <v>0</v>
      </c>
      <c r="DF62" s="130">
        <f t="shared" si="70"/>
        <v>0</v>
      </c>
      <c r="DG62" s="130">
        <f t="shared" si="70"/>
        <v>0</v>
      </c>
      <c r="DH62" s="130">
        <f t="shared" si="70"/>
        <v>0</v>
      </c>
      <c r="DI62" s="130">
        <f t="shared" si="70"/>
        <v>0</v>
      </c>
      <c r="DJ62" s="130">
        <f t="shared" si="70"/>
        <v>0</v>
      </c>
      <c r="DK62" s="636">
        <f t="shared" si="70"/>
        <v>0</v>
      </c>
      <c r="DL62" s="492">
        <f t="shared" si="70"/>
        <v>2240</v>
      </c>
      <c r="DM62" s="492">
        <f t="shared" si="70"/>
        <v>2271.5</v>
      </c>
      <c r="DN62" s="492">
        <f t="shared" si="70"/>
        <v>332.5</v>
      </c>
      <c r="DO62" s="683">
        <f t="shared" si="70"/>
        <v>200</v>
      </c>
      <c r="DP62" s="844"/>
      <c r="DQ62" s="844"/>
      <c r="DR62" s="844"/>
      <c r="DS62" s="844"/>
    </row>
    <row r="63" spans="2:123" ht="32.1" hidden="1" customHeight="1" outlineLevel="1" thickBot="1" x14ac:dyDescent="0.3">
      <c r="B63" s="811" t="s">
        <v>140</v>
      </c>
      <c r="C63" s="812">
        <f>C18+1</f>
        <v>45118</v>
      </c>
      <c r="D63" s="803" t="s">
        <v>133</v>
      </c>
      <c r="E63" s="774" t="s">
        <v>136</v>
      </c>
      <c r="F63" s="328" t="s">
        <v>4</v>
      </c>
      <c r="G63" s="329" t="s">
        <v>133</v>
      </c>
      <c r="H63" s="330"/>
      <c r="I63" s="901" t="s">
        <v>218</v>
      </c>
      <c r="J63" s="331"/>
      <c r="K63" s="331"/>
      <c r="L63" s="331"/>
      <c r="M63" s="331"/>
      <c r="N63" s="331"/>
      <c r="O63" s="331">
        <v>82</v>
      </c>
      <c r="P63" s="331"/>
      <c r="Q63" s="331"/>
      <c r="R63" s="331"/>
      <c r="S63" s="331"/>
      <c r="T63" s="331"/>
      <c r="U63" s="332"/>
      <c r="V63" s="332"/>
      <c r="W63" s="332"/>
      <c r="X63" s="332"/>
      <c r="Y63" s="332"/>
      <c r="Z63" s="332"/>
      <c r="AA63" s="332"/>
      <c r="AB63" s="332"/>
      <c r="AC63" s="332"/>
      <c r="AD63" s="332"/>
      <c r="AE63" s="332"/>
      <c r="AF63" s="332"/>
      <c r="AG63" s="332"/>
      <c r="AH63" s="332"/>
      <c r="AI63" s="332"/>
      <c r="AJ63" s="332"/>
      <c r="AK63" s="332"/>
      <c r="AL63" s="332"/>
      <c r="AM63" s="332"/>
      <c r="AN63" s="332"/>
      <c r="AO63" s="332"/>
      <c r="AP63" s="333"/>
      <c r="AQ63" s="333"/>
      <c r="AR63" s="333"/>
      <c r="AS63" s="333"/>
      <c r="AT63" s="333"/>
      <c r="AU63" s="334">
        <v>200</v>
      </c>
      <c r="AV63" s="334"/>
      <c r="AW63" s="334"/>
      <c r="AX63" s="334"/>
      <c r="AY63" s="334"/>
      <c r="AZ63" s="334"/>
      <c r="BA63" s="335"/>
      <c r="BB63" s="335"/>
      <c r="BC63" s="335"/>
      <c r="BD63" s="335"/>
      <c r="BE63" s="331"/>
      <c r="BF63" s="331"/>
      <c r="BG63" s="331">
        <v>5</v>
      </c>
      <c r="BH63" s="331"/>
      <c r="BI63" s="331"/>
      <c r="BJ63" s="336"/>
      <c r="BK63" s="332"/>
      <c r="BL63" s="332"/>
      <c r="BM63" s="332"/>
      <c r="BN63" s="332"/>
      <c r="BO63" s="332"/>
      <c r="BP63" s="332"/>
      <c r="BQ63" s="332"/>
      <c r="BR63" s="332"/>
      <c r="BS63" s="332"/>
      <c r="BT63" s="332"/>
      <c r="BU63" s="332"/>
      <c r="BV63" s="332"/>
      <c r="BW63" s="333"/>
      <c r="BX63" s="333"/>
      <c r="BY63" s="333"/>
      <c r="BZ63" s="333"/>
      <c r="CA63" s="333"/>
      <c r="CB63" s="333"/>
      <c r="CC63" s="333"/>
      <c r="CD63" s="333"/>
      <c r="CE63" s="333"/>
      <c r="CF63" s="333"/>
      <c r="CG63" s="337"/>
      <c r="CH63" s="338"/>
      <c r="CI63" s="333"/>
      <c r="CJ63" s="333"/>
      <c r="CK63" s="333"/>
      <c r="CL63" s="333"/>
      <c r="CM63" s="333"/>
      <c r="CN63" s="333"/>
      <c r="CO63" s="334"/>
      <c r="CP63" s="334"/>
      <c r="CQ63" s="334"/>
      <c r="CR63" s="334"/>
      <c r="CS63" s="556"/>
      <c r="CT63" s="556"/>
      <c r="CU63" s="556"/>
      <c r="CV63" s="556"/>
      <c r="CW63" s="524"/>
      <c r="CX63" s="524"/>
      <c r="CY63" s="525"/>
      <c r="CZ63" s="334"/>
      <c r="DA63" s="334"/>
      <c r="DB63" s="334"/>
      <c r="DC63" s="331"/>
      <c r="DD63" s="331"/>
      <c r="DE63" s="331"/>
      <c r="DF63" s="331"/>
      <c r="DG63" s="331"/>
      <c r="DH63" s="331"/>
      <c r="DI63" s="331"/>
      <c r="DJ63" s="331"/>
      <c r="DK63" s="615"/>
      <c r="DL63" s="494">
        <f t="shared" ref="DL63:DL72" si="71">SUM(J63:S63)*5+SUM(V63:AF63)+AH63*4+U63*2.5+AG63/0.75</f>
        <v>410</v>
      </c>
      <c r="DM63" s="122">
        <f t="shared" ref="DM63:DM72" si="72">SUM(J63:DK63)</f>
        <v>287</v>
      </c>
      <c r="DN63" s="122">
        <f t="shared" ref="DN63:DN72" si="73">SUM(BK63:BV63,)</f>
        <v>0</v>
      </c>
      <c r="DO63" s="124">
        <f t="shared" ref="DO63:DO72" si="74">SUM(AT63:AV63)+SUM(AW63:AZ63)*5</f>
        <v>200</v>
      </c>
    </row>
    <row r="64" spans="2:123" ht="32.1" hidden="1" customHeight="1" outlineLevel="1" thickBot="1" x14ac:dyDescent="0.3">
      <c r="B64" s="813"/>
      <c r="C64" s="814"/>
      <c r="D64" s="792"/>
      <c r="E64" s="772"/>
      <c r="F64" s="213" t="s">
        <v>4</v>
      </c>
      <c r="G64" s="339" t="s">
        <v>133</v>
      </c>
      <c r="H64" s="330"/>
      <c r="I64" s="899" t="s">
        <v>174</v>
      </c>
      <c r="J64" s="216"/>
      <c r="K64" s="216"/>
      <c r="L64" s="216"/>
      <c r="M64" s="216"/>
      <c r="N64" s="216"/>
      <c r="O64" s="216"/>
      <c r="P64" s="216"/>
      <c r="Q64" s="216"/>
      <c r="R64" s="216"/>
      <c r="S64" s="216"/>
      <c r="T64" s="216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217"/>
      <c r="AP64" s="218"/>
      <c r="AQ64" s="218"/>
      <c r="AR64" s="218"/>
      <c r="AS64" s="218"/>
      <c r="AT64" s="218"/>
      <c r="AU64" s="219"/>
      <c r="AV64" s="219"/>
      <c r="AW64" s="219"/>
      <c r="AX64" s="219"/>
      <c r="AY64" s="219"/>
      <c r="AZ64" s="219"/>
      <c r="BA64" s="220"/>
      <c r="BB64" s="220"/>
      <c r="BC64" s="220"/>
      <c r="BD64" s="220"/>
      <c r="BE64" s="216"/>
      <c r="BF64" s="216"/>
      <c r="BG64" s="216"/>
      <c r="BH64" s="216"/>
      <c r="BI64" s="216"/>
      <c r="BJ64" s="221"/>
      <c r="BK64" s="217"/>
      <c r="BL64" s="217"/>
      <c r="BM64" s="217"/>
      <c r="BN64" s="217"/>
      <c r="BO64" s="217"/>
      <c r="BP64" s="217">
        <v>100</v>
      </c>
      <c r="BQ64" s="217"/>
      <c r="BR64" s="217"/>
      <c r="BS64" s="217"/>
      <c r="BT64" s="217"/>
      <c r="BU64" s="217"/>
      <c r="BV64" s="217"/>
      <c r="BW64" s="218"/>
      <c r="BX64" s="218"/>
      <c r="BY64" s="218"/>
      <c r="BZ64" s="218"/>
      <c r="CA64" s="218"/>
      <c r="CB64" s="218"/>
      <c r="CC64" s="218"/>
      <c r="CD64" s="218"/>
      <c r="CE64" s="218"/>
      <c r="CF64" s="218"/>
      <c r="CG64" s="218"/>
      <c r="CH64" s="222"/>
      <c r="CI64" s="218"/>
      <c r="CJ64" s="218"/>
      <c r="CK64" s="218"/>
      <c r="CL64" s="218"/>
      <c r="CM64" s="218"/>
      <c r="CN64" s="218"/>
      <c r="CO64" s="219"/>
      <c r="CP64" s="219"/>
      <c r="CQ64" s="219"/>
      <c r="CR64" s="219"/>
      <c r="CS64" s="219"/>
      <c r="CT64" s="521"/>
      <c r="CU64" s="557"/>
      <c r="CV64" s="557"/>
      <c r="CW64" s="514"/>
      <c r="CX64" s="514"/>
      <c r="CY64" s="515"/>
      <c r="CZ64" s="219"/>
      <c r="DA64" s="219"/>
      <c r="DB64" s="219"/>
      <c r="DC64" s="216"/>
      <c r="DD64" s="216"/>
      <c r="DE64" s="216"/>
      <c r="DF64" s="216"/>
      <c r="DG64" s="216"/>
      <c r="DH64" s="216"/>
      <c r="DI64" s="216"/>
      <c r="DJ64" s="216"/>
      <c r="DK64" s="612"/>
      <c r="DL64" s="495">
        <f t="shared" si="71"/>
        <v>0</v>
      </c>
      <c r="DM64" s="84">
        <f t="shared" si="72"/>
        <v>100</v>
      </c>
      <c r="DN64" s="84">
        <f t="shared" si="73"/>
        <v>100</v>
      </c>
      <c r="DO64" s="125">
        <f t="shared" si="74"/>
        <v>0</v>
      </c>
    </row>
    <row r="65" spans="2:123" ht="32.1" hidden="1" customHeight="1" outlineLevel="1" thickBot="1" x14ac:dyDescent="0.3">
      <c r="B65" s="813"/>
      <c r="C65" s="814"/>
      <c r="D65" s="792"/>
      <c r="E65" s="773"/>
      <c r="F65" s="426" t="s">
        <v>4</v>
      </c>
      <c r="G65" s="427" t="s">
        <v>133</v>
      </c>
      <c r="H65" s="330"/>
      <c r="I65" s="902" t="s">
        <v>222</v>
      </c>
      <c r="J65" s="227"/>
      <c r="K65" s="227"/>
      <c r="L65" s="227"/>
      <c r="M65" s="227"/>
      <c r="N65" s="227"/>
      <c r="O65" s="227"/>
      <c r="P65" s="227"/>
      <c r="Q65" s="227"/>
      <c r="R65" s="227"/>
      <c r="S65" s="227"/>
      <c r="T65" s="227"/>
      <c r="U65" s="228">
        <v>20</v>
      </c>
      <c r="V65" s="228"/>
      <c r="W65" s="228"/>
      <c r="X65" s="228"/>
      <c r="Y65" s="228"/>
      <c r="Z65" s="228"/>
      <c r="AA65" s="228"/>
      <c r="AB65" s="228"/>
      <c r="AC65" s="228"/>
      <c r="AD65" s="228"/>
      <c r="AE65" s="228"/>
      <c r="AF65" s="228"/>
      <c r="AG65" s="228"/>
      <c r="AH65" s="228"/>
      <c r="AI65" s="228"/>
      <c r="AJ65" s="228"/>
      <c r="AK65" s="228"/>
      <c r="AL65" s="228"/>
      <c r="AM65" s="228"/>
      <c r="AN65" s="228"/>
      <c r="AO65" s="228"/>
      <c r="AP65" s="229"/>
      <c r="AQ65" s="229"/>
      <c r="AR65" s="229"/>
      <c r="AS65" s="229"/>
      <c r="AT65" s="229"/>
      <c r="AU65" s="230"/>
      <c r="AV65" s="230"/>
      <c r="AW65" s="230"/>
      <c r="AX65" s="230"/>
      <c r="AY65" s="230"/>
      <c r="AZ65" s="230"/>
      <c r="BA65" s="232"/>
      <c r="BB65" s="232"/>
      <c r="BC65" s="232"/>
      <c r="BD65" s="232"/>
      <c r="BE65" s="227"/>
      <c r="BF65" s="227"/>
      <c r="BG65" s="227"/>
      <c r="BH65" s="227"/>
      <c r="BI65" s="227"/>
      <c r="BJ65" s="233"/>
      <c r="BK65" s="228"/>
      <c r="BL65" s="228"/>
      <c r="BM65" s="228"/>
      <c r="BN65" s="228"/>
      <c r="BO65" s="228"/>
      <c r="BP65" s="228"/>
      <c r="BQ65" s="228"/>
      <c r="BR65" s="228"/>
      <c r="BS65" s="228"/>
      <c r="BT65" s="228"/>
      <c r="BU65" s="228"/>
      <c r="BV65" s="228"/>
      <c r="BW65" s="229"/>
      <c r="BX65" s="229"/>
      <c r="BY65" s="229"/>
      <c r="BZ65" s="229"/>
      <c r="CA65" s="229"/>
      <c r="CB65" s="229"/>
      <c r="CC65" s="229"/>
      <c r="CD65" s="229"/>
      <c r="CE65" s="229"/>
      <c r="CF65" s="229"/>
      <c r="CG65" s="229"/>
      <c r="CH65" s="235"/>
      <c r="CI65" s="229"/>
      <c r="CJ65" s="229"/>
      <c r="CK65" s="229"/>
      <c r="CL65" s="229"/>
      <c r="CM65" s="229"/>
      <c r="CN65" s="229"/>
      <c r="CO65" s="230"/>
      <c r="CP65" s="230"/>
      <c r="CQ65" s="230"/>
      <c r="CR65" s="230"/>
      <c r="CS65" s="230"/>
      <c r="CT65" s="526"/>
      <c r="CU65" s="558"/>
      <c r="CV65" s="558"/>
      <c r="CW65" s="516"/>
      <c r="CX65" s="516"/>
      <c r="CY65" s="517"/>
      <c r="CZ65" s="230"/>
      <c r="DA65" s="230"/>
      <c r="DB65" s="230"/>
      <c r="DC65" s="227"/>
      <c r="DD65" s="227"/>
      <c r="DE65" s="227"/>
      <c r="DF65" s="227"/>
      <c r="DG65" s="227"/>
      <c r="DH65" s="227"/>
      <c r="DI65" s="227"/>
      <c r="DJ65" s="227"/>
      <c r="DK65" s="613"/>
      <c r="DL65" s="496">
        <f t="shared" si="71"/>
        <v>50</v>
      </c>
      <c r="DM65" s="120">
        <f t="shared" si="72"/>
        <v>20</v>
      </c>
      <c r="DN65" s="120">
        <f t="shared" si="73"/>
        <v>0</v>
      </c>
      <c r="DO65" s="358">
        <f t="shared" si="74"/>
        <v>0</v>
      </c>
    </row>
    <row r="66" spans="2:123" ht="32.1" hidden="1" customHeight="1" outlineLevel="1" thickBot="1" x14ac:dyDescent="0.3">
      <c r="B66" s="813"/>
      <c r="C66" s="814"/>
      <c r="D66" s="792"/>
      <c r="E66" s="772" t="s">
        <v>137</v>
      </c>
      <c r="F66" s="429" t="s">
        <v>4</v>
      </c>
      <c r="G66" s="430" t="s">
        <v>133</v>
      </c>
      <c r="H66" s="431"/>
      <c r="I66" s="919" t="s">
        <v>90</v>
      </c>
      <c r="J66" s="206"/>
      <c r="K66" s="206"/>
      <c r="L66" s="206"/>
      <c r="M66" s="206"/>
      <c r="N66" s="206"/>
      <c r="O66" s="206"/>
      <c r="P66" s="206"/>
      <c r="Q66" s="206"/>
      <c r="R66" s="206"/>
      <c r="S66" s="206"/>
      <c r="T66" s="206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7"/>
      <c r="AP66" s="208"/>
      <c r="AQ66" s="208"/>
      <c r="AR66" s="208"/>
      <c r="AS66" s="208"/>
      <c r="AT66" s="208"/>
      <c r="AU66" s="209"/>
      <c r="AV66" s="209"/>
      <c r="AW66" s="209"/>
      <c r="AX66" s="209"/>
      <c r="AY66" s="209"/>
      <c r="AZ66" s="209"/>
      <c r="BA66" s="210"/>
      <c r="BB66" s="210">
        <v>1</v>
      </c>
      <c r="BC66" s="210"/>
      <c r="BD66" s="210"/>
      <c r="BE66" s="206"/>
      <c r="BF66" s="206"/>
      <c r="BG66" s="206"/>
      <c r="BH66" s="206"/>
      <c r="BI66" s="206"/>
      <c r="BJ66" s="211"/>
      <c r="BK66" s="207"/>
      <c r="BL66" s="207"/>
      <c r="BM66" s="207"/>
      <c r="BN66" s="207"/>
      <c r="BO66" s="207"/>
      <c r="BP66" s="207"/>
      <c r="BQ66" s="207"/>
      <c r="BR66" s="207"/>
      <c r="BS66" s="207"/>
      <c r="BT66" s="207"/>
      <c r="BU66" s="207"/>
      <c r="BV66" s="207"/>
      <c r="BW66" s="208"/>
      <c r="BX66" s="208"/>
      <c r="BY66" s="208"/>
      <c r="BZ66" s="208"/>
      <c r="CA66" s="208"/>
      <c r="CB66" s="208"/>
      <c r="CC66" s="208"/>
      <c r="CD66" s="208"/>
      <c r="CE66" s="208"/>
      <c r="CF66" s="208"/>
      <c r="CG66" s="208"/>
      <c r="CH66" s="212"/>
      <c r="CI66" s="208"/>
      <c r="CJ66" s="208"/>
      <c r="CK66" s="208"/>
      <c r="CL66" s="208"/>
      <c r="CM66" s="208"/>
      <c r="CN66" s="208"/>
      <c r="CO66" s="209"/>
      <c r="CP66" s="209"/>
      <c r="CQ66" s="209"/>
      <c r="CR66" s="209"/>
      <c r="CS66" s="209"/>
      <c r="CT66" s="519"/>
      <c r="CU66" s="559"/>
      <c r="CV66" s="559"/>
      <c r="CW66" s="512"/>
      <c r="CX66" s="512"/>
      <c r="CY66" s="513"/>
      <c r="CZ66" s="209"/>
      <c r="DA66" s="209"/>
      <c r="DB66" s="209"/>
      <c r="DC66" s="206"/>
      <c r="DD66" s="206"/>
      <c r="DE66" s="206"/>
      <c r="DF66" s="206"/>
      <c r="DG66" s="206"/>
      <c r="DH66" s="206"/>
      <c r="DI66" s="206"/>
      <c r="DJ66" s="206"/>
      <c r="DK66" s="611"/>
      <c r="DL66" s="494">
        <f t="shared" si="71"/>
        <v>0</v>
      </c>
      <c r="DM66" s="122">
        <f t="shared" si="72"/>
        <v>1</v>
      </c>
      <c r="DN66" s="122">
        <f t="shared" si="73"/>
        <v>0</v>
      </c>
      <c r="DO66" s="124">
        <f t="shared" si="74"/>
        <v>0</v>
      </c>
    </row>
    <row r="67" spans="2:123" ht="32.1" hidden="1" customHeight="1" outlineLevel="1" thickBot="1" x14ac:dyDescent="0.3">
      <c r="B67" s="813"/>
      <c r="C67" s="814"/>
      <c r="D67" s="792"/>
      <c r="E67" s="772"/>
      <c r="F67" s="213" t="s">
        <v>4</v>
      </c>
      <c r="G67" s="339" t="s">
        <v>133</v>
      </c>
      <c r="H67" s="330"/>
      <c r="I67" s="899" t="s">
        <v>71</v>
      </c>
      <c r="J67" s="216"/>
      <c r="K67" s="216"/>
      <c r="L67" s="216"/>
      <c r="M67" s="216"/>
      <c r="N67" s="216"/>
      <c r="O67" s="216"/>
      <c r="P67" s="216"/>
      <c r="Q67" s="216"/>
      <c r="R67" s="216"/>
      <c r="S67" s="216"/>
      <c r="T67" s="216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  <c r="AO67" s="217"/>
      <c r="AP67" s="218"/>
      <c r="AQ67" s="218"/>
      <c r="AR67" s="218"/>
      <c r="AS67" s="218"/>
      <c r="AT67" s="218"/>
      <c r="AU67" s="219"/>
      <c r="AV67" s="219"/>
      <c r="AW67" s="219"/>
      <c r="AX67" s="219"/>
      <c r="AY67" s="219"/>
      <c r="AZ67" s="219"/>
      <c r="BA67" s="220"/>
      <c r="BB67" s="220"/>
      <c r="BC67" s="220"/>
      <c r="BD67" s="220"/>
      <c r="BE67" s="216"/>
      <c r="BF67" s="216"/>
      <c r="BG67" s="216"/>
      <c r="BH67" s="216"/>
      <c r="BI67" s="216"/>
      <c r="BJ67" s="221"/>
      <c r="BK67" s="217"/>
      <c r="BL67" s="217">
        <v>25</v>
      </c>
      <c r="BM67" s="217"/>
      <c r="BN67" s="217"/>
      <c r="BO67" s="217"/>
      <c r="BP67" s="217"/>
      <c r="BQ67" s="217"/>
      <c r="BR67" s="217"/>
      <c r="BS67" s="217"/>
      <c r="BT67" s="217"/>
      <c r="BU67" s="217"/>
      <c r="BV67" s="217"/>
      <c r="BW67" s="218"/>
      <c r="BX67" s="218"/>
      <c r="BY67" s="218"/>
      <c r="BZ67" s="218"/>
      <c r="CA67" s="218"/>
      <c r="CB67" s="218"/>
      <c r="CC67" s="218"/>
      <c r="CD67" s="218"/>
      <c r="CE67" s="218"/>
      <c r="CF67" s="218"/>
      <c r="CG67" s="218"/>
      <c r="CH67" s="222"/>
      <c r="CI67" s="218"/>
      <c r="CJ67" s="218"/>
      <c r="CK67" s="218"/>
      <c r="CL67" s="218"/>
      <c r="CM67" s="218"/>
      <c r="CN67" s="218"/>
      <c r="CO67" s="219"/>
      <c r="CP67" s="219"/>
      <c r="CQ67" s="219"/>
      <c r="CR67" s="219"/>
      <c r="CS67" s="219"/>
      <c r="CT67" s="521"/>
      <c r="CU67" s="557"/>
      <c r="CV67" s="557"/>
      <c r="CW67" s="514"/>
      <c r="CX67" s="514"/>
      <c r="CY67" s="515"/>
      <c r="CZ67" s="219"/>
      <c r="DA67" s="219"/>
      <c r="DB67" s="219"/>
      <c r="DC67" s="216"/>
      <c r="DD67" s="216"/>
      <c r="DE67" s="216"/>
      <c r="DF67" s="216"/>
      <c r="DG67" s="216"/>
      <c r="DH67" s="216"/>
      <c r="DI67" s="216"/>
      <c r="DJ67" s="216"/>
      <c r="DK67" s="612"/>
      <c r="DL67" s="495">
        <f t="shared" si="71"/>
        <v>0</v>
      </c>
      <c r="DM67" s="84">
        <f t="shared" si="72"/>
        <v>25</v>
      </c>
      <c r="DN67" s="84">
        <f t="shared" si="73"/>
        <v>25</v>
      </c>
      <c r="DO67" s="125">
        <f t="shared" si="74"/>
        <v>0</v>
      </c>
    </row>
    <row r="68" spans="2:123" ht="32.1" hidden="1" customHeight="1" outlineLevel="1" thickBot="1" x14ac:dyDescent="0.3">
      <c r="B68" s="813"/>
      <c r="C68" s="814"/>
      <c r="D68" s="792"/>
      <c r="E68" s="772"/>
      <c r="F68" s="224" t="s">
        <v>4</v>
      </c>
      <c r="G68" s="432" t="s">
        <v>133</v>
      </c>
      <c r="H68" s="433"/>
      <c r="I68" s="900" t="s">
        <v>63</v>
      </c>
      <c r="J68" s="434"/>
      <c r="K68" s="434"/>
      <c r="L68" s="434"/>
      <c r="M68" s="434"/>
      <c r="N68" s="434"/>
      <c r="O68" s="434"/>
      <c r="P68" s="434"/>
      <c r="Q68" s="434"/>
      <c r="R68" s="434"/>
      <c r="S68" s="434"/>
      <c r="T68" s="434"/>
      <c r="U68" s="435"/>
      <c r="V68" s="435"/>
      <c r="W68" s="435"/>
      <c r="X68" s="435"/>
      <c r="Y68" s="435"/>
      <c r="Z68" s="435"/>
      <c r="AA68" s="435"/>
      <c r="AB68" s="435"/>
      <c r="AC68" s="435"/>
      <c r="AD68" s="435"/>
      <c r="AE68" s="435"/>
      <c r="AF68" s="435"/>
      <c r="AG68" s="435"/>
      <c r="AH68" s="435"/>
      <c r="AI68" s="435"/>
      <c r="AJ68" s="435"/>
      <c r="AK68" s="435"/>
      <c r="AL68" s="435"/>
      <c r="AM68" s="435"/>
      <c r="AN68" s="435"/>
      <c r="AO68" s="435"/>
      <c r="AP68" s="436"/>
      <c r="AQ68" s="436"/>
      <c r="AR68" s="436"/>
      <c r="AS68" s="436"/>
      <c r="AT68" s="436"/>
      <c r="AU68" s="437"/>
      <c r="AV68" s="437"/>
      <c r="AW68" s="437"/>
      <c r="AX68" s="437"/>
      <c r="AY68" s="437"/>
      <c r="AZ68" s="437"/>
      <c r="BA68" s="438">
        <v>17.5</v>
      </c>
      <c r="BB68" s="438"/>
      <c r="BC68" s="438"/>
      <c r="BD68" s="438"/>
      <c r="BE68" s="434"/>
      <c r="BF68" s="434"/>
      <c r="BG68" s="434"/>
      <c r="BH68" s="434"/>
      <c r="BI68" s="434"/>
      <c r="BJ68" s="439"/>
      <c r="BK68" s="435"/>
      <c r="BL68" s="435"/>
      <c r="BM68" s="435"/>
      <c r="BN68" s="435"/>
      <c r="BO68" s="435"/>
      <c r="BP68" s="435"/>
      <c r="BQ68" s="435"/>
      <c r="BR68" s="435"/>
      <c r="BS68" s="435"/>
      <c r="BT68" s="435"/>
      <c r="BU68" s="435"/>
      <c r="BV68" s="435"/>
      <c r="BW68" s="436"/>
      <c r="BX68" s="436"/>
      <c r="BY68" s="436"/>
      <c r="BZ68" s="436"/>
      <c r="CA68" s="436"/>
      <c r="CB68" s="436"/>
      <c r="CC68" s="436"/>
      <c r="CD68" s="436"/>
      <c r="CE68" s="436"/>
      <c r="CF68" s="436"/>
      <c r="CG68" s="436"/>
      <c r="CH68" s="440"/>
      <c r="CI68" s="436"/>
      <c r="CJ68" s="436"/>
      <c r="CK68" s="436"/>
      <c r="CL68" s="436"/>
      <c r="CM68" s="436"/>
      <c r="CN68" s="436"/>
      <c r="CO68" s="437"/>
      <c r="CP68" s="437"/>
      <c r="CQ68" s="437"/>
      <c r="CR68" s="437"/>
      <c r="CS68" s="437"/>
      <c r="CT68" s="560"/>
      <c r="CU68" s="561"/>
      <c r="CV68" s="561"/>
      <c r="CW68" s="522"/>
      <c r="CX68" s="522"/>
      <c r="CY68" s="523"/>
      <c r="CZ68" s="437"/>
      <c r="DA68" s="437"/>
      <c r="DB68" s="437"/>
      <c r="DC68" s="434"/>
      <c r="DD68" s="434"/>
      <c r="DE68" s="434"/>
      <c r="DF68" s="434"/>
      <c r="DG68" s="434"/>
      <c r="DH68" s="434"/>
      <c r="DI68" s="434"/>
      <c r="DJ68" s="434"/>
      <c r="DK68" s="614"/>
      <c r="DL68" s="497">
        <f t="shared" si="71"/>
        <v>0</v>
      </c>
      <c r="DM68" s="126">
        <f t="shared" si="72"/>
        <v>17.5</v>
      </c>
      <c r="DN68" s="126">
        <f t="shared" si="73"/>
        <v>0</v>
      </c>
      <c r="DO68" s="127">
        <f t="shared" si="74"/>
        <v>0</v>
      </c>
    </row>
    <row r="69" spans="2:123" ht="32.1" hidden="1" customHeight="1" outlineLevel="1" thickBot="1" x14ac:dyDescent="0.3">
      <c r="B69" s="813"/>
      <c r="C69" s="814"/>
      <c r="D69" s="792"/>
      <c r="E69" s="774" t="s">
        <v>138</v>
      </c>
      <c r="F69" s="328" t="s">
        <v>4</v>
      </c>
      <c r="G69" s="428" t="s">
        <v>133</v>
      </c>
      <c r="H69" s="330"/>
      <c r="I69" s="901" t="s">
        <v>179</v>
      </c>
      <c r="J69" s="331"/>
      <c r="K69" s="331"/>
      <c r="L69" s="331"/>
      <c r="M69" s="331"/>
      <c r="N69" s="331"/>
      <c r="O69" s="331"/>
      <c r="P69" s="331"/>
      <c r="Q69" s="331"/>
      <c r="R69" s="331"/>
      <c r="S69" s="331"/>
      <c r="T69" s="331"/>
      <c r="U69" s="332"/>
      <c r="V69" s="332"/>
      <c r="W69" s="332"/>
      <c r="X69" s="332"/>
      <c r="Y69" s="332"/>
      <c r="Z69" s="332"/>
      <c r="AA69" s="332"/>
      <c r="AB69" s="33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3"/>
      <c r="AQ69" s="333"/>
      <c r="AR69" s="333"/>
      <c r="AS69" s="333"/>
      <c r="AT69" s="333"/>
      <c r="AU69" s="334"/>
      <c r="AV69" s="334"/>
      <c r="AW69" s="334"/>
      <c r="AX69" s="334"/>
      <c r="AY69" s="334"/>
      <c r="AZ69" s="334"/>
      <c r="BA69" s="335"/>
      <c r="BB69" s="335"/>
      <c r="BC69" s="335"/>
      <c r="BD69" s="335"/>
      <c r="BE69" s="331"/>
      <c r="BF69" s="331"/>
      <c r="BG69" s="331"/>
      <c r="BH69" s="331"/>
      <c r="BI69" s="331"/>
      <c r="BJ69" s="336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  <c r="BV69" s="332"/>
      <c r="BW69" s="333"/>
      <c r="BX69" s="333"/>
      <c r="BY69" s="333"/>
      <c r="BZ69" s="333"/>
      <c r="CA69" s="333"/>
      <c r="CB69" s="333"/>
      <c r="CC69" s="333"/>
      <c r="CD69" s="333"/>
      <c r="CE69" s="333"/>
      <c r="CF69" s="333"/>
      <c r="CG69" s="333">
        <v>1.5</v>
      </c>
      <c r="CH69" s="338"/>
      <c r="CI69" s="333"/>
      <c r="CJ69" s="333"/>
      <c r="CK69" s="333"/>
      <c r="CL69" s="333"/>
      <c r="CM69" s="333"/>
      <c r="CN69" s="333"/>
      <c r="CO69" s="334"/>
      <c r="CP69" s="334"/>
      <c r="CQ69" s="334"/>
      <c r="CR69" s="334"/>
      <c r="CS69" s="334"/>
      <c r="CT69" s="562"/>
      <c r="CU69" s="556"/>
      <c r="CV69" s="556"/>
      <c r="CW69" s="524"/>
      <c r="CX69" s="524"/>
      <c r="CY69" s="525"/>
      <c r="CZ69" s="334"/>
      <c r="DA69" s="334"/>
      <c r="DB69" s="334"/>
      <c r="DC69" s="331"/>
      <c r="DD69" s="331"/>
      <c r="DE69" s="331"/>
      <c r="DF69" s="331"/>
      <c r="DG69" s="331"/>
      <c r="DH69" s="331"/>
      <c r="DI69" s="331"/>
      <c r="DJ69" s="331"/>
      <c r="DK69" s="615"/>
      <c r="DL69" s="498">
        <f t="shared" si="71"/>
        <v>0</v>
      </c>
      <c r="DM69" s="121">
        <f t="shared" si="72"/>
        <v>1.5</v>
      </c>
      <c r="DN69" s="121">
        <f t="shared" si="73"/>
        <v>0</v>
      </c>
      <c r="DO69" s="357">
        <f t="shared" si="74"/>
        <v>0</v>
      </c>
    </row>
    <row r="70" spans="2:123" ht="32.1" hidden="1" customHeight="1" outlineLevel="1" thickBot="1" x14ac:dyDescent="0.3">
      <c r="B70" s="813"/>
      <c r="C70" s="814"/>
      <c r="D70" s="792"/>
      <c r="E70" s="772"/>
      <c r="F70" s="213" t="s">
        <v>4</v>
      </c>
      <c r="G70" s="339" t="s">
        <v>133</v>
      </c>
      <c r="H70" s="330"/>
      <c r="I70" s="899" t="s">
        <v>56</v>
      </c>
      <c r="J70" s="216"/>
      <c r="K70" s="216"/>
      <c r="L70" s="216"/>
      <c r="M70" s="216"/>
      <c r="N70" s="216"/>
      <c r="O70" s="216"/>
      <c r="P70" s="216"/>
      <c r="Q70" s="216"/>
      <c r="R70" s="216"/>
      <c r="S70" s="216"/>
      <c r="T70" s="216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8"/>
      <c r="AQ70" s="218"/>
      <c r="AR70" s="218">
        <v>50</v>
      </c>
      <c r="AS70" s="218">
        <v>100</v>
      </c>
      <c r="AT70" s="218"/>
      <c r="AU70" s="219"/>
      <c r="AV70" s="219"/>
      <c r="AW70" s="219"/>
      <c r="AX70" s="219"/>
      <c r="AY70" s="219"/>
      <c r="AZ70" s="219"/>
      <c r="BA70" s="220"/>
      <c r="BB70" s="220"/>
      <c r="BC70" s="220"/>
      <c r="BD70" s="220"/>
      <c r="BE70" s="216"/>
      <c r="BF70" s="216"/>
      <c r="BG70" s="216"/>
      <c r="BH70" s="216"/>
      <c r="BI70" s="216"/>
      <c r="BJ70" s="221"/>
      <c r="BK70" s="217"/>
      <c r="BL70" s="217"/>
      <c r="BM70" s="217"/>
      <c r="BN70" s="217"/>
      <c r="BO70" s="217"/>
      <c r="BP70" s="217"/>
      <c r="BQ70" s="217"/>
      <c r="BR70" s="217"/>
      <c r="BS70" s="217"/>
      <c r="BT70" s="217"/>
      <c r="BU70" s="217"/>
      <c r="BV70" s="217"/>
      <c r="BW70" s="218"/>
      <c r="BX70" s="218"/>
      <c r="BY70" s="218"/>
      <c r="BZ70" s="218"/>
      <c r="CA70" s="218"/>
      <c r="CB70" s="218"/>
      <c r="CC70" s="218"/>
      <c r="CD70" s="218"/>
      <c r="CE70" s="218"/>
      <c r="CF70" s="218"/>
      <c r="CG70" s="218"/>
      <c r="CH70" s="222"/>
      <c r="CI70" s="218"/>
      <c r="CJ70" s="218"/>
      <c r="CK70" s="218"/>
      <c r="CL70" s="218"/>
      <c r="CM70" s="218"/>
      <c r="CN70" s="218"/>
      <c r="CO70" s="219"/>
      <c r="CP70" s="219"/>
      <c r="CQ70" s="219"/>
      <c r="CR70" s="219"/>
      <c r="CS70" s="219"/>
      <c r="CT70" s="521"/>
      <c r="CU70" s="557"/>
      <c r="CV70" s="557"/>
      <c r="CW70" s="514"/>
      <c r="CX70" s="514"/>
      <c r="CY70" s="515"/>
      <c r="CZ70" s="219"/>
      <c r="DA70" s="219"/>
      <c r="DB70" s="219"/>
      <c r="DC70" s="216"/>
      <c r="DD70" s="216"/>
      <c r="DE70" s="216"/>
      <c r="DF70" s="216"/>
      <c r="DG70" s="216"/>
      <c r="DH70" s="216"/>
      <c r="DI70" s="216"/>
      <c r="DJ70" s="216"/>
      <c r="DK70" s="612"/>
      <c r="DL70" s="495">
        <f t="shared" si="71"/>
        <v>0</v>
      </c>
      <c r="DM70" s="84">
        <f t="shared" si="72"/>
        <v>150</v>
      </c>
      <c r="DN70" s="84">
        <f t="shared" si="73"/>
        <v>0</v>
      </c>
      <c r="DO70" s="125">
        <f t="shared" si="74"/>
        <v>0</v>
      </c>
    </row>
    <row r="71" spans="2:123" ht="32.1" hidden="1" customHeight="1" outlineLevel="1" thickBot="1" x14ac:dyDescent="0.3">
      <c r="B71" s="813"/>
      <c r="C71" s="814"/>
      <c r="D71" s="792"/>
      <c r="E71" s="772"/>
      <c r="F71" s="213" t="s">
        <v>4</v>
      </c>
      <c r="G71" s="339" t="s">
        <v>133</v>
      </c>
      <c r="H71" s="330"/>
      <c r="I71" s="899" t="s">
        <v>60</v>
      </c>
      <c r="J71" s="216"/>
      <c r="K71" s="216"/>
      <c r="L71" s="216"/>
      <c r="M71" s="216"/>
      <c r="N71" s="216"/>
      <c r="O71" s="216"/>
      <c r="P71" s="216"/>
      <c r="Q71" s="216"/>
      <c r="R71" s="216"/>
      <c r="S71" s="216"/>
      <c r="T71" s="216"/>
      <c r="U71" s="217"/>
      <c r="V71" s="217"/>
      <c r="W71" s="217"/>
      <c r="X71" s="217"/>
      <c r="Y71" s="217"/>
      <c r="Z71" s="217"/>
      <c r="AA71" s="217"/>
      <c r="AB71" s="217"/>
      <c r="AC71" s="217"/>
      <c r="AD71" s="217"/>
      <c r="AE71" s="217"/>
      <c r="AF71" s="217"/>
      <c r="AG71" s="217"/>
      <c r="AH71" s="217"/>
      <c r="AI71" s="217"/>
      <c r="AJ71" s="217"/>
      <c r="AK71" s="217"/>
      <c r="AL71" s="217"/>
      <c r="AM71" s="217"/>
      <c r="AN71" s="217"/>
      <c r="AO71" s="217"/>
      <c r="AP71" s="218"/>
      <c r="AQ71" s="218"/>
      <c r="AR71" s="218"/>
      <c r="AS71" s="218"/>
      <c r="AT71" s="218"/>
      <c r="AU71" s="219"/>
      <c r="AV71" s="219"/>
      <c r="AW71" s="219"/>
      <c r="AX71" s="219"/>
      <c r="AY71" s="219"/>
      <c r="AZ71" s="219"/>
      <c r="BA71" s="220"/>
      <c r="BB71" s="220"/>
      <c r="BC71" s="220"/>
      <c r="BD71" s="220"/>
      <c r="BE71" s="216"/>
      <c r="BF71" s="216"/>
      <c r="BG71" s="216"/>
      <c r="BH71" s="216"/>
      <c r="BI71" s="216"/>
      <c r="BJ71" s="221"/>
      <c r="BK71" s="217"/>
      <c r="BL71" s="217"/>
      <c r="BM71" s="217"/>
      <c r="BN71" s="217"/>
      <c r="BO71" s="217"/>
      <c r="BP71" s="217"/>
      <c r="BQ71" s="217"/>
      <c r="BR71" s="217"/>
      <c r="BS71" s="217"/>
      <c r="BT71" s="217"/>
      <c r="BU71" s="217"/>
      <c r="BV71" s="217"/>
      <c r="BW71" s="218"/>
      <c r="BX71" s="218"/>
      <c r="BY71" s="218"/>
      <c r="BZ71" s="218"/>
      <c r="CA71" s="218"/>
      <c r="CB71" s="218"/>
      <c r="CC71" s="218"/>
      <c r="CD71" s="218"/>
      <c r="CE71" s="218">
        <v>25</v>
      </c>
      <c r="CF71" s="218"/>
      <c r="CG71" s="218"/>
      <c r="CH71" s="222"/>
      <c r="CI71" s="218"/>
      <c r="CJ71" s="218"/>
      <c r="CK71" s="218"/>
      <c r="CL71" s="218"/>
      <c r="CM71" s="218"/>
      <c r="CN71" s="218"/>
      <c r="CO71" s="219"/>
      <c r="CP71" s="219"/>
      <c r="CQ71" s="219"/>
      <c r="CR71" s="219"/>
      <c r="CS71" s="219"/>
      <c r="CT71" s="521"/>
      <c r="CU71" s="557"/>
      <c r="CV71" s="557"/>
      <c r="CW71" s="514"/>
      <c r="CX71" s="514"/>
      <c r="CY71" s="515"/>
      <c r="CZ71" s="219"/>
      <c r="DA71" s="219"/>
      <c r="DB71" s="219"/>
      <c r="DC71" s="216"/>
      <c r="DD71" s="216"/>
      <c r="DE71" s="216"/>
      <c r="DF71" s="216"/>
      <c r="DG71" s="216"/>
      <c r="DH71" s="216"/>
      <c r="DI71" s="216"/>
      <c r="DJ71" s="216"/>
      <c r="DK71" s="612"/>
      <c r="DL71" s="495">
        <f t="shared" si="71"/>
        <v>0</v>
      </c>
      <c r="DM71" s="84">
        <f t="shared" si="72"/>
        <v>25</v>
      </c>
      <c r="DN71" s="84">
        <f t="shared" si="73"/>
        <v>0</v>
      </c>
      <c r="DO71" s="125">
        <f t="shared" si="74"/>
        <v>0</v>
      </c>
    </row>
    <row r="72" spans="2:123" ht="32.1" hidden="1" customHeight="1" outlineLevel="1" thickBot="1" x14ac:dyDescent="0.3">
      <c r="B72" s="813"/>
      <c r="C72" s="814"/>
      <c r="D72" s="792"/>
      <c r="E72" s="772"/>
      <c r="F72" s="213" t="s">
        <v>4</v>
      </c>
      <c r="G72" s="339" t="s">
        <v>133</v>
      </c>
      <c r="H72" s="330"/>
      <c r="I72" s="899" t="s">
        <v>67</v>
      </c>
      <c r="J72" s="216"/>
      <c r="K72" s="216"/>
      <c r="L72" s="216"/>
      <c r="M72" s="216"/>
      <c r="N72" s="216"/>
      <c r="O72" s="216"/>
      <c r="P72" s="216"/>
      <c r="Q72" s="216"/>
      <c r="R72" s="216"/>
      <c r="S72" s="216"/>
      <c r="T72" s="216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8"/>
      <c r="AQ72" s="218"/>
      <c r="AR72" s="218"/>
      <c r="AS72" s="218"/>
      <c r="AT72" s="218"/>
      <c r="AU72" s="219"/>
      <c r="AV72" s="219"/>
      <c r="AW72" s="219"/>
      <c r="AX72" s="219"/>
      <c r="AY72" s="219"/>
      <c r="AZ72" s="219"/>
      <c r="BA72" s="220"/>
      <c r="BB72" s="220"/>
      <c r="BC72" s="220"/>
      <c r="BD72" s="220"/>
      <c r="BE72" s="216"/>
      <c r="BF72" s="216"/>
      <c r="BG72" s="216"/>
      <c r="BH72" s="216"/>
      <c r="BI72" s="216"/>
      <c r="BJ72" s="221"/>
      <c r="BK72" s="217"/>
      <c r="BL72" s="217">
        <v>15</v>
      </c>
      <c r="BM72" s="217"/>
      <c r="BN72" s="217"/>
      <c r="BO72" s="217"/>
      <c r="BP72" s="217"/>
      <c r="BQ72" s="217"/>
      <c r="BR72" s="217"/>
      <c r="BS72" s="217"/>
      <c r="BT72" s="217"/>
      <c r="BU72" s="217"/>
      <c r="BV72" s="217"/>
      <c r="BW72" s="218"/>
      <c r="BX72" s="218"/>
      <c r="BY72" s="218"/>
      <c r="BZ72" s="218"/>
      <c r="CA72" s="218"/>
      <c r="CB72" s="218"/>
      <c r="CC72" s="218"/>
      <c r="CD72" s="218"/>
      <c r="CE72" s="218"/>
      <c r="CF72" s="218"/>
      <c r="CG72" s="218"/>
      <c r="CH72" s="222"/>
      <c r="CI72" s="218"/>
      <c r="CJ72" s="218"/>
      <c r="CK72" s="218"/>
      <c r="CL72" s="218"/>
      <c r="CM72" s="218"/>
      <c r="CN72" s="218"/>
      <c r="CO72" s="219"/>
      <c r="CP72" s="219"/>
      <c r="CQ72" s="219"/>
      <c r="CR72" s="219"/>
      <c r="CS72" s="219"/>
      <c r="CT72" s="521"/>
      <c r="CU72" s="557"/>
      <c r="CV72" s="557"/>
      <c r="CW72" s="514"/>
      <c r="CX72" s="514"/>
      <c r="CY72" s="515"/>
      <c r="CZ72" s="219"/>
      <c r="DA72" s="219"/>
      <c r="DB72" s="219"/>
      <c r="DC72" s="216"/>
      <c r="DD72" s="216"/>
      <c r="DE72" s="216"/>
      <c r="DF72" s="216"/>
      <c r="DG72" s="216"/>
      <c r="DH72" s="216"/>
      <c r="DI72" s="216"/>
      <c r="DJ72" s="216"/>
      <c r="DK72" s="612"/>
      <c r="DL72" s="497">
        <f t="shared" si="71"/>
        <v>0</v>
      </c>
      <c r="DM72" s="126">
        <f t="shared" si="72"/>
        <v>15</v>
      </c>
      <c r="DN72" s="126">
        <f t="shared" si="73"/>
        <v>15</v>
      </c>
      <c r="DO72" s="127">
        <f t="shared" si="74"/>
        <v>0</v>
      </c>
    </row>
    <row r="73" spans="2:123" s="834" customFormat="1" ht="16.5" hidden="1" customHeight="1" outlineLevel="1" thickBot="1" x14ac:dyDescent="0.35">
      <c r="B73" s="813"/>
      <c r="C73" s="814"/>
      <c r="D73" s="819"/>
      <c r="E73" s="820" t="s">
        <v>254</v>
      </c>
      <c r="F73" s="821"/>
      <c r="G73" s="822"/>
      <c r="H73" s="823"/>
      <c r="I73" s="903"/>
      <c r="J73" s="824">
        <f>SUM(J63:J72)</f>
        <v>0</v>
      </c>
      <c r="K73" s="824">
        <f t="shared" ref="K73:CL73" si="75">SUM(K63:K72)</f>
        <v>0</v>
      </c>
      <c r="L73" s="824">
        <f t="shared" si="75"/>
        <v>0</v>
      </c>
      <c r="M73" s="824">
        <f t="shared" si="75"/>
        <v>0</v>
      </c>
      <c r="N73" s="824">
        <f t="shared" si="75"/>
        <v>0</v>
      </c>
      <c r="O73" s="824">
        <f t="shared" si="75"/>
        <v>82</v>
      </c>
      <c r="P73" s="824">
        <f t="shared" si="75"/>
        <v>0</v>
      </c>
      <c r="Q73" s="824">
        <f t="shared" si="75"/>
        <v>0</v>
      </c>
      <c r="R73" s="824">
        <f t="shared" si="75"/>
        <v>0</v>
      </c>
      <c r="S73" s="824">
        <f t="shared" si="75"/>
        <v>0</v>
      </c>
      <c r="T73" s="824">
        <f t="shared" si="75"/>
        <v>0</v>
      </c>
      <c r="U73" s="825">
        <f t="shared" si="75"/>
        <v>20</v>
      </c>
      <c r="V73" s="825">
        <f t="shared" si="75"/>
        <v>0</v>
      </c>
      <c r="W73" s="825">
        <f t="shared" si="75"/>
        <v>0</v>
      </c>
      <c r="X73" s="825">
        <f t="shared" si="75"/>
        <v>0</v>
      </c>
      <c r="Y73" s="825">
        <f t="shared" si="75"/>
        <v>0</v>
      </c>
      <c r="Z73" s="825">
        <f t="shared" si="75"/>
        <v>0</v>
      </c>
      <c r="AA73" s="825">
        <f t="shared" si="75"/>
        <v>0</v>
      </c>
      <c r="AB73" s="825">
        <f t="shared" ref="AB73:AD73" si="76">SUM(AB63:AB72)</f>
        <v>0</v>
      </c>
      <c r="AC73" s="825">
        <f t="shared" si="76"/>
        <v>0</v>
      </c>
      <c r="AD73" s="825">
        <f t="shared" si="76"/>
        <v>0</v>
      </c>
      <c r="AE73" s="825">
        <f t="shared" si="75"/>
        <v>0</v>
      </c>
      <c r="AF73" s="825">
        <f t="shared" si="75"/>
        <v>0</v>
      </c>
      <c r="AG73" s="825">
        <f t="shared" si="75"/>
        <v>0</v>
      </c>
      <c r="AH73" s="825">
        <f t="shared" si="75"/>
        <v>0</v>
      </c>
      <c r="AI73" s="825">
        <f t="shared" ref="AI73:AO73" si="77">SUM(AI63:AI72)</f>
        <v>0</v>
      </c>
      <c r="AJ73" s="825">
        <f t="shared" si="77"/>
        <v>0</v>
      </c>
      <c r="AK73" s="825">
        <f t="shared" si="77"/>
        <v>0</v>
      </c>
      <c r="AL73" s="825">
        <f t="shared" si="77"/>
        <v>0</v>
      </c>
      <c r="AM73" s="825">
        <f t="shared" si="77"/>
        <v>0</v>
      </c>
      <c r="AN73" s="825">
        <f t="shared" si="77"/>
        <v>0</v>
      </c>
      <c r="AO73" s="825">
        <f t="shared" si="77"/>
        <v>0</v>
      </c>
      <c r="AP73" s="826">
        <f t="shared" si="75"/>
        <v>0</v>
      </c>
      <c r="AQ73" s="826">
        <f t="shared" ref="AQ73" si="78">SUM(AQ63:AQ72)</f>
        <v>0</v>
      </c>
      <c r="AR73" s="826">
        <f t="shared" si="75"/>
        <v>50</v>
      </c>
      <c r="AS73" s="826">
        <f t="shared" si="75"/>
        <v>100</v>
      </c>
      <c r="AT73" s="826">
        <f t="shared" si="75"/>
        <v>0</v>
      </c>
      <c r="AU73" s="827">
        <f t="shared" si="75"/>
        <v>200</v>
      </c>
      <c r="AV73" s="827">
        <f t="shared" si="75"/>
        <v>0</v>
      </c>
      <c r="AW73" s="827">
        <f t="shared" si="75"/>
        <v>0</v>
      </c>
      <c r="AX73" s="827">
        <f t="shared" ref="AX73:AY73" si="79">SUM(AX63:AX72)</f>
        <v>0</v>
      </c>
      <c r="AY73" s="827">
        <f t="shared" si="79"/>
        <v>0</v>
      </c>
      <c r="AZ73" s="827">
        <f t="shared" si="75"/>
        <v>0</v>
      </c>
      <c r="BA73" s="828">
        <f t="shared" si="75"/>
        <v>17.5</v>
      </c>
      <c r="BB73" s="828">
        <f t="shared" si="75"/>
        <v>1</v>
      </c>
      <c r="BC73" s="828">
        <f t="shared" si="75"/>
        <v>0</v>
      </c>
      <c r="BD73" s="828">
        <f t="shared" si="75"/>
        <v>0</v>
      </c>
      <c r="BE73" s="824">
        <f t="shared" si="75"/>
        <v>0</v>
      </c>
      <c r="BF73" s="824">
        <f t="shared" si="75"/>
        <v>0</v>
      </c>
      <c r="BG73" s="824">
        <f t="shared" si="75"/>
        <v>5</v>
      </c>
      <c r="BH73" s="824">
        <f t="shared" si="75"/>
        <v>0</v>
      </c>
      <c r="BI73" s="824">
        <f t="shared" si="75"/>
        <v>0</v>
      </c>
      <c r="BJ73" s="824">
        <f t="shared" si="75"/>
        <v>0</v>
      </c>
      <c r="BK73" s="825">
        <f t="shared" si="75"/>
        <v>0</v>
      </c>
      <c r="BL73" s="825">
        <f t="shared" si="75"/>
        <v>40</v>
      </c>
      <c r="BM73" s="825">
        <f t="shared" si="75"/>
        <v>0</v>
      </c>
      <c r="BN73" s="825">
        <f t="shared" si="75"/>
        <v>0</v>
      </c>
      <c r="BO73" s="825">
        <f t="shared" si="75"/>
        <v>0</v>
      </c>
      <c r="BP73" s="825">
        <f t="shared" si="75"/>
        <v>100</v>
      </c>
      <c r="BQ73" s="825">
        <f t="shared" si="75"/>
        <v>0</v>
      </c>
      <c r="BR73" s="825">
        <f t="shared" ref="BR73" si="80">SUM(BR63:BR72)</f>
        <v>0</v>
      </c>
      <c r="BS73" s="825">
        <f t="shared" ref="BS73" si="81">SUM(BS63:BS72)</f>
        <v>0</v>
      </c>
      <c r="BT73" s="825">
        <f t="shared" si="75"/>
        <v>0</v>
      </c>
      <c r="BU73" s="825">
        <f t="shared" si="75"/>
        <v>0</v>
      </c>
      <c r="BV73" s="825">
        <f t="shared" si="75"/>
        <v>0</v>
      </c>
      <c r="BW73" s="826">
        <f t="shared" si="75"/>
        <v>0</v>
      </c>
      <c r="BX73" s="826">
        <f t="shared" si="75"/>
        <v>0</v>
      </c>
      <c r="BY73" s="826">
        <f t="shared" si="75"/>
        <v>0</v>
      </c>
      <c r="BZ73" s="826">
        <f t="shared" si="75"/>
        <v>0</v>
      </c>
      <c r="CA73" s="826">
        <f t="shared" si="75"/>
        <v>0</v>
      </c>
      <c r="CB73" s="826">
        <f t="shared" ref="CB73" si="82">SUM(CB63:CB72)</f>
        <v>0</v>
      </c>
      <c r="CC73" s="826">
        <f t="shared" si="75"/>
        <v>0</v>
      </c>
      <c r="CD73" s="826">
        <f t="shared" si="75"/>
        <v>0</v>
      </c>
      <c r="CE73" s="826">
        <f t="shared" si="75"/>
        <v>25</v>
      </c>
      <c r="CF73" s="826">
        <f t="shared" si="75"/>
        <v>0</v>
      </c>
      <c r="CG73" s="826">
        <f t="shared" si="75"/>
        <v>1.5</v>
      </c>
      <c r="CH73" s="826">
        <f t="shared" si="75"/>
        <v>0</v>
      </c>
      <c r="CI73" s="826">
        <f t="shared" si="75"/>
        <v>0</v>
      </c>
      <c r="CJ73" s="826">
        <f t="shared" si="75"/>
        <v>0</v>
      </c>
      <c r="CK73" s="826">
        <f t="shared" si="75"/>
        <v>0</v>
      </c>
      <c r="CL73" s="826">
        <f t="shared" si="75"/>
        <v>0</v>
      </c>
      <c r="CM73" s="826">
        <f t="shared" ref="CM73:DO73" si="83">SUM(CM63:CM72)</f>
        <v>0</v>
      </c>
      <c r="CN73" s="826">
        <f t="shared" si="83"/>
        <v>0</v>
      </c>
      <c r="CO73" s="827">
        <f t="shared" si="83"/>
        <v>0</v>
      </c>
      <c r="CP73" s="827">
        <f t="shared" si="83"/>
        <v>0</v>
      </c>
      <c r="CQ73" s="827">
        <f t="shared" si="83"/>
        <v>0</v>
      </c>
      <c r="CR73" s="827">
        <f t="shared" si="83"/>
        <v>0</v>
      </c>
      <c r="CS73" s="827">
        <f t="shared" si="83"/>
        <v>0</v>
      </c>
      <c r="CT73" s="827">
        <f t="shared" si="83"/>
        <v>0</v>
      </c>
      <c r="CU73" s="827">
        <f t="shared" si="83"/>
        <v>0</v>
      </c>
      <c r="CV73" s="827">
        <f t="shared" si="83"/>
        <v>0</v>
      </c>
      <c r="CW73" s="827">
        <f t="shared" si="83"/>
        <v>0</v>
      </c>
      <c r="CX73" s="827">
        <f t="shared" si="83"/>
        <v>0</v>
      </c>
      <c r="CY73" s="827">
        <f t="shared" si="83"/>
        <v>0</v>
      </c>
      <c r="CZ73" s="827">
        <f t="shared" si="83"/>
        <v>0</v>
      </c>
      <c r="DA73" s="827">
        <f t="shared" si="83"/>
        <v>0</v>
      </c>
      <c r="DB73" s="827">
        <f t="shared" si="83"/>
        <v>0</v>
      </c>
      <c r="DC73" s="824">
        <f t="shared" si="83"/>
        <v>0</v>
      </c>
      <c r="DD73" s="824">
        <f t="shared" si="83"/>
        <v>0</v>
      </c>
      <c r="DE73" s="824">
        <f t="shared" si="83"/>
        <v>0</v>
      </c>
      <c r="DF73" s="824">
        <f t="shared" si="83"/>
        <v>0</v>
      </c>
      <c r="DG73" s="824">
        <f t="shared" si="83"/>
        <v>0</v>
      </c>
      <c r="DH73" s="824">
        <f t="shared" si="83"/>
        <v>0</v>
      </c>
      <c r="DI73" s="824">
        <f t="shared" si="83"/>
        <v>0</v>
      </c>
      <c r="DJ73" s="824">
        <f t="shared" si="83"/>
        <v>0</v>
      </c>
      <c r="DK73" s="829">
        <f t="shared" si="83"/>
        <v>0</v>
      </c>
      <c r="DL73" s="830">
        <f t="shared" si="83"/>
        <v>460</v>
      </c>
      <c r="DM73" s="831">
        <f t="shared" si="83"/>
        <v>642</v>
      </c>
      <c r="DN73" s="831">
        <f t="shared" si="83"/>
        <v>140</v>
      </c>
      <c r="DO73" s="832">
        <f t="shared" si="83"/>
        <v>200</v>
      </c>
      <c r="DP73" s="833"/>
      <c r="DQ73" s="833"/>
      <c r="DR73" s="833"/>
      <c r="DS73" s="833"/>
    </row>
    <row r="74" spans="2:123" ht="32.1" hidden="1" customHeight="1" outlineLevel="1" thickBot="1" x14ac:dyDescent="0.3">
      <c r="B74" s="813"/>
      <c r="C74" s="814"/>
      <c r="D74" s="796" t="s">
        <v>134</v>
      </c>
      <c r="E74" s="776" t="s">
        <v>135</v>
      </c>
      <c r="F74" s="246" t="s">
        <v>4</v>
      </c>
      <c r="G74" s="248" t="s">
        <v>134</v>
      </c>
      <c r="H74" s="359"/>
      <c r="I74" s="920" t="s">
        <v>223</v>
      </c>
      <c r="J74" s="249"/>
      <c r="K74" s="249"/>
      <c r="L74" s="249"/>
      <c r="M74" s="249"/>
      <c r="N74" s="249"/>
      <c r="O74" s="249"/>
      <c r="P74" s="249"/>
      <c r="Q74" s="249"/>
      <c r="R74" s="249"/>
      <c r="S74" s="249"/>
      <c r="T74" s="249"/>
      <c r="U74" s="250"/>
      <c r="V74" s="250"/>
      <c r="W74" s="250"/>
      <c r="X74" s="250">
        <v>1</v>
      </c>
      <c r="Y74" s="250"/>
      <c r="Z74" s="250"/>
      <c r="AA74" s="250">
        <v>70</v>
      </c>
      <c r="AB74" s="250"/>
      <c r="AC74" s="250"/>
      <c r="AD74" s="250"/>
      <c r="AE74" s="250"/>
      <c r="AF74" s="250"/>
      <c r="AG74" s="250"/>
      <c r="AH74" s="250">
        <v>2</v>
      </c>
      <c r="AI74" s="250"/>
      <c r="AJ74" s="250"/>
      <c r="AK74" s="250"/>
      <c r="AL74" s="250"/>
      <c r="AM74" s="250"/>
      <c r="AN74" s="250"/>
      <c r="AO74" s="250"/>
      <c r="AP74" s="251"/>
      <c r="AQ74" s="251"/>
      <c r="AR74" s="251"/>
      <c r="AS74" s="251"/>
      <c r="AT74" s="251"/>
      <c r="AU74" s="252"/>
      <c r="AV74" s="252"/>
      <c r="AW74" s="252"/>
      <c r="AX74" s="252"/>
      <c r="AY74" s="252"/>
      <c r="AZ74" s="252"/>
      <c r="BA74" s="253"/>
      <c r="BB74" s="253"/>
      <c r="BC74" s="253"/>
      <c r="BD74" s="253"/>
      <c r="BE74" s="249"/>
      <c r="BF74" s="249"/>
      <c r="BG74" s="249">
        <v>8</v>
      </c>
      <c r="BH74" s="249"/>
      <c r="BI74" s="249"/>
      <c r="BJ74" s="254"/>
      <c r="BK74" s="250"/>
      <c r="BL74" s="250"/>
      <c r="BM74" s="250"/>
      <c r="BN74" s="250"/>
      <c r="BO74" s="250"/>
      <c r="BP74" s="250"/>
      <c r="BQ74" s="250"/>
      <c r="BR74" s="250"/>
      <c r="BS74" s="250"/>
      <c r="BT74" s="250"/>
      <c r="BU74" s="250"/>
      <c r="BV74" s="250"/>
      <c r="BW74" s="251"/>
      <c r="BX74" s="251">
        <v>0.5</v>
      </c>
      <c r="BY74" s="251"/>
      <c r="BZ74" s="251"/>
      <c r="CA74" s="251"/>
      <c r="CB74" s="251"/>
      <c r="CC74" s="251"/>
      <c r="CD74" s="251"/>
      <c r="CE74" s="251"/>
      <c r="CF74" s="251"/>
      <c r="CG74" s="251"/>
      <c r="CH74" s="255"/>
      <c r="CI74" s="251"/>
      <c r="CJ74" s="251"/>
      <c r="CK74" s="251"/>
      <c r="CL74" s="251"/>
      <c r="CM74" s="251"/>
      <c r="CN74" s="251"/>
      <c r="CO74" s="252"/>
      <c r="CP74" s="252"/>
      <c r="CQ74" s="252"/>
      <c r="CR74" s="252"/>
      <c r="CS74" s="252"/>
      <c r="CT74" s="563"/>
      <c r="CU74" s="564"/>
      <c r="CV74" s="564"/>
      <c r="CW74" s="529"/>
      <c r="CX74" s="529"/>
      <c r="CY74" s="530"/>
      <c r="CZ74" s="252"/>
      <c r="DA74" s="252"/>
      <c r="DB74" s="252"/>
      <c r="DC74" s="249"/>
      <c r="DD74" s="249"/>
      <c r="DE74" s="249"/>
      <c r="DF74" s="249"/>
      <c r="DG74" s="249"/>
      <c r="DH74" s="249"/>
      <c r="DI74" s="249"/>
      <c r="DJ74" s="249"/>
      <c r="DK74" s="617"/>
      <c r="DL74" s="495">
        <f t="shared" ref="DL74:DL87" si="84">SUM(J74:S74)*5+SUM(V74:AF74)+AH74*4+U74*2.5+AG74/0.75</f>
        <v>79</v>
      </c>
      <c r="DM74" s="84">
        <f t="shared" ref="DM74:DM87" si="85">SUM(J74:DK74)</f>
        <v>81.5</v>
      </c>
      <c r="DN74" s="84">
        <f t="shared" ref="DN74:DN87" si="86">SUM(BK74:BV74,)</f>
        <v>0</v>
      </c>
      <c r="DO74" s="125">
        <f t="shared" ref="DO74:DO87" si="87">SUM(AT74:AV74)+SUM(AW74:AZ74)*5</f>
        <v>0</v>
      </c>
    </row>
    <row r="75" spans="2:123" ht="32.1" hidden="1" customHeight="1" outlineLevel="1" thickBot="1" x14ac:dyDescent="0.3">
      <c r="B75" s="813"/>
      <c r="C75" s="814"/>
      <c r="D75" s="804"/>
      <c r="E75" s="776"/>
      <c r="F75" s="246" t="s">
        <v>4</v>
      </c>
      <c r="G75" s="248" t="s">
        <v>134</v>
      </c>
      <c r="H75" s="359"/>
      <c r="I75" s="921"/>
      <c r="J75" s="249"/>
      <c r="K75" s="249"/>
      <c r="L75" s="249"/>
      <c r="M75" s="249"/>
      <c r="N75" s="249"/>
      <c r="O75" s="249"/>
      <c r="P75" s="249"/>
      <c r="Q75" s="249"/>
      <c r="R75" s="249"/>
      <c r="S75" s="249"/>
      <c r="T75" s="249"/>
      <c r="U75" s="250"/>
      <c r="V75" s="250"/>
      <c r="W75" s="250"/>
      <c r="X75" s="250"/>
      <c r="Y75" s="250"/>
      <c r="Z75" s="250"/>
      <c r="AA75" s="250"/>
      <c r="AB75" s="250"/>
      <c r="AC75" s="250"/>
      <c r="AD75" s="250"/>
      <c r="AE75" s="250"/>
      <c r="AF75" s="250"/>
      <c r="AG75" s="250"/>
      <c r="AH75" s="250"/>
      <c r="AI75" s="250"/>
      <c r="AJ75" s="250"/>
      <c r="AK75" s="250"/>
      <c r="AL75" s="250"/>
      <c r="AM75" s="250"/>
      <c r="AN75" s="250"/>
      <c r="AO75" s="250"/>
      <c r="AP75" s="251"/>
      <c r="AQ75" s="251"/>
      <c r="AR75" s="251"/>
      <c r="AS75" s="251"/>
      <c r="AT75" s="251"/>
      <c r="AU75" s="252"/>
      <c r="AV75" s="252"/>
      <c r="AW75" s="252"/>
      <c r="AX75" s="252"/>
      <c r="AY75" s="252"/>
      <c r="AZ75" s="252"/>
      <c r="BA75" s="253"/>
      <c r="BB75" s="253"/>
      <c r="BC75" s="253"/>
      <c r="BD75" s="253"/>
      <c r="BE75" s="249"/>
      <c r="BF75" s="249"/>
      <c r="BG75" s="249"/>
      <c r="BH75" s="249"/>
      <c r="BI75" s="249"/>
      <c r="BJ75" s="254"/>
      <c r="BK75" s="250"/>
      <c r="BL75" s="250"/>
      <c r="BM75" s="250"/>
      <c r="BN75" s="250"/>
      <c r="BO75" s="250"/>
      <c r="BP75" s="250"/>
      <c r="BQ75" s="250"/>
      <c r="BR75" s="250"/>
      <c r="BS75" s="250"/>
      <c r="BT75" s="250"/>
      <c r="BU75" s="250"/>
      <c r="BV75" s="250"/>
      <c r="BW75" s="251"/>
      <c r="BX75" s="251"/>
      <c r="BY75" s="251"/>
      <c r="BZ75" s="251"/>
      <c r="CA75" s="251"/>
      <c r="CB75" s="251"/>
      <c r="CC75" s="251"/>
      <c r="CD75" s="251"/>
      <c r="CE75" s="251"/>
      <c r="CF75" s="251"/>
      <c r="CG75" s="251"/>
      <c r="CH75" s="255"/>
      <c r="CI75" s="251"/>
      <c r="CJ75" s="251"/>
      <c r="CK75" s="251"/>
      <c r="CL75" s="251"/>
      <c r="CM75" s="251"/>
      <c r="CN75" s="251"/>
      <c r="CO75" s="252"/>
      <c r="CP75" s="252"/>
      <c r="CQ75" s="252"/>
      <c r="CR75" s="252"/>
      <c r="CS75" s="252"/>
      <c r="CT75" s="563"/>
      <c r="CU75" s="564"/>
      <c r="CV75" s="564"/>
      <c r="CW75" s="529"/>
      <c r="CX75" s="529"/>
      <c r="CY75" s="530"/>
      <c r="CZ75" s="252"/>
      <c r="DA75" s="252"/>
      <c r="DB75" s="252"/>
      <c r="DC75" s="249"/>
      <c r="DD75" s="249"/>
      <c r="DE75" s="249"/>
      <c r="DF75" s="249"/>
      <c r="DG75" s="249"/>
      <c r="DH75" s="249"/>
      <c r="DI75" s="249"/>
      <c r="DJ75" s="249"/>
      <c r="DK75" s="617"/>
      <c r="DL75" s="495">
        <f t="shared" si="84"/>
        <v>0</v>
      </c>
      <c r="DM75" s="84">
        <f t="shared" si="85"/>
        <v>0</v>
      </c>
      <c r="DN75" s="84">
        <f t="shared" si="86"/>
        <v>0</v>
      </c>
      <c r="DO75" s="125">
        <f t="shared" si="87"/>
        <v>0</v>
      </c>
    </row>
    <row r="76" spans="2:123" ht="32.1" hidden="1" customHeight="1" outlineLevel="1" thickBot="1" x14ac:dyDescent="0.3">
      <c r="B76" s="813"/>
      <c r="C76" s="814"/>
      <c r="D76" s="804"/>
      <c r="E76" s="777"/>
      <c r="F76" s="400" t="s">
        <v>4</v>
      </c>
      <c r="G76" s="401" t="s">
        <v>134</v>
      </c>
      <c r="H76" s="359"/>
      <c r="I76" s="920"/>
      <c r="J76" s="261"/>
      <c r="K76" s="261"/>
      <c r="L76" s="261"/>
      <c r="M76" s="261"/>
      <c r="N76" s="261"/>
      <c r="O76" s="261"/>
      <c r="P76" s="261"/>
      <c r="Q76" s="261"/>
      <c r="R76" s="261"/>
      <c r="S76" s="261"/>
      <c r="T76" s="261"/>
      <c r="U76" s="262"/>
      <c r="V76" s="262"/>
      <c r="W76" s="262"/>
      <c r="X76" s="262"/>
      <c r="Y76" s="262"/>
      <c r="Z76" s="262"/>
      <c r="AA76" s="262"/>
      <c r="AB76" s="262"/>
      <c r="AC76" s="262"/>
      <c r="AD76" s="262"/>
      <c r="AE76" s="262"/>
      <c r="AF76" s="262"/>
      <c r="AG76" s="262"/>
      <c r="AH76" s="262"/>
      <c r="AI76" s="262"/>
      <c r="AJ76" s="262"/>
      <c r="AK76" s="262"/>
      <c r="AL76" s="262"/>
      <c r="AM76" s="262"/>
      <c r="AN76" s="262"/>
      <c r="AO76" s="262"/>
      <c r="AP76" s="263"/>
      <c r="AQ76" s="263"/>
      <c r="AR76" s="263"/>
      <c r="AS76" s="263"/>
      <c r="AT76" s="263"/>
      <c r="AU76" s="264"/>
      <c r="AV76" s="264"/>
      <c r="AW76" s="264"/>
      <c r="AX76" s="264"/>
      <c r="AY76" s="264"/>
      <c r="AZ76" s="264"/>
      <c r="BA76" s="265"/>
      <c r="BB76" s="265"/>
      <c r="BC76" s="265"/>
      <c r="BD76" s="265"/>
      <c r="BE76" s="261"/>
      <c r="BF76" s="261"/>
      <c r="BG76" s="261"/>
      <c r="BH76" s="261"/>
      <c r="BI76" s="261"/>
      <c r="BJ76" s="266"/>
      <c r="BK76" s="262"/>
      <c r="BL76" s="262"/>
      <c r="BM76" s="262"/>
      <c r="BN76" s="262"/>
      <c r="BO76" s="262"/>
      <c r="BP76" s="262"/>
      <c r="BQ76" s="262"/>
      <c r="BR76" s="262"/>
      <c r="BS76" s="262"/>
      <c r="BT76" s="262"/>
      <c r="BU76" s="262"/>
      <c r="BV76" s="262"/>
      <c r="BW76" s="263"/>
      <c r="BX76" s="263"/>
      <c r="BY76" s="263"/>
      <c r="BZ76" s="263"/>
      <c r="CA76" s="263"/>
      <c r="CB76" s="263"/>
      <c r="CC76" s="263"/>
      <c r="CD76" s="263"/>
      <c r="CE76" s="263"/>
      <c r="CF76" s="263"/>
      <c r="CG76" s="263"/>
      <c r="CH76" s="267"/>
      <c r="CI76" s="263"/>
      <c r="CJ76" s="263"/>
      <c r="CK76" s="263"/>
      <c r="CL76" s="263"/>
      <c r="CM76" s="263"/>
      <c r="CN76" s="263"/>
      <c r="CO76" s="264"/>
      <c r="CP76" s="264"/>
      <c r="CQ76" s="264"/>
      <c r="CR76" s="264"/>
      <c r="CS76" s="264"/>
      <c r="CT76" s="565"/>
      <c r="CU76" s="566"/>
      <c r="CV76" s="566"/>
      <c r="CW76" s="531"/>
      <c r="CX76" s="531"/>
      <c r="CY76" s="532"/>
      <c r="CZ76" s="264"/>
      <c r="DA76" s="264"/>
      <c r="DB76" s="264"/>
      <c r="DC76" s="261"/>
      <c r="DD76" s="261"/>
      <c r="DE76" s="261"/>
      <c r="DF76" s="261"/>
      <c r="DG76" s="261"/>
      <c r="DH76" s="261"/>
      <c r="DI76" s="261"/>
      <c r="DJ76" s="261"/>
      <c r="DK76" s="618"/>
      <c r="DL76" s="496">
        <f t="shared" si="84"/>
        <v>0</v>
      </c>
      <c r="DM76" s="120">
        <f t="shared" si="85"/>
        <v>0</v>
      </c>
      <c r="DN76" s="120">
        <f t="shared" si="86"/>
        <v>0</v>
      </c>
      <c r="DO76" s="358">
        <f t="shared" si="87"/>
        <v>0</v>
      </c>
    </row>
    <row r="77" spans="2:123" ht="32.1" hidden="1" customHeight="1" outlineLevel="1" thickBot="1" x14ac:dyDescent="0.3">
      <c r="B77" s="813"/>
      <c r="C77" s="814"/>
      <c r="D77" s="804"/>
      <c r="E77" s="776" t="s">
        <v>136</v>
      </c>
      <c r="F77" s="236" t="s">
        <v>4</v>
      </c>
      <c r="G77" s="238" t="s">
        <v>134</v>
      </c>
      <c r="H77" s="425"/>
      <c r="I77" s="922" t="s">
        <v>152</v>
      </c>
      <c r="J77" s="407"/>
      <c r="K77" s="407"/>
      <c r="L77" s="407"/>
      <c r="M77" s="407"/>
      <c r="N77" s="407"/>
      <c r="O77" s="407"/>
      <c r="P77" s="407"/>
      <c r="Q77" s="407"/>
      <c r="R77" s="407"/>
      <c r="S77" s="407"/>
      <c r="T77" s="407"/>
      <c r="U77" s="408"/>
      <c r="V77" s="408"/>
      <c r="W77" s="408">
        <v>224</v>
      </c>
      <c r="X77" s="408">
        <v>10</v>
      </c>
      <c r="Y77" s="408">
        <v>16</v>
      </c>
      <c r="Z77" s="408"/>
      <c r="AA77" s="408"/>
      <c r="AB77" s="408"/>
      <c r="AC77" s="408"/>
      <c r="AD77" s="408"/>
      <c r="AE77" s="408"/>
      <c r="AF77" s="408"/>
      <c r="AG77" s="408"/>
      <c r="AH77" s="408"/>
      <c r="AI77" s="408"/>
      <c r="AJ77" s="408"/>
      <c r="AK77" s="408"/>
      <c r="AL77" s="408"/>
      <c r="AM77" s="408"/>
      <c r="AN77" s="408"/>
      <c r="AO77" s="408"/>
      <c r="AP77" s="409"/>
      <c r="AQ77" s="409"/>
      <c r="AR77" s="409"/>
      <c r="AS77" s="409"/>
      <c r="AT77" s="409"/>
      <c r="AU77" s="410"/>
      <c r="AV77" s="410"/>
      <c r="AW77" s="410"/>
      <c r="AX77" s="410"/>
      <c r="AY77" s="410"/>
      <c r="AZ77" s="410"/>
      <c r="BA77" s="411"/>
      <c r="BB77" s="411"/>
      <c r="BC77" s="411"/>
      <c r="BD77" s="411"/>
      <c r="BE77" s="407"/>
      <c r="BF77" s="407"/>
      <c r="BG77" s="407">
        <v>3</v>
      </c>
      <c r="BH77" s="407"/>
      <c r="BI77" s="407"/>
      <c r="BJ77" s="412"/>
      <c r="BK77" s="408"/>
      <c r="BL77" s="408"/>
      <c r="BM77" s="408"/>
      <c r="BN77" s="408"/>
      <c r="BO77" s="408"/>
      <c r="BP77" s="408"/>
      <c r="BQ77" s="408"/>
      <c r="BR77" s="408"/>
      <c r="BS77" s="408"/>
      <c r="BT77" s="408"/>
      <c r="BU77" s="408"/>
      <c r="BV77" s="408"/>
      <c r="BW77" s="409"/>
      <c r="BX77" s="409"/>
      <c r="BY77" s="409"/>
      <c r="BZ77" s="409"/>
      <c r="CA77" s="409"/>
      <c r="CB77" s="409"/>
      <c r="CC77" s="409"/>
      <c r="CD77" s="409"/>
      <c r="CE77" s="409"/>
      <c r="CF77" s="409"/>
      <c r="CG77" s="409"/>
      <c r="CH77" s="414"/>
      <c r="CI77" s="409"/>
      <c r="CJ77" s="409"/>
      <c r="CK77" s="409"/>
      <c r="CL77" s="409"/>
      <c r="CM77" s="409"/>
      <c r="CN77" s="409"/>
      <c r="CO77" s="410"/>
      <c r="CP77" s="410"/>
      <c r="CQ77" s="410"/>
      <c r="CR77" s="410"/>
      <c r="CS77" s="410"/>
      <c r="CT77" s="567"/>
      <c r="CU77" s="568"/>
      <c r="CV77" s="568"/>
      <c r="CW77" s="533"/>
      <c r="CX77" s="533"/>
      <c r="CY77" s="534"/>
      <c r="CZ77" s="410"/>
      <c r="DA77" s="410"/>
      <c r="DB77" s="410"/>
      <c r="DC77" s="407"/>
      <c r="DD77" s="407"/>
      <c r="DE77" s="407"/>
      <c r="DF77" s="407"/>
      <c r="DG77" s="407"/>
      <c r="DH77" s="407"/>
      <c r="DI77" s="407"/>
      <c r="DJ77" s="407"/>
      <c r="DK77" s="619"/>
      <c r="DL77" s="494">
        <f t="shared" si="84"/>
        <v>250</v>
      </c>
      <c r="DM77" s="122">
        <f t="shared" si="85"/>
        <v>253</v>
      </c>
      <c r="DN77" s="122">
        <f t="shared" si="86"/>
        <v>0</v>
      </c>
      <c r="DO77" s="124">
        <f t="shared" si="87"/>
        <v>0</v>
      </c>
    </row>
    <row r="78" spans="2:123" ht="32.1" hidden="1" customHeight="1" outlineLevel="1" thickBot="1" x14ac:dyDescent="0.3">
      <c r="B78" s="813"/>
      <c r="C78" s="814"/>
      <c r="D78" s="804"/>
      <c r="E78" s="776"/>
      <c r="F78" s="246" t="s">
        <v>4</v>
      </c>
      <c r="G78" s="248" t="s">
        <v>134</v>
      </c>
      <c r="H78" s="359"/>
      <c r="I78" s="921" t="s">
        <v>180</v>
      </c>
      <c r="J78" s="249"/>
      <c r="K78" s="249"/>
      <c r="L78" s="249"/>
      <c r="M78" s="249"/>
      <c r="N78" s="249"/>
      <c r="O78" s="249"/>
      <c r="P78" s="249"/>
      <c r="Q78" s="249"/>
      <c r="R78" s="249"/>
      <c r="S78" s="249"/>
      <c r="T78" s="249"/>
      <c r="U78" s="250"/>
      <c r="V78" s="250"/>
      <c r="W78" s="250"/>
      <c r="X78" s="250"/>
      <c r="Y78" s="250"/>
      <c r="Z78" s="250"/>
      <c r="AA78" s="250"/>
      <c r="AB78" s="250"/>
      <c r="AC78" s="250"/>
      <c r="AD78" s="250"/>
      <c r="AE78" s="250"/>
      <c r="AF78" s="250"/>
      <c r="AG78" s="250"/>
      <c r="AH78" s="250"/>
      <c r="AI78" s="250"/>
      <c r="AJ78" s="250"/>
      <c r="AK78" s="250"/>
      <c r="AL78" s="250"/>
      <c r="AM78" s="250"/>
      <c r="AN78" s="250"/>
      <c r="AO78" s="250"/>
      <c r="AP78" s="251"/>
      <c r="AQ78" s="251"/>
      <c r="AR78" s="251"/>
      <c r="AS78" s="251"/>
      <c r="AT78" s="251"/>
      <c r="AU78" s="252"/>
      <c r="AV78" s="252"/>
      <c r="AW78" s="252"/>
      <c r="AX78" s="252"/>
      <c r="AY78" s="252"/>
      <c r="AZ78" s="252"/>
      <c r="BA78" s="253"/>
      <c r="BB78" s="253"/>
      <c r="BC78" s="253"/>
      <c r="BD78" s="253"/>
      <c r="BE78" s="249"/>
      <c r="BF78" s="249"/>
      <c r="BG78" s="249"/>
      <c r="BH78" s="249"/>
      <c r="BI78" s="249"/>
      <c r="BJ78" s="254"/>
      <c r="BK78" s="250"/>
      <c r="BL78" s="250"/>
      <c r="BM78" s="250"/>
      <c r="BN78" s="250"/>
      <c r="BO78" s="250"/>
      <c r="BP78" s="250"/>
      <c r="BQ78" s="250"/>
      <c r="BR78" s="250"/>
      <c r="BS78" s="250"/>
      <c r="BT78" s="250"/>
      <c r="BU78" s="250"/>
      <c r="BV78" s="250"/>
      <c r="BW78" s="251">
        <v>0.5</v>
      </c>
      <c r="BX78" s="251"/>
      <c r="BY78" s="251"/>
      <c r="BZ78" s="251"/>
      <c r="CA78" s="251"/>
      <c r="CB78" s="251"/>
      <c r="CC78" s="251"/>
      <c r="CD78" s="251"/>
      <c r="CE78" s="251"/>
      <c r="CF78" s="251"/>
      <c r="CG78" s="251"/>
      <c r="CH78" s="255"/>
      <c r="CI78" s="251"/>
      <c r="CJ78" s="251"/>
      <c r="CK78" s="251"/>
      <c r="CL78" s="251"/>
      <c r="CM78" s="251"/>
      <c r="CN78" s="251"/>
      <c r="CO78" s="252"/>
      <c r="CP78" s="252"/>
      <c r="CQ78" s="252"/>
      <c r="CR78" s="252"/>
      <c r="CS78" s="252"/>
      <c r="CT78" s="563"/>
      <c r="CU78" s="564"/>
      <c r="CV78" s="564"/>
      <c r="CW78" s="529"/>
      <c r="CX78" s="529"/>
      <c r="CY78" s="530"/>
      <c r="CZ78" s="252"/>
      <c r="DA78" s="252"/>
      <c r="DB78" s="252"/>
      <c r="DC78" s="249"/>
      <c r="DD78" s="249"/>
      <c r="DE78" s="249"/>
      <c r="DF78" s="249"/>
      <c r="DG78" s="249"/>
      <c r="DH78" s="249"/>
      <c r="DI78" s="249"/>
      <c r="DJ78" s="249"/>
      <c r="DK78" s="617"/>
      <c r="DL78" s="495">
        <f t="shared" si="84"/>
        <v>0</v>
      </c>
      <c r="DM78" s="84">
        <f t="shared" si="85"/>
        <v>0.5</v>
      </c>
      <c r="DN78" s="84">
        <f t="shared" si="86"/>
        <v>0</v>
      </c>
      <c r="DO78" s="125">
        <f t="shared" si="87"/>
        <v>0</v>
      </c>
    </row>
    <row r="79" spans="2:123" ht="32.1" hidden="1" customHeight="1" outlineLevel="1" thickBot="1" x14ac:dyDescent="0.3">
      <c r="B79" s="813"/>
      <c r="C79" s="814"/>
      <c r="D79" s="804"/>
      <c r="E79" s="776"/>
      <c r="F79" s="258" t="s">
        <v>4</v>
      </c>
      <c r="G79" s="415" t="s">
        <v>134</v>
      </c>
      <c r="H79" s="416"/>
      <c r="I79" s="923" t="s">
        <v>56</v>
      </c>
      <c r="J79" s="417"/>
      <c r="K79" s="417"/>
      <c r="L79" s="417"/>
      <c r="M79" s="417"/>
      <c r="N79" s="417"/>
      <c r="O79" s="417"/>
      <c r="P79" s="417"/>
      <c r="Q79" s="417"/>
      <c r="R79" s="417"/>
      <c r="S79" s="417"/>
      <c r="T79" s="417"/>
      <c r="U79" s="418"/>
      <c r="V79" s="418"/>
      <c r="W79" s="418"/>
      <c r="X79" s="418"/>
      <c r="Y79" s="418"/>
      <c r="Z79" s="418"/>
      <c r="AA79" s="418"/>
      <c r="AB79" s="418"/>
      <c r="AC79" s="418"/>
      <c r="AD79" s="418"/>
      <c r="AE79" s="418"/>
      <c r="AF79" s="418"/>
      <c r="AG79" s="418"/>
      <c r="AH79" s="418"/>
      <c r="AI79" s="418"/>
      <c r="AJ79" s="418"/>
      <c r="AK79" s="418"/>
      <c r="AL79" s="418"/>
      <c r="AM79" s="418"/>
      <c r="AN79" s="418"/>
      <c r="AO79" s="418"/>
      <c r="AP79" s="419"/>
      <c r="AQ79" s="419"/>
      <c r="AR79" s="419">
        <v>50</v>
      </c>
      <c r="AS79" s="419">
        <v>100</v>
      </c>
      <c r="AT79" s="419"/>
      <c r="AU79" s="420"/>
      <c r="AV79" s="420"/>
      <c r="AW79" s="420"/>
      <c r="AX79" s="420"/>
      <c r="AY79" s="420"/>
      <c r="AZ79" s="420"/>
      <c r="BA79" s="421"/>
      <c r="BB79" s="421"/>
      <c r="BC79" s="421"/>
      <c r="BD79" s="421"/>
      <c r="BE79" s="417"/>
      <c r="BF79" s="417"/>
      <c r="BG79" s="417"/>
      <c r="BH79" s="417"/>
      <c r="BI79" s="417"/>
      <c r="BJ79" s="422"/>
      <c r="BK79" s="418"/>
      <c r="BL79" s="418"/>
      <c r="BM79" s="418"/>
      <c r="BN79" s="418"/>
      <c r="BO79" s="418"/>
      <c r="BP79" s="418"/>
      <c r="BQ79" s="418"/>
      <c r="BR79" s="418"/>
      <c r="BS79" s="418"/>
      <c r="BT79" s="418"/>
      <c r="BU79" s="418"/>
      <c r="BV79" s="418"/>
      <c r="BW79" s="419"/>
      <c r="BX79" s="419"/>
      <c r="BY79" s="419"/>
      <c r="BZ79" s="419"/>
      <c r="CA79" s="419"/>
      <c r="CB79" s="419"/>
      <c r="CC79" s="419"/>
      <c r="CD79" s="419"/>
      <c r="CE79" s="419"/>
      <c r="CF79" s="419"/>
      <c r="CG79" s="419"/>
      <c r="CH79" s="424"/>
      <c r="CI79" s="419"/>
      <c r="CJ79" s="419"/>
      <c r="CK79" s="419"/>
      <c r="CL79" s="419"/>
      <c r="CM79" s="419"/>
      <c r="CN79" s="419"/>
      <c r="CO79" s="420"/>
      <c r="CP79" s="420"/>
      <c r="CQ79" s="420"/>
      <c r="CR79" s="420"/>
      <c r="CS79" s="420"/>
      <c r="CT79" s="569"/>
      <c r="CU79" s="570"/>
      <c r="CV79" s="570"/>
      <c r="CW79" s="535"/>
      <c r="CX79" s="535"/>
      <c r="CY79" s="536"/>
      <c r="CZ79" s="420"/>
      <c r="DA79" s="420"/>
      <c r="DB79" s="420"/>
      <c r="DC79" s="417"/>
      <c r="DD79" s="417"/>
      <c r="DE79" s="417"/>
      <c r="DF79" s="417"/>
      <c r="DG79" s="417"/>
      <c r="DH79" s="417"/>
      <c r="DI79" s="417"/>
      <c r="DJ79" s="417"/>
      <c r="DK79" s="620"/>
      <c r="DL79" s="497">
        <f t="shared" si="84"/>
        <v>0</v>
      </c>
      <c r="DM79" s="126">
        <f t="shared" si="85"/>
        <v>150</v>
      </c>
      <c r="DN79" s="126">
        <f t="shared" si="86"/>
        <v>0</v>
      </c>
      <c r="DO79" s="127">
        <f t="shared" si="87"/>
        <v>0</v>
      </c>
    </row>
    <row r="80" spans="2:123" ht="32.1" hidden="1" customHeight="1" outlineLevel="1" thickBot="1" x14ac:dyDescent="0.3">
      <c r="B80" s="813"/>
      <c r="C80" s="814"/>
      <c r="D80" s="804"/>
      <c r="E80" s="776" t="s">
        <v>137</v>
      </c>
      <c r="F80" s="236" t="s">
        <v>4</v>
      </c>
      <c r="G80" s="238" t="s">
        <v>134</v>
      </c>
      <c r="H80" s="425"/>
      <c r="I80" s="924" t="s">
        <v>219</v>
      </c>
      <c r="J80" s="407"/>
      <c r="K80" s="407"/>
      <c r="L80" s="407"/>
      <c r="M80" s="407"/>
      <c r="N80" s="407"/>
      <c r="O80" s="407"/>
      <c r="P80" s="407"/>
      <c r="Q80" s="407"/>
      <c r="R80" s="407"/>
      <c r="S80" s="407"/>
      <c r="T80" s="407"/>
      <c r="U80" s="408"/>
      <c r="V80" s="408"/>
      <c r="W80" s="408"/>
      <c r="X80" s="408">
        <v>10</v>
      </c>
      <c r="Y80" s="408">
        <v>15</v>
      </c>
      <c r="Z80" s="408"/>
      <c r="AA80" s="408"/>
      <c r="AB80" s="408"/>
      <c r="AC80" s="408"/>
      <c r="AD80" s="408"/>
      <c r="AE80" s="408"/>
      <c r="AF80" s="408"/>
      <c r="AG80" s="408"/>
      <c r="AH80" s="408"/>
      <c r="AI80" s="408"/>
      <c r="AJ80" s="408"/>
      <c r="AK80" s="408"/>
      <c r="AL80" s="408"/>
      <c r="AM80" s="408"/>
      <c r="AN80" s="408"/>
      <c r="AO80" s="408"/>
      <c r="AP80" s="409"/>
      <c r="AQ80" s="409"/>
      <c r="AR80" s="409"/>
      <c r="AS80" s="409"/>
      <c r="AT80" s="409"/>
      <c r="AU80" s="410"/>
      <c r="AV80" s="410"/>
      <c r="AW80" s="410"/>
      <c r="AX80" s="410"/>
      <c r="AY80" s="410"/>
      <c r="AZ80" s="410"/>
      <c r="BA80" s="411"/>
      <c r="BB80" s="411"/>
      <c r="BC80" s="411"/>
      <c r="BD80" s="411"/>
      <c r="BE80" s="407"/>
      <c r="BF80" s="407"/>
      <c r="BG80" s="407">
        <v>5</v>
      </c>
      <c r="BH80" s="407"/>
      <c r="BI80" s="407"/>
      <c r="BJ80" s="412"/>
      <c r="BK80" s="408"/>
      <c r="BL80" s="408"/>
      <c r="BM80" s="408"/>
      <c r="BN80" s="408">
        <v>150</v>
      </c>
      <c r="BO80" s="408"/>
      <c r="BP80" s="408"/>
      <c r="BQ80" s="408"/>
      <c r="BR80" s="408"/>
      <c r="BS80" s="408"/>
      <c r="BT80" s="408"/>
      <c r="BU80" s="408"/>
      <c r="BV80" s="408"/>
      <c r="BW80" s="409"/>
      <c r="BX80" s="409"/>
      <c r="BY80" s="409"/>
      <c r="BZ80" s="409"/>
      <c r="CA80" s="409"/>
      <c r="CB80" s="409"/>
      <c r="CC80" s="409"/>
      <c r="CD80" s="409"/>
      <c r="CE80" s="409"/>
      <c r="CF80" s="409"/>
      <c r="CG80" s="409"/>
      <c r="CH80" s="414"/>
      <c r="CI80" s="409"/>
      <c r="CJ80" s="409"/>
      <c r="CK80" s="409"/>
      <c r="CL80" s="409"/>
      <c r="CM80" s="409"/>
      <c r="CN80" s="409"/>
      <c r="CO80" s="410"/>
      <c r="CP80" s="410"/>
      <c r="CQ80" s="410"/>
      <c r="CR80" s="410"/>
      <c r="CS80" s="410"/>
      <c r="CT80" s="567"/>
      <c r="CU80" s="568"/>
      <c r="CV80" s="568"/>
      <c r="CW80" s="533"/>
      <c r="CX80" s="533"/>
      <c r="CY80" s="534"/>
      <c r="CZ80" s="410"/>
      <c r="DA80" s="410"/>
      <c r="DB80" s="410"/>
      <c r="DC80" s="407"/>
      <c r="DD80" s="407"/>
      <c r="DE80" s="407"/>
      <c r="DF80" s="407"/>
      <c r="DG80" s="407"/>
      <c r="DH80" s="407"/>
      <c r="DI80" s="407"/>
      <c r="DJ80" s="407"/>
      <c r="DK80" s="619"/>
      <c r="DL80" s="494">
        <f t="shared" si="84"/>
        <v>25</v>
      </c>
      <c r="DM80" s="122">
        <f t="shared" si="85"/>
        <v>180</v>
      </c>
      <c r="DN80" s="122">
        <f t="shared" si="86"/>
        <v>150</v>
      </c>
      <c r="DO80" s="124">
        <f t="shared" si="87"/>
        <v>0</v>
      </c>
    </row>
    <row r="81" spans="2:123" ht="32.1" hidden="1" customHeight="1" outlineLevel="1" thickBot="1" x14ac:dyDescent="0.3">
      <c r="B81" s="813"/>
      <c r="C81" s="814"/>
      <c r="D81" s="804"/>
      <c r="E81" s="776"/>
      <c r="F81" s="246" t="s">
        <v>4</v>
      </c>
      <c r="G81" s="248" t="s">
        <v>134</v>
      </c>
      <c r="H81" s="359"/>
      <c r="I81" s="925" t="s">
        <v>220</v>
      </c>
      <c r="J81" s="249"/>
      <c r="K81" s="249"/>
      <c r="L81" s="249"/>
      <c r="M81" s="249"/>
      <c r="N81" s="249"/>
      <c r="O81" s="249"/>
      <c r="P81" s="249">
        <v>75</v>
      </c>
      <c r="Q81" s="249"/>
      <c r="R81" s="249"/>
      <c r="S81" s="249"/>
      <c r="T81" s="249"/>
      <c r="U81" s="250"/>
      <c r="V81" s="250"/>
      <c r="W81" s="250"/>
      <c r="X81" s="250"/>
      <c r="Y81" s="250"/>
      <c r="Z81" s="250"/>
      <c r="AA81" s="250"/>
      <c r="AB81" s="250"/>
      <c r="AC81" s="250"/>
      <c r="AD81" s="250"/>
      <c r="AE81" s="250"/>
      <c r="AF81" s="250"/>
      <c r="AG81" s="250"/>
      <c r="AH81" s="250"/>
      <c r="AI81" s="250"/>
      <c r="AJ81" s="250"/>
      <c r="AK81" s="250"/>
      <c r="AL81" s="250"/>
      <c r="AM81" s="250"/>
      <c r="AN81" s="250"/>
      <c r="AO81" s="250"/>
      <c r="AP81" s="251"/>
      <c r="AQ81" s="251"/>
      <c r="AR81" s="251"/>
      <c r="AS81" s="251"/>
      <c r="AT81" s="251"/>
      <c r="AU81" s="252"/>
      <c r="AV81" s="252"/>
      <c r="AW81" s="252"/>
      <c r="AX81" s="252"/>
      <c r="AY81" s="252"/>
      <c r="AZ81" s="252"/>
      <c r="BA81" s="253"/>
      <c r="BB81" s="253"/>
      <c r="BC81" s="253"/>
      <c r="BD81" s="253"/>
      <c r="BE81" s="249"/>
      <c r="BF81" s="249"/>
      <c r="BG81" s="249"/>
      <c r="BH81" s="249"/>
      <c r="BI81" s="249"/>
      <c r="BJ81" s="254"/>
      <c r="BK81" s="250"/>
      <c r="BL81" s="250"/>
      <c r="BM81" s="250"/>
      <c r="BN81" s="250"/>
      <c r="BO81" s="250"/>
      <c r="BP81" s="250"/>
      <c r="BQ81" s="250"/>
      <c r="BR81" s="250"/>
      <c r="BS81" s="250"/>
      <c r="BT81" s="250"/>
      <c r="BU81" s="250"/>
      <c r="BV81" s="250"/>
      <c r="BW81" s="251"/>
      <c r="BX81" s="251"/>
      <c r="BY81" s="251"/>
      <c r="BZ81" s="251"/>
      <c r="CA81" s="251"/>
      <c r="CB81" s="251"/>
      <c r="CC81" s="251"/>
      <c r="CD81" s="251"/>
      <c r="CE81" s="251"/>
      <c r="CF81" s="360"/>
      <c r="CG81" s="251"/>
      <c r="CH81" s="255"/>
      <c r="CI81" s="251"/>
      <c r="CJ81" s="251"/>
      <c r="CK81" s="251"/>
      <c r="CL81" s="251"/>
      <c r="CM81" s="251"/>
      <c r="CN81" s="251"/>
      <c r="CO81" s="252"/>
      <c r="CP81" s="252"/>
      <c r="CQ81" s="252"/>
      <c r="CR81" s="252"/>
      <c r="CS81" s="564"/>
      <c r="CT81" s="529"/>
      <c r="CU81" s="529"/>
      <c r="CV81" s="529"/>
      <c r="CW81" s="529"/>
      <c r="CX81" s="529"/>
      <c r="CY81" s="530"/>
      <c r="CZ81" s="252"/>
      <c r="DA81" s="252"/>
      <c r="DB81" s="252"/>
      <c r="DC81" s="249"/>
      <c r="DD81" s="249"/>
      <c r="DE81" s="249"/>
      <c r="DF81" s="249"/>
      <c r="DG81" s="249"/>
      <c r="DH81" s="249"/>
      <c r="DI81" s="249"/>
      <c r="DJ81" s="249"/>
      <c r="DK81" s="617"/>
      <c r="DL81" s="495">
        <f t="shared" si="84"/>
        <v>375</v>
      </c>
      <c r="DM81" s="84">
        <f t="shared" si="85"/>
        <v>75</v>
      </c>
      <c r="DN81" s="84">
        <f t="shared" si="86"/>
        <v>0</v>
      </c>
      <c r="DO81" s="125">
        <f t="shared" si="87"/>
        <v>0</v>
      </c>
    </row>
    <row r="82" spans="2:123" ht="32.1" hidden="1" customHeight="1" outlineLevel="1" thickBot="1" x14ac:dyDescent="0.3">
      <c r="B82" s="813"/>
      <c r="C82" s="814"/>
      <c r="D82" s="804"/>
      <c r="E82" s="776"/>
      <c r="F82" s="246" t="s">
        <v>4</v>
      </c>
      <c r="G82" s="248" t="s">
        <v>134</v>
      </c>
      <c r="H82" s="361"/>
      <c r="I82" s="926" t="s">
        <v>221</v>
      </c>
      <c r="J82" s="249"/>
      <c r="K82" s="249"/>
      <c r="L82" s="249"/>
      <c r="M82" s="249"/>
      <c r="N82" s="249"/>
      <c r="O82" s="249"/>
      <c r="P82" s="249"/>
      <c r="Q82" s="249"/>
      <c r="R82" s="249"/>
      <c r="S82" s="249"/>
      <c r="T82" s="249"/>
      <c r="U82" s="250"/>
      <c r="V82" s="250"/>
      <c r="W82" s="250"/>
      <c r="X82" s="250"/>
      <c r="Y82" s="250"/>
      <c r="Z82" s="250"/>
      <c r="AA82" s="250"/>
      <c r="AB82" s="250"/>
      <c r="AC82" s="250"/>
      <c r="AD82" s="250"/>
      <c r="AE82" s="250"/>
      <c r="AF82" s="250"/>
      <c r="AG82" s="250"/>
      <c r="AH82" s="250"/>
      <c r="AI82" s="250"/>
      <c r="AJ82" s="250"/>
      <c r="AK82" s="250"/>
      <c r="AL82" s="250"/>
      <c r="AM82" s="250"/>
      <c r="AN82" s="250"/>
      <c r="AO82" s="250"/>
      <c r="AP82" s="251"/>
      <c r="AQ82" s="251"/>
      <c r="AR82" s="251"/>
      <c r="AS82" s="251"/>
      <c r="AT82" s="251"/>
      <c r="AU82" s="252"/>
      <c r="AV82" s="252"/>
      <c r="AW82" s="252"/>
      <c r="AX82" s="252"/>
      <c r="AY82" s="252"/>
      <c r="AZ82" s="252"/>
      <c r="BA82" s="253"/>
      <c r="BB82" s="253"/>
      <c r="BC82" s="253"/>
      <c r="BD82" s="253"/>
      <c r="BE82" s="249"/>
      <c r="BF82" s="249"/>
      <c r="BG82" s="249"/>
      <c r="BH82" s="249"/>
      <c r="BI82" s="249"/>
      <c r="BJ82" s="254"/>
      <c r="BK82" s="362"/>
      <c r="BL82" s="250"/>
      <c r="BM82" s="250"/>
      <c r="BN82" s="250"/>
      <c r="BO82" s="250"/>
      <c r="BP82" s="250"/>
      <c r="BQ82" s="250"/>
      <c r="BR82" s="250"/>
      <c r="BS82" s="250"/>
      <c r="BT82" s="250"/>
      <c r="BU82" s="250"/>
      <c r="BV82" s="250"/>
      <c r="BW82" s="251"/>
      <c r="BX82" s="251"/>
      <c r="BY82" s="251"/>
      <c r="BZ82" s="251"/>
      <c r="CA82" s="251"/>
      <c r="CB82" s="251"/>
      <c r="CC82" s="251"/>
      <c r="CD82" s="251"/>
      <c r="CE82" s="251"/>
      <c r="CF82" s="251"/>
      <c r="CG82" s="251"/>
      <c r="CH82" s="255"/>
      <c r="CI82" s="251"/>
      <c r="CJ82" s="251"/>
      <c r="CK82" s="251"/>
      <c r="CL82" s="251"/>
      <c r="CM82" s="251"/>
      <c r="CN82" s="251"/>
      <c r="CO82" s="252"/>
      <c r="CP82" s="252"/>
      <c r="CQ82" s="252"/>
      <c r="CR82" s="252"/>
      <c r="CS82" s="564"/>
      <c r="CT82" s="564"/>
      <c r="CU82" s="564"/>
      <c r="CV82" s="563"/>
      <c r="CW82" s="529"/>
      <c r="CX82" s="529"/>
      <c r="CY82" s="530"/>
      <c r="CZ82" s="252"/>
      <c r="DA82" s="252"/>
      <c r="DB82" s="252"/>
      <c r="DC82" s="249"/>
      <c r="DD82" s="249"/>
      <c r="DE82" s="249"/>
      <c r="DF82" s="249"/>
      <c r="DG82" s="249"/>
      <c r="DH82" s="249"/>
      <c r="DI82" s="249"/>
      <c r="DJ82" s="249"/>
      <c r="DK82" s="617"/>
      <c r="DL82" s="495">
        <f t="shared" si="84"/>
        <v>0</v>
      </c>
      <c r="DM82" s="84">
        <f t="shared" si="85"/>
        <v>0</v>
      </c>
      <c r="DN82" s="84">
        <f t="shared" si="86"/>
        <v>0</v>
      </c>
      <c r="DO82" s="125">
        <f t="shared" si="87"/>
        <v>0</v>
      </c>
    </row>
    <row r="83" spans="2:123" ht="32.1" hidden="1" customHeight="1" outlineLevel="1" thickBot="1" x14ac:dyDescent="0.3">
      <c r="B83" s="813"/>
      <c r="C83" s="814"/>
      <c r="D83" s="804"/>
      <c r="E83" s="776"/>
      <c r="F83" s="258" t="s">
        <v>4</v>
      </c>
      <c r="G83" s="415" t="s">
        <v>134</v>
      </c>
      <c r="H83" s="416"/>
      <c r="I83" s="927" t="s">
        <v>67</v>
      </c>
      <c r="J83" s="417"/>
      <c r="K83" s="417"/>
      <c r="L83" s="417"/>
      <c r="M83" s="417"/>
      <c r="N83" s="417"/>
      <c r="O83" s="417"/>
      <c r="P83" s="417"/>
      <c r="Q83" s="417"/>
      <c r="R83" s="417"/>
      <c r="S83" s="417"/>
      <c r="T83" s="417"/>
      <c r="U83" s="418"/>
      <c r="V83" s="418"/>
      <c r="W83" s="418"/>
      <c r="X83" s="418"/>
      <c r="Y83" s="418"/>
      <c r="Z83" s="418"/>
      <c r="AA83" s="418"/>
      <c r="AB83" s="418"/>
      <c r="AC83" s="418"/>
      <c r="AD83" s="418"/>
      <c r="AE83" s="418"/>
      <c r="AF83" s="418"/>
      <c r="AG83" s="418"/>
      <c r="AH83" s="418"/>
      <c r="AI83" s="418"/>
      <c r="AJ83" s="418"/>
      <c r="AK83" s="418"/>
      <c r="AL83" s="418"/>
      <c r="AM83" s="418"/>
      <c r="AN83" s="418"/>
      <c r="AO83" s="418"/>
      <c r="AP83" s="419"/>
      <c r="AQ83" s="419"/>
      <c r="AR83" s="419"/>
      <c r="AS83" s="419"/>
      <c r="AT83" s="419"/>
      <c r="AU83" s="420"/>
      <c r="AV83" s="420"/>
      <c r="AW83" s="420"/>
      <c r="AX83" s="420"/>
      <c r="AY83" s="420"/>
      <c r="AZ83" s="420"/>
      <c r="BA83" s="421"/>
      <c r="BB83" s="421"/>
      <c r="BC83" s="421"/>
      <c r="BD83" s="421"/>
      <c r="BE83" s="417">
        <v>15</v>
      </c>
      <c r="BF83" s="417"/>
      <c r="BG83" s="417"/>
      <c r="BH83" s="417"/>
      <c r="BI83" s="417"/>
      <c r="BJ83" s="422"/>
      <c r="BK83" s="418"/>
      <c r="BL83" s="418"/>
      <c r="BM83" s="418"/>
      <c r="BN83" s="418"/>
      <c r="BO83" s="418"/>
      <c r="BP83" s="418"/>
      <c r="BQ83" s="418"/>
      <c r="BR83" s="418"/>
      <c r="BS83" s="418"/>
      <c r="BT83" s="418"/>
      <c r="BU83" s="418"/>
      <c r="BV83" s="418"/>
      <c r="BW83" s="419"/>
      <c r="BX83" s="419"/>
      <c r="BY83" s="419"/>
      <c r="BZ83" s="419"/>
      <c r="CA83" s="419"/>
      <c r="CB83" s="419"/>
      <c r="CC83" s="419"/>
      <c r="CD83" s="419"/>
      <c r="CE83" s="419"/>
      <c r="CF83" s="419"/>
      <c r="CG83" s="419"/>
      <c r="CH83" s="424"/>
      <c r="CI83" s="419"/>
      <c r="CJ83" s="419"/>
      <c r="CK83" s="419"/>
      <c r="CL83" s="419"/>
      <c r="CM83" s="419"/>
      <c r="CN83" s="419"/>
      <c r="CO83" s="420"/>
      <c r="CP83" s="420"/>
      <c r="CQ83" s="420"/>
      <c r="CR83" s="420"/>
      <c r="CS83" s="570"/>
      <c r="CT83" s="535"/>
      <c r="CU83" s="535"/>
      <c r="CV83" s="535"/>
      <c r="CW83" s="535"/>
      <c r="CX83" s="535"/>
      <c r="CY83" s="536"/>
      <c r="CZ83" s="420"/>
      <c r="DA83" s="420"/>
      <c r="DB83" s="420"/>
      <c r="DC83" s="417"/>
      <c r="DD83" s="417"/>
      <c r="DE83" s="417"/>
      <c r="DF83" s="417"/>
      <c r="DG83" s="417"/>
      <c r="DH83" s="417"/>
      <c r="DI83" s="417"/>
      <c r="DJ83" s="417"/>
      <c r="DK83" s="620"/>
      <c r="DL83" s="497">
        <f t="shared" si="84"/>
        <v>0</v>
      </c>
      <c r="DM83" s="126">
        <f t="shared" si="85"/>
        <v>15</v>
      </c>
      <c r="DN83" s="126">
        <f t="shared" si="86"/>
        <v>0</v>
      </c>
      <c r="DO83" s="127">
        <f t="shared" si="87"/>
        <v>0</v>
      </c>
    </row>
    <row r="84" spans="2:123" ht="32.1" hidden="1" customHeight="1" outlineLevel="1" thickBot="1" x14ac:dyDescent="0.3">
      <c r="B84" s="813"/>
      <c r="C84" s="814"/>
      <c r="D84" s="804"/>
      <c r="E84" s="775" t="s">
        <v>138</v>
      </c>
      <c r="F84" s="403" t="s">
        <v>4</v>
      </c>
      <c r="G84" s="404" t="s">
        <v>134</v>
      </c>
      <c r="H84" s="359"/>
      <c r="I84" s="928" t="s">
        <v>186</v>
      </c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240"/>
      <c r="AH84" s="240"/>
      <c r="AI84" s="240"/>
      <c r="AJ84" s="240"/>
      <c r="AK84" s="240"/>
      <c r="AL84" s="240"/>
      <c r="AM84" s="240"/>
      <c r="AN84" s="240"/>
      <c r="AO84" s="240"/>
      <c r="AP84" s="241"/>
      <c r="AQ84" s="241"/>
      <c r="AR84" s="241"/>
      <c r="AS84" s="241"/>
      <c r="AT84" s="241"/>
      <c r="AU84" s="242"/>
      <c r="AV84" s="242"/>
      <c r="AW84" s="242"/>
      <c r="AX84" s="242"/>
      <c r="AY84" s="242"/>
      <c r="AZ84" s="242"/>
      <c r="BA84" s="243"/>
      <c r="BB84" s="243"/>
      <c r="BC84" s="243"/>
      <c r="BD84" s="243"/>
      <c r="BE84" s="239"/>
      <c r="BF84" s="239"/>
      <c r="BG84" s="239"/>
      <c r="BH84" s="239"/>
      <c r="BI84" s="239"/>
      <c r="BJ84" s="244"/>
      <c r="BK84" s="240"/>
      <c r="BL84" s="240"/>
      <c r="BM84" s="240"/>
      <c r="BN84" s="240"/>
      <c r="BO84" s="240"/>
      <c r="BP84" s="240"/>
      <c r="BQ84" s="240"/>
      <c r="BR84" s="240"/>
      <c r="BS84" s="240"/>
      <c r="BT84" s="240"/>
      <c r="BU84" s="240"/>
      <c r="BV84" s="240"/>
      <c r="BW84" s="241"/>
      <c r="BX84" s="241"/>
      <c r="BY84" s="241"/>
      <c r="BZ84" s="241"/>
      <c r="CA84" s="241"/>
      <c r="CB84" s="241"/>
      <c r="CC84" s="241"/>
      <c r="CD84" s="241"/>
      <c r="CE84" s="241">
        <v>20</v>
      </c>
      <c r="CF84" s="241"/>
      <c r="CG84" s="241"/>
      <c r="CH84" s="245"/>
      <c r="CI84" s="241"/>
      <c r="CJ84" s="241">
        <v>8</v>
      </c>
      <c r="CK84" s="241">
        <v>8</v>
      </c>
      <c r="CL84" s="241">
        <v>4</v>
      </c>
      <c r="CM84" s="241"/>
      <c r="CN84" s="241"/>
      <c r="CO84" s="242"/>
      <c r="CP84" s="242"/>
      <c r="CQ84" s="242"/>
      <c r="CR84" s="242"/>
      <c r="CS84" s="571"/>
      <c r="CT84" s="527"/>
      <c r="CU84" s="527"/>
      <c r="CV84" s="527"/>
      <c r="CW84" s="527"/>
      <c r="CX84" s="527"/>
      <c r="CY84" s="528"/>
      <c r="CZ84" s="242"/>
      <c r="DA84" s="242"/>
      <c r="DB84" s="242"/>
      <c r="DC84" s="239"/>
      <c r="DD84" s="239"/>
      <c r="DE84" s="239"/>
      <c r="DF84" s="239"/>
      <c r="DG84" s="239"/>
      <c r="DH84" s="239"/>
      <c r="DI84" s="239"/>
      <c r="DJ84" s="239"/>
      <c r="DK84" s="616"/>
      <c r="DL84" s="498">
        <f t="shared" si="84"/>
        <v>0</v>
      </c>
      <c r="DM84" s="121">
        <f t="shared" si="85"/>
        <v>40</v>
      </c>
      <c r="DN84" s="121">
        <f t="shared" si="86"/>
        <v>0</v>
      </c>
      <c r="DO84" s="357">
        <f t="shared" si="87"/>
        <v>0</v>
      </c>
    </row>
    <row r="85" spans="2:123" ht="32.1" hidden="1" customHeight="1" outlineLevel="1" thickBot="1" x14ac:dyDescent="0.3">
      <c r="B85" s="813"/>
      <c r="C85" s="814"/>
      <c r="D85" s="804"/>
      <c r="E85" s="776"/>
      <c r="F85" s="246" t="s">
        <v>4</v>
      </c>
      <c r="G85" s="248" t="s">
        <v>134</v>
      </c>
      <c r="H85" s="359"/>
      <c r="I85" s="929" t="s">
        <v>94</v>
      </c>
      <c r="J85" s="249"/>
      <c r="K85" s="249"/>
      <c r="L85" s="249"/>
      <c r="M85" s="249"/>
      <c r="N85" s="249"/>
      <c r="O85" s="249"/>
      <c r="P85" s="249"/>
      <c r="Q85" s="249"/>
      <c r="R85" s="249"/>
      <c r="S85" s="249"/>
      <c r="T85" s="249"/>
      <c r="U85" s="250"/>
      <c r="V85" s="250"/>
      <c r="W85" s="250"/>
      <c r="X85" s="250"/>
      <c r="Y85" s="250"/>
      <c r="Z85" s="250"/>
      <c r="AA85" s="250"/>
      <c r="AB85" s="250"/>
      <c r="AC85" s="250"/>
      <c r="AD85" s="250"/>
      <c r="AE85" s="250"/>
      <c r="AF85" s="250"/>
      <c r="AG85" s="250"/>
      <c r="AH85" s="250"/>
      <c r="AI85" s="250"/>
      <c r="AJ85" s="250"/>
      <c r="AK85" s="250"/>
      <c r="AL85" s="250"/>
      <c r="AM85" s="250"/>
      <c r="AN85" s="250"/>
      <c r="AO85" s="250"/>
      <c r="AP85" s="251"/>
      <c r="AQ85" s="251"/>
      <c r="AR85" s="251"/>
      <c r="AS85" s="251"/>
      <c r="AT85" s="251"/>
      <c r="AU85" s="252"/>
      <c r="AV85" s="252"/>
      <c r="AW85" s="252"/>
      <c r="AX85" s="252"/>
      <c r="AY85" s="252"/>
      <c r="AZ85" s="252"/>
      <c r="BA85" s="253"/>
      <c r="BB85" s="253"/>
      <c r="BC85" s="253"/>
      <c r="BD85" s="253"/>
      <c r="BE85" s="249"/>
      <c r="BF85" s="249"/>
      <c r="BG85" s="249"/>
      <c r="BH85" s="249"/>
      <c r="BI85" s="249"/>
      <c r="BJ85" s="254"/>
      <c r="BK85" s="250"/>
      <c r="BL85" s="250"/>
      <c r="BM85" s="250"/>
      <c r="BN85" s="250"/>
      <c r="BO85" s="250"/>
      <c r="BP85" s="250"/>
      <c r="BQ85" s="250"/>
      <c r="BR85" s="250"/>
      <c r="BS85" s="250"/>
      <c r="BT85" s="250"/>
      <c r="BU85" s="250"/>
      <c r="BV85" s="250"/>
      <c r="BW85" s="251"/>
      <c r="BX85" s="251"/>
      <c r="BY85" s="251"/>
      <c r="BZ85" s="251"/>
      <c r="CA85" s="251"/>
      <c r="CB85" s="251"/>
      <c r="CC85" s="251"/>
      <c r="CD85" s="251"/>
      <c r="CE85" s="251"/>
      <c r="CF85" s="251"/>
      <c r="CG85" s="251"/>
      <c r="CH85" s="255"/>
      <c r="CI85" s="251"/>
      <c r="CJ85" s="251"/>
      <c r="CK85" s="251"/>
      <c r="CL85" s="251"/>
      <c r="CM85" s="251"/>
      <c r="CN85" s="251"/>
      <c r="CO85" s="252"/>
      <c r="CP85" s="252"/>
      <c r="CQ85" s="252">
        <v>20</v>
      </c>
      <c r="CR85" s="252"/>
      <c r="CS85" s="564"/>
      <c r="CT85" s="529"/>
      <c r="CU85" s="529"/>
      <c r="CV85" s="529"/>
      <c r="CW85" s="529"/>
      <c r="CX85" s="529"/>
      <c r="CY85" s="530"/>
      <c r="CZ85" s="252"/>
      <c r="DA85" s="252"/>
      <c r="DB85" s="252"/>
      <c r="DC85" s="249"/>
      <c r="DD85" s="249"/>
      <c r="DE85" s="249"/>
      <c r="DF85" s="249"/>
      <c r="DG85" s="249"/>
      <c r="DH85" s="249"/>
      <c r="DI85" s="249"/>
      <c r="DJ85" s="249"/>
      <c r="DK85" s="617"/>
      <c r="DL85" s="495">
        <f t="shared" si="84"/>
        <v>0</v>
      </c>
      <c r="DM85" s="84">
        <f t="shared" si="85"/>
        <v>20</v>
      </c>
      <c r="DN85" s="84">
        <f t="shared" si="86"/>
        <v>0</v>
      </c>
      <c r="DO85" s="125">
        <f t="shared" si="87"/>
        <v>0</v>
      </c>
    </row>
    <row r="86" spans="2:123" ht="32.1" hidden="1" customHeight="1" outlineLevel="1" thickBot="1" x14ac:dyDescent="0.3">
      <c r="B86" s="813"/>
      <c r="C86" s="814"/>
      <c r="D86" s="804"/>
      <c r="E86" s="776"/>
      <c r="F86" s="246" t="s">
        <v>4</v>
      </c>
      <c r="G86" s="248" t="s">
        <v>134</v>
      </c>
      <c r="H86" s="359"/>
      <c r="I86" s="929"/>
      <c r="J86" s="249"/>
      <c r="K86" s="249"/>
      <c r="L86" s="249"/>
      <c r="M86" s="249"/>
      <c r="N86" s="249"/>
      <c r="O86" s="249"/>
      <c r="P86" s="249"/>
      <c r="Q86" s="249"/>
      <c r="R86" s="249"/>
      <c r="S86" s="249"/>
      <c r="T86" s="249"/>
      <c r="U86" s="250"/>
      <c r="V86" s="250"/>
      <c r="W86" s="250"/>
      <c r="X86" s="250"/>
      <c r="Y86" s="250"/>
      <c r="Z86" s="250"/>
      <c r="AA86" s="250"/>
      <c r="AB86" s="250"/>
      <c r="AC86" s="250"/>
      <c r="AD86" s="250"/>
      <c r="AE86" s="250"/>
      <c r="AF86" s="250"/>
      <c r="AG86" s="250"/>
      <c r="AH86" s="250"/>
      <c r="AI86" s="250"/>
      <c r="AJ86" s="250"/>
      <c r="AK86" s="250"/>
      <c r="AL86" s="250"/>
      <c r="AM86" s="250"/>
      <c r="AN86" s="250"/>
      <c r="AO86" s="250"/>
      <c r="AP86" s="251"/>
      <c r="AQ86" s="251"/>
      <c r="AR86" s="251"/>
      <c r="AS86" s="251"/>
      <c r="AT86" s="251"/>
      <c r="AU86" s="252"/>
      <c r="AV86" s="252"/>
      <c r="AW86" s="252"/>
      <c r="AX86" s="252"/>
      <c r="AY86" s="252"/>
      <c r="AZ86" s="252"/>
      <c r="BA86" s="253"/>
      <c r="BB86" s="253"/>
      <c r="BC86" s="253"/>
      <c r="BD86" s="253"/>
      <c r="BE86" s="249"/>
      <c r="BF86" s="249"/>
      <c r="BG86" s="249"/>
      <c r="BH86" s="249"/>
      <c r="BI86" s="249"/>
      <c r="BJ86" s="254"/>
      <c r="BK86" s="250"/>
      <c r="BL86" s="250"/>
      <c r="BM86" s="250"/>
      <c r="BN86" s="250"/>
      <c r="BO86" s="250"/>
      <c r="BP86" s="250"/>
      <c r="BQ86" s="250"/>
      <c r="BR86" s="250"/>
      <c r="BS86" s="250"/>
      <c r="BT86" s="250"/>
      <c r="BU86" s="250"/>
      <c r="BV86" s="250"/>
      <c r="BW86" s="251"/>
      <c r="BX86" s="251"/>
      <c r="BY86" s="251"/>
      <c r="BZ86" s="251"/>
      <c r="CA86" s="251"/>
      <c r="CB86" s="251"/>
      <c r="CC86" s="251"/>
      <c r="CD86" s="251"/>
      <c r="CE86" s="251"/>
      <c r="CF86" s="251"/>
      <c r="CG86" s="251"/>
      <c r="CH86" s="255"/>
      <c r="CI86" s="251"/>
      <c r="CJ86" s="251"/>
      <c r="CK86" s="251"/>
      <c r="CL86" s="251"/>
      <c r="CM86" s="251"/>
      <c r="CN86" s="251"/>
      <c r="CO86" s="252"/>
      <c r="CP86" s="252"/>
      <c r="CQ86" s="252"/>
      <c r="CR86" s="252"/>
      <c r="CS86" s="564"/>
      <c r="CT86" s="529"/>
      <c r="CU86" s="529"/>
      <c r="CV86" s="529"/>
      <c r="CW86" s="529"/>
      <c r="CX86" s="529"/>
      <c r="CY86" s="530"/>
      <c r="CZ86" s="252"/>
      <c r="DA86" s="252"/>
      <c r="DB86" s="252"/>
      <c r="DC86" s="249"/>
      <c r="DD86" s="249"/>
      <c r="DE86" s="249"/>
      <c r="DF86" s="249"/>
      <c r="DG86" s="249"/>
      <c r="DH86" s="249"/>
      <c r="DI86" s="249"/>
      <c r="DJ86" s="249"/>
      <c r="DK86" s="617"/>
      <c r="DL86" s="495">
        <f t="shared" si="84"/>
        <v>0</v>
      </c>
      <c r="DM86" s="84">
        <f t="shared" si="85"/>
        <v>0</v>
      </c>
      <c r="DN86" s="84">
        <f t="shared" si="86"/>
        <v>0</v>
      </c>
      <c r="DO86" s="125">
        <f t="shared" si="87"/>
        <v>0</v>
      </c>
    </row>
    <row r="87" spans="2:123" ht="32.1" hidden="1" customHeight="1" outlineLevel="1" thickBot="1" x14ac:dyDescent="0.3">
      <c r="B87" s="813"/>
      <c r="C87" s="814"/>
      <c r="D87" s="794"/>
      <c r="E87" s="776"/>
      <c r="F87" s="246" t="s">
        <v>4</v>
      </c>
      <c r="G87" s="248" t="s">
        <v>134</v>
      </c>
      <c r="H87" s="363"/>
      <c r="I87" s="930"/>
      <c r="J87" s="249"/>
      <c r="K87" s="249"/>
      <c r="L87" s="249"/>
      <c r="M87" s="249"/>
      <c r="N87" s="249"/>
      <c r="O87" s="249"/>
      <c r="P87" s="249"/>
      <c r="Q87" s="249"/>
      <c r="R87" s="249"/>
      <c r="S87" s="249"/>
      <c r="T87" s="249"/>
      <c r="U87" s="250"/>
      <c r="V87" s="250"/>
      <c r="W87" s="250"/>
      <c r="X87" s="250"/>
      <c r="Y87" s="250"/>
      <c r="Z87" s="250"/>
      <c r="AA87" s="250"/>
      <c r="AB87" s="250"/>
      <c r="AC87" s="250"/>
      <c r="AD87" s="250"/>
      <c r="AE87" s="250"/>
      <c r="AF87" s="250"/>
      <c r="AG87" s="250"/>
      <c r="AH87" s="250"/>
      <c r="AI87" s="250"/>
      <c r="AJ87" s="250"/>
      <c r="AK87" s="250"/>
      <c r="AL87" s="250"/>
      <c r="AM87" s="250"/>
      <c r="AN87" s="250"/>
      <c r="AO87" s="250"/>
      <c r="AP87" s="251"/>
      <c r="AQ87" s="251"/>
      <c r="AR87" s="251"/>
      <c r="AS87" s="251"/>
      <c r="AT87" s="251"/>
      <c r="AU87" s="252"/>
      <c r="AV87" s="252"/>
      <c r="AW87" s="252"/>
      <c r="AX87" s="252"/>
      <c r="AY87" s="252"/>
      <c r="AZ87" s="252"/>
      <c r="BA87" s="253"/>
      <c r="BB87" s="253"/>
      <c r="BC87" s="253"/>
      <c r="BD87" s="253"/>
      <c r="BE87" s="249"/>
      <c r="BF87" s="249"/>
      <c r="BG87" s="249"/>
      <c r="BH87" s="249"/>
      <c r="BI87" s="249"/>
      <c r="BJ87" s="254"/>
      <c r="BK87" s="250"/>
      <c r="BL87" s="250"/>
      <c r="BM87" s="250"/>
      <c r="BN87" s="250"/>
      <c r="BO87" s="250"/>
      <c r="BP87" s="250"/>
      <c r="BQ87" s="250"/>
      <c r="BR87" s="250"/>
      <c r="BS87" s="250"/>
      <c r="BT87" s="250"/>
      <c r="BU87" s="250"/>
      <c r="BV87" s="250"/>
      <c r="BW87" s="251"/>
      <c r="BX87" s="251"/>
      <c r="BY87" s="251"/>
      <c r="BZ87" s="251"/>
      <c r="CA87" s="251"/>
      <c r="CB87" s="251"/>
      <c r="CC87" s="251"/>
      <c r="CD87" s="251"/>
      <c r="CE87" s="251"/>
      <c r="CF87" s="251"/>
      <c r="CG87" s="251"/>
      <c r="CH87" s="255"/>
      <c r="CI87" s="251"/>
      <c r="CJ87" s="251"/>
      <c r="CK87" s="251"/>
      <c r="CL87" s="251"/>
      <c r="CM87" s="251"/>
      <c r="CN87" s="251"/>
      <c r="CO87" s="252"/>
      <c r="CP87" s="252"/>
      <c r="CQ87" s="252"/>
      <c r="CR87" s="252"/>
      <c r="CS87" s="564"/>
      <c r="CT87" s="529"/>
      <c r="CU87" s="529"/>
      <c r="CV87" s="529"/>
      <c r="CW87" s="529"/>
      <c r="CX87" s="529"/>
      <c r="CY87" s="530"/>
      <c r="CZ87" s="252"/>
      <c r="DA87" s="252"/>
      <c r="DB87" s="252"/>
      <c r="DC87" s="249"/>
      <c r="DD87" s="637"/>
      <c r="DE87" s="637"/>
      <c r="DF87" s="637"/>
      <c r="DG87" s="637"/>
      <c r="DH87" s="637"/>
      <c r="DI87" s="637"/>
      <c r="DJ87" s="637"/>
      <c r="DK87" s="617"/>
      <c r="DL87" s="495">
        <f t="shared" si="84"/>
        <v>0</v>
      </c>
      <c r="DM87" s="84">
        <f t="shared" si="85"/>
        <v>0</v>
      </c>
      <c r="DN87" s="84">
        <f t="shared" si="86"/>
        <v>0</v>
      </c>
      <c r="DO87" s="125">
        <f t="shared" si="87"/>
        <v>0</v>
      </c>
    </row>
    <row r="88" spans="2:123" s="834" customFormat="1" ht="16.5" hidden="1" customHeight="1" outlineLevel="1" thickBot="1" x14ac:dyDescent="0.35">
      <c r="B88" s="813"/>
      <c r="C88" s="814"/>
      <c r="D88" s="819"/>
      <c r="E88" s="820" t="s">
        <v>254</v>
      </c>
      <c r="F88" s="821"/>
      <c r="G88" s="822"/>
      <c r="H88" s="823"/>
      <c r="I88" s="903"/>
      <c r="J88" s="824">
        <f>SUM(J74:J87)</f>
        <v>0</v>
      </c>
      <c r="K88" s="824">
        <f t="shared" ref="K88:CL88" si="88">SUM(K74:K87)</f>
        <v>0</v>
      </c>
      <c r="L88" s="824">
        <f t="shared" si="88"/>
        <v>0</v>
      </c>
      <c r="M88" s="824">
        <f t="shared" si="88"/>
        <v>0</v>
      </c>
      <c r="N88" s="824">
        <f t="shared" si="88"/>
        <v>0</v>
      </c>
      <c r="O88" s="824">
        <f t="shared" si="88"/>
        <v>0</v>
      </c>
      <c r="P88" s="824">
        <f t="shared" si="88"/>
        <v>75</v>
      </c>
      <c r="Q88" s="824">
        <f t="shared" si="88"/>
        <v>0</v>
      </c>
      <c r="R88" s="824">
        <f t="shared" si="88"/>
        <v>0</v>
      </c>
      <c r="S88" s="824">
        <f t="shared" si="88"/>
        <v>0</v>
      </c>
      <c r="T88" s="824">
        <f t="shared" si="88"/>
        <v>0</v>
      </c>
      <c r="U88" s="825">
        <f t="shared" si="88"/>
        <v>0</v>
      </c>
      <c r="V88" s="825">
        <f t="shared" si="88"/>
        <v>0</v>
      </c>
      <c r="W88" s="825">
        <f t="shared" si="88"/>
        <v>224</v>
      </c>
      <c r="X88" s="825">
        <f t="shared" si="88"/>
        <v>21</v>
      </c>
      <c r="Y88" s="825">
        <f t="shared" si="88"/>
        <v>31</v>
      </c>
      <c r="Z88" s="825">
        <f t="shared" si="88"/>
        <v>0</v>
      </c>
      <c r="AA88" s="825">
        <f t="shared" si="88"/>
        <v>70</v>
      </c>
      <c r="AB88" s="825">
        <f t="shared" ref="AB88:AD88" si="89">SUM(AB74:AB87)</f>
        <v>0</v>
      </c>
      <c r="AC88" s="825">
        <f t="shared" si="89"/>
        <v>0</v>
      </c>
      <c r="AD88" s="825">
        <f t="shared" si="89"/>
        <v>0</v>
      </c>
      <c r="AE88" s="825">
        <f t="shared" si="88"/>
        <v>0</v>
      </c>
      <c r="AF88" s="825">
        <f t="shared" si="88"/>
        <v>0</v>
      </c>
      <c r="AG88" s="825">
        <f t="shared" si="88"/>
        <v>0</v>
      </c>
      <c r="AH88" s="825">
        <f t="shared" si="88"/>
        <v>2</v>
      </c>
      <c r="AI88" s="825">
        <f t="shared" ref="AI88:AO88" si="90">SUM(AI74:AI87)</f>
        <v>0</v>
      </c>
      <c r="AJ88" s="825">
        <f t="shared" si="90"/>
        <v>0</v>
      </c>
      <c r="AK88" s="825">
        <f t="shared" si="90"/>
        <v>0</v>
      </c>
      <c r="AL88" s="825">
        <f t="shared" si="90"/>
        <v>0</v>
      </c>
      <c r="AM88" s="825">
        <f t="shared" si="90"/>
        <v>0</v>
      </c>
      <c r="AN88" s="825">
        <f t="shared" si="90"/>
        <v>0</v>
      </c>
      <c r="AO88" s="825">
        <f t="shared" si="90"/>
        <v>0</v>
      </c>
      <c r="AP88" s="826">
        <f t="shared" si="88"/>
        <v>0</v>
      </c>
      <c r="AQ88" s="826">
        <f t="shared" ref="AQ88" si="91">SUM(AQ74:AQ87)</f>
        <v>0</v>
      </c>
      <c r="AR88" s="826">
        <f t="shared" si="88"/>
        <v>50</v>
      </c>
      <c r="AS88" s="826">
        <f t="shared" si="88"/>
        <v>100</v>
      </c>
      <c r="AT88" s="826">
        <f t="shared" si="88"/>
        <v>0</v>
      </c>
      <c r="AU88" s="827">
        <f t="shared" si="88"/>
        <v>0</v>
      </c>
      <c r="AV88" s="827">
        <f t="shared" si="88"/>
        <v>0</v>
      </c>
      <c r="AW88" s="827">
        <f t="shared" si="88"/>
        <v>0</v>
      </c>
      <c r="AX88" s="827">
        <f t="shared" ref="AX88:AY88" si="92">SUM(AX74:AX87)</f>
        <v>0</v>
      </c>
      <c r="AY88" s="827">
        <f t="shared" si="92"/>
        <v>0</v>
      </c>
      <c r="AZ88" s="827">
        <f t="shared" si="88"/>
        <v>0</v>
      </c>
      <c r="BA88" s="828">
        <f t="shared" si="88"/>
        <v>0</v>
      </c>
      <c r="BB88" s="828">
        <f t="shared" si="88"/>
        <v>0</v>
      </c>
      <c r="BC88" s="828">
        <f t="shared" si="88"/>
        <v>0</v>
      </c>
      <c r="BD88" s="828">
        <f t="shared" si="88"/>
        <v>0</v>
      </c>
      <c r="BE88" s="824">
        <f t="shared" si="88"/>
        <v>15</v>
      </c>
      <c r="BF88" s="824">
        <f t="shared" si="88"/>
        <v>0</v>
      </c>
      <c r="BG88" s="824">
        <f t="shared" si="88"/>
        <v>16</v>
      </c>
      <c r="BH88" s="824">
        <f t="shared" si="88"/>
        <v>0</v>
      </c>
      <c r="BI88" s="824">
        <f t="shared" si="88"/>
        <v>0</v>
      </c>
      <c r="BJ88" s="824">
        <f t="shared" si="88"/>
        <v>0</v>
      </c>
      <c r="BK88" s="825">
        <f t="shared" si="88"/>
        <v>0</v>
      </c>
      <c r="BL88" s="825">
        <f t="shared" si="88"/>
        <v>0</v>
      </c>
      <c r="BM88" s="825">
        <f t="shared" si="88"/>
        <v>0</v>
      </c>
      <c r="BN88" s="825">
        <f t="shared" si="88"/>
        <v>150</v>
      </c>
      <c r="BO88" s="825">
        <f t="shared" si="88"/>
        <v>0</v>
      </c>
      <c r="BP88" s="825">
        <f t="shared" si="88"/>
        <v>0</v>
      </c>
      <c r="BQ88" s="825">
        <f t="shared" si="88"/>
        <v>0</v>
      </c>
      <c r="BR88" s="825">
        <f t="shared" ref="BR88" si="93">SUM(BR74:BR87)</f>
        <v>0</v>
      </c>
      <c r="BS88" s="825">
        <f t="shared" ref="BS88" si="94">SUM(BS74:BS87)</f>
        <v>0</v>
      </c>
      <c r="BT88" s="825">
        <f t="shared" si="88"/>
        <v>0</v>
      </c>
      <c r="BU88" s="825">
        <f t="shared" si="88"/>
        <v>0</v>
      </c>
      <c r="BV88" s="825">
        <f t="shared" si="88"/>
        <v>0</v>
      </c>
      <c r="BW88" s="826">
        <f t="shared" si="88"/>
        <v>0.5</v>
      </c>
      <c r="BX88" s="826">
        <f t="shared" si="88"/>
        <v>0.5</v>
      </c>
      <c r="BY88" s="826">
        <f t="shared" si="88"/>
        <v>0</v>
      </c>
      <c r="BZ88" s="826">
        <f t="shared" si="88"/>
        <v>0</v>
      </c>
      <c r="CA88" s="826">
        <f t="shared" si="88"/>
        <v>0</v>
      </c>
      <c r="CB88" s="826">
        <f t="shared" ref="CB88" si="95">SUM(CB74:CB87)</f>
        <v>0</v>
      </c>
      <c r="CC88" s="826">
        <f t="shared" si="88"/>
        <v>0</v>
      </c>
      <c r="CD88" s="826">
        <f t="shared" si="88"/>
        <v>0</v>
      </c>
      <c r="CE88" s="826">
        <f t="shared" si="88"/>
        <v>20</v>
      </c>
      <c r="CF88" s="826">
        <f t="shared" si="88"/>
        <v>0</v>
      </c>
      <c r="CG88" s="826">
        <f t="shared" si="88"/>
        <v>0</v>
      </c>
      <c r="CH88" s="826">
        <f t="shared" si="88"/>
        <v>0</v>
      </c>
      <c r="CI88" s="826">
        <f t="shared" si="88"/>
        <v>0</v>
      </c>
      <c r="CJ88" s="826">
        <f t="shared" si="88"/>
        <v>8</v>
      </c>
      <c r="CK88" s="826">
        <f t="shared" si="88"/>
        <v>8</v>
      </c>
      <c r="CL88" s="826">
        <f t="shared" si="88"/>
        <v>4</v>
      </c>
      <c r="CM88" s="826">
        <f t="shared" ref="CM88:DO88" si="96">SUM(CM74:CM87)</f>
        <v>0</v>
      </c>
      <c r="CN88" s="826">
        <f t="shared" si="96"/>
        <v>0</v>
      </c>
      <c r="CO88" s="827">
        <f t="shared" si="96"/>
        <v>0</v>
      </c>
      <c r="CP88" s="827">
        <f t="shared" si="96"/>
        <v>0</v>
      </c>
      <c r="CQ88" s="827">
        <f t="shared" si="96"/>
        <v>20</v>
      </c>
      <c r="CR88" s="827">
        <f t="shared" si="96"/>
        <v>0</v>
      </c>
      <c r="CS88" s="827">
        <f t="shared" si="96"/>
        <v>0</v>
      </c>
      <c r="CT88" s="827">
        <f t="shared" si="96"/>
        <v>0</v>
      </c>
      <c r="CU88" s="827">
        <f t="shared" si="96"/>
        <v>0</v>
      </c>
      <c r="CV88" s="827">
        <f t="shared" si="96"/>
        <v>0</v>
      </c>
      <c r="CW88" s="827">
        <f t="shared" si="96"/>
        <v>0</v>
      </c>
      <c r="CX88" s="827">
        <f t="shared" si="96"/>
        <v>0</v>
      </c>
      <c r="CY88" s="827">
        <f t="shared" si="96"/>
        <v>0</v>
      </c>
      <c r="CZ88" s="827">
        <f t="shared" si="96"/>
        <v>0</v>
      </c>
      <c r="DA88" s="827">
        <f t="shared" si="96"/>
        <v>0</v>
      </c>
      <c r="DB88" s="827">
        <f t="shared" si="96"/>
        <v>0</v>
      </c>
      <c r="DC88" s="824">
        <f t="shared" si="96"/>
        <v>0</v>
      </c>
      <c r="DD88" s="824">
        <f t="shared" si="96"/>
        <v>0</v>
      </c>
      <c r="DE88" s="824">
        <f t="shared" si="96"/>
        <v>0</v>
      </c>
      <c r="DF88" s="824">
        <f t="shared" si="96"/>
        <v>0</v>
      </c>
      <c r="DG88" s="824">
        <f t="shared" si="96"/>
        <v>0</v>
      </c>
      <c r="DH88" s="824">
        <f t="shared" si="96"/>
        <v>0</v>
      </c>
      <c r="DI88" s="824">
        <f t="shared" si="96"/>
        <v>0</v>
      </c>
      <c r="DJ88" s="824">
        <f t="shared" si="96"/>
        <v>0</v>
      </c>
      <c r="DK88" s="829">
        <f t="shared" si="96"/>
        <v>0</v>
      </c>
      <c r="DL88" s="830">
        <f t="shared" si="96"/>
        <v>729</v>
      </c>
      <c r="DM88" s="831">
        <f t="shared" si="96"/>
        <v>815</v>
      </c>
      <c r="DN88" s="831">
        <f t="shared" si="96"/>
        <v>150</v>
      </c>
      <c r="DO88" s="832">
        <f t="shared" si="96"/>
        <v>0</v>
      </c>
      <c r="DP88" s="833"/>
      <c r="DQ88" s="833"/>
      <c r="DR88" s="833"/>
      <c r="DS88" s="833"/>
    </row>
    <row r="89" spans="2:123" ht="32.1" hidden="1" customHeight="1" outlineLevel="1" x14ac:dyDescent="0.25">
      <c r="B89" s="813"/>
      <c r="C89" s="814"/>
      <c r="D89" s="799" t="s">
        <v>139</v>
      </c>
      <c r="E89" s="780" t="s">
        <v>136</v>
      </c>
      <c r="F89" s="278" t="s">
        <v>4</v>
      </c>
      <c r="G89" s="280" t="s">
        <v>139</v>
      </c>
      <c r="H89" s="351"/>
      <c r="I89" s="931" t="s">
        <v>141</v>
      </c>
      <c r="J89" s="281"/>
      <c r="K89" s="281">
        <v>15</v>
      </c>
      <c r="L89" s="281"/>
      <c r="M89" s="281"/>
      <c r="N89" s="281"/>
      <c r="O89" s="281"/>
      <c r="P89" s="281"/>
      <c r="Q89" s="281"/>
      <c r="R89" s="281"/>
      <c r="S89" s="281"/>
      <c r="T89" s="281"/>
      <c r="U89" s="282"/>
      <c r="V89" s="282"/>
      <c r="W89" s="282">
        <v>175</v>
      </c>
      <c r="X89" s="282">
        <v>10</v>
      </c>
      <c r="Y89" s="282">
        <v>15</v>
      </c>
      <c r="Z89" s="282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83"/>
      <c r="AQ89" s="283"/>
      <c r="AR89" s="283"/>
      <c r="AS89" s="283"/>
      <c r="AT89" s="283"/>
      <c r="AU89" s="284"/>
      <c r="AV89" s="284"/>
      <c r="AW89" s="284"/>
      <c r="AX89" s="284"/>
      <c r="AY89" s="284"/>
      <c r="AZ89" s="284"/>
      <c r="BA89" s="285"/>
      <c r="BB89" s="285"/>
      <c r="BC89" s="285"/>
      <c r="BD89" s="285"/>
      <c r="BE89" s="281"/>
      <c r="BF89" s="281"/>
      <c r="BG89" s="281">
        <v>5</v>
      </c>
      <c r="BH89" s="281"/>
      <c r="BI89" s="281"/>
      <c r="BJ89" s="286"/>
      <c r="BK89" s="282"/>
      <c r="BL89" s="282"/>
      <c r="BM89" s="282"/>
      <c r="BN89" s="282"/>
      <c r="BO89" s="282"/>
      <c r="BP89" s="282"/>
      <c r="BQ89" s="282"/>
      <c r="BR89" s="282"/>
      <c r="BS89" s="282"/>
      <c r="BT89" s="282"/>
      <c r="BU89" s="282"/>
      <c r="BV89" s="282"/>
      <c r="BW89" s="283"/>
      <c r="BX89" s="283"/>
      <c r="BY89" s="283"/>
      <c r="BZ89" s="283"/>
      <c r="CA89" s="283"/>
      <c r="CB89" s="283"/>
      <c r="CC89" s="283"/>
      <c r="CD89" s="283"/>
      <c r="CE89" s="283"/>
      <c r="CF89" s="283"/>
      <c r="CG89" s="283"/>
      <c r="CH89" s="287"/>
      <c r="CI89" s="283"/>
      <c r="CJ89" s="283"/>
      <c r="CK89" s="283"/>
      <c r="CL89" s="283"/>
      <c r="CM89" s="283"/>
      <c r="CN89" s="283"/>
      <c r="CO89" s="284"/>
      <c r="CP89" s="284"/>
      <c r="CQ89" s="284"/>
      <c r="CR89" s="284"/>
      <c r="CS89" s="572"/>
      <c r="CT89" s="542"/>
      <c r="CU89" s="542"/>
      <c r="CV89" s="542"/>
      <c r="CW89" s="542"/>
      <c r="CX89" s="542"/>
      <c r="CY89" s="543"/>
      <c r="CZ89" s="284"/>
      <c r="DA89" s="284"/>
      <c r="DB89" s="284"/>
      <c r="DC89" s="281"/>
      <c r="DD89" s="281"/>
      <c r="DE89" s="281"/>
      <c r="DF89" s="281"/>
      <c r="DG89" s="281"/>
      <c r="DH89" s="281"/>
      <c r="DI89" s="281"/>
      <c r="DJ89" s="281"/>
      <c r="DK89" s="629"/>
      <c r="DL89" s="495">
        <f t="shared" ref="DL89:DL100" si="97">SUM(J89:S89)*5+SUM(V89:AF89)+AH89*4+U89*2.5+AG89/0.75</f>
        <v>275</v>
      </c>
      <c r="DM89" s="84">
        <f t="shared" ref="DM89:DM100" si="98">SUM(J89:DK89)</f>
        <v>220</v>
      </c>
      <c r="DN89" s="84">
        <f t="shared" ref="DN89:DN100" si="99">SUM(BK89:BV89,)</f>
        <v>0</v>
      </c>
      <c r="DO89" s="125">
        <f t="shared" ref="DO89:DO100" si="100">SUM(AT89:AV89)+SUM(AW89:AZ89)*5</f>
        <v>0</v>
      </c>
    </row>
    <row r="90" spans="2:123" ht="32.1" hidden="1" customHeight="1" outlineLevel="1" x14ac:dyDescent="0.25">
      <c r="B90" s="813"/>
      <c r="C90" s="814"/>
      <c r="D90" s="805"/>
      <c r="E90" s="785"/>
      <c r="F90" s="278" t="s">
        <v>4</v>
      </c>
      <c r="G90" s="280" t="s">
        <v>139</v>
      </c>
      <c r="H90" s="351"/>
      <c r="I90" s="931" t="s">
        <v>56</v>
      </c>
      <c r="J90" s="281"/>
      <c r="K90" s="281"/>
      <c r="L90" s="281"/>
      <c r="M90" s="281"/>
      <c r="N90" s="281"/>
      <c r="O90" s="281"/>
      <c r="P90" s="281"/>
      <c r="Q90" s="281"/>
      <c r="R90" s="281"/>
      <c r="S90" s="281"/>
      <c r="T90" s="281"/>
      <c r="U90" s="282"/>
      <c r="V90" s="282"/>
      <c r="W90" s="282"/>
      <c r="X90" s="282"/>
      <c r="Y90" s="282"/>
      <c r="Z90" s="282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83">
        <v>50</v>
      </c>
      <c r="AQ90" s="283"/>
      <c r="AR90" s="283">
        <v>100</v>
      </c>
      <c r="AS90" s="283"/>
      <c r="AT90" s="283"/>
      <c r="AU90" s="284"/>
      <c r="AV90" s="284"/>
      <c r="AW90" s="284"/>
      <c r="AX90" s="284"/>
      <c r="AY90" s="284"/>
      <c r="AZ90" s="284"/>
      <c r="BA90" s="285"/>
      <c r="BB90" s="285"/>
      <c r="BC90" s="285"/>
      <c r="BD90" s="285"/>
      <c r="BE90" s="281"/>
      <c r="BF90" s="281"/>
      <c r="BG90" s="281"/>
      <c r="BH90" s="281"/>
      <c r="BI90" s="281"/>
      <c r="BJ90" s="286"/>
      <c r="BK90" s="282"/>
      <c r="BL90" s="282"/>
      <c r="BM90" s="282"/>
      <c r="BN90" s="282"/>
      <c r="BO90" s="282"/>
      <c r="BP90" s="282"/>
      <c r="BQ90" s="282"/>
      <c r="BR90" s="282"/>
      <c r="BS90" s="282"/>
      <c r="BT90" s="282"/>
      <c r="BU90" s="282"/>
      <c r="BV90" s="282"/>
      <c r="BW90" s="283"/>
      <c r="BX90" s="283"/>
      <c r="BY90" s="283"/>
      <c r="BZ90" s="283"/>
      <c r="CA90" s="283"/>
      <c r="CB90" s="283"/>
      <c r="CC90" s="283"/>
      <c r="CD90" s="283"/>
      <c r="CE90" s="283"/>
      <c r="CF90" s="283"/>
      <c r="CG90" s="283"/>
      <c r="CH90" s="287"/>
      <c r="CI90" s="283"/>
      <c r="CJ90" s="283"/>
      <c r="CK90" s="283"/>
      <c r="CL90" s="283"/>
      <c r="CM90" s="283"/>
      <c r="CN90" s="283"/>
      <c r="CO90" s="284"/>
      <c r="CP90" s="284"/>
      <c r="CQ90" s="284"/>
      <c r="CR90" s="284"/>
      <c r="CS90" s="572"/>
      <c r="CT90" s="542"/>
      <c r="CU90" s="542"/>
      <c r="CV90" s="542"/>
      <c r="CW90" s="542"/>
      <c r="CX90" s="542"/>
      <c r="CY90" s="543"/>
      <c r="CZ90" s="284"/>
      <c r="DA90" s="284"/>
      <c r="DB90" s="284"/>
      <c r="DC90" s="281"/>
      <c r="DD90" s="281"/>
      <c r="DE90" s="281"/>
      <c r="DF90" s="281"/>
      <c r="DG90" s="281"/>
      <c r="DH90" s="281"/>
      <c r="DI90" s="281"/>
      <c r="DJ90" s="281"/>
      <c r="DK90" s="629"/>
      <c r="DL90" s="495">
        <f t="shared" si="97"/>
        <v>0</v>
      </c>
      <c r="DM90" s="84">
        <f t="shared" si="98"/>
        <v>150</v>
      </c>
      <c r="DN90" s="84">
        <f t="shared" si="99"/>
        <v>0</v>
      </c>
      <c r="DO90" s="125">
        <f t="shared" si="100"/>
        <v>0</v>
      </c>
    </row>
    <row r="91" spans="2:123" ht="32.1" hidden="1" customHeight="1" outlineLevel="1" x14ac:dyDescent="0.25">
      <c r="B91" s="813"/>
      <c r="C91" s="814"/>
      <c r="D91" s="805"/>
      <c r="E91" s="785"/>
      <c r="F91" s="278" t="s">
        <v>4</v>
      </c>
      <c r="G91" s="280" t="s">
        <v>139</v>
      </c>
      <c r="H91" s="351"/>
      <c r="I91" s="932" t="s">
        <v>67</v>
      </c>
      <c r="J91" s="281"/>
      <c r="K91" s="281"/>
      <c r="L91" s="281"/>
      <c r="M91" s="281"/>
      <c r="N91" s="281"/>
      <c r="O91" s="281"/>
      <c r="P91" s="281"/>
      <c r="Q91" s="281"/>
      <c r="R91" s="281"/>
      <c r="S91" s="281"/>
      <c r="T91" s="281"/>
      <c r="U91" s="282"/>
      <c r="V91" s="282"/>
      <c r="W91" s="282"/>
      <c r="X91" s="282"/>
      <c r="Y91" s="282"/>
      <c r="Z91" s="282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83"/>
      <c r="AQ91" s="283"/>
      <c r="AR91" s="283"/>
      <c r="AS91" s="283"/>
      <c r="AT91" s="283"/>
      <c r="AU91" s="284"/>
      <c r="AV91" s="284"/>
      <c r="AW91" s="284"/>
      <c r="AX91" s="284"/>
      <c r="AY91" s="284"/>
      <c r="AZ91" s="284"/>
      <c r="BA91" s="285"/>
      <c r="BB91" s="285"/>
      <c r="BC91" s="285"/>
      <c r="BD91" s="285"/>
      <c r="BE91" s="281"/>
      <c r="BF91" s="281"/>
      <c r="BG91" s="281"/>
      <c r="BH91" s="281"/>
      <c r="BI91" s="281"/>
      <c r="BJ91" s="286"/>
      <c r="BK91" s="282"/>
      <c r="BL91" s="282"/>
      <c r="BM91" s="282"/>
      <c r="BN91" s="282"/>
      <c r="BO91" s="282"/>
      <c r="BP91" s="282"/>
      <c r="BQ91" s="282"/>
      <c r="BR91" s="282"/>
      <c r="BS91" s="282"/>
      <c r="BT91" s="282"/>
      <c r="BU91" s="282"/>
      <c r="BV91" s="282"/>
      <c r="BW91" s="283"/>
      <c r="BX91" s="283"/>
      <c r="BY91" s="283"/>
      <c r="BZ91" s="283"/>
      <c r="CA91" s="283"/>
      <c r="CB91" s="283"/>
      <c r="CC91" s="283"/>
      <c r="CD91" s="283"/>
      <c r="CE91" s="283"/>
      <c r="CF91" s="283"/>
      <c r="CG91" s="283"/>
      <c r="CH91" s="287"/>
      <c r="CI91" s="283"/>
      <c r="CJ91" s="283"/>
      <c r="CK91" s="283"/>
      <c r="CL91" s="283"/>
      <c r="CM91" s="283"/>
      <c r="CN91" s="283"/>
      <c r="CO91" s="284"/>
      <c r="CP91" s="284"/>
      <c r="CQ91" s="284"/>
      <c r="CR91" s="284"/>
      <c r="CS91" s="572"/>
      <c r="CT91" s="542"/>
      <c r="CU91" s="542"/>
      <c r="CV91" s="542"/>
      <c r="CW91" s="542"/>
      <c r="CX91" s="542"/>
      <c r="CY91" s="543"/>
      <c r="CZ91" s="284"/>
      <c r="DA91" s="284"/>
      <c r="DB91" s="284"/>
      <c r="DC91" s="281"/>
      <c r="DD91" s="281"/>
      <c r="DE91" s="281"/>
      <c r="DF91" s="281"/>
      <c r="DG91" s="281"/>
      <c r="DH91" s="281"/>
      <c r="DI91" s="281"/>
      <c r="DJ91" s="281"/>
      <c r="DK91" s="629"/>
      <c r="DL91" s="495">
        <f t="shared" si="97"/>
        <v>0</v>
      </c>
      <c r="DM91" s="84">
        <f t="shared" si="98"/>
        <v>0</v>
      </c>
      <c r="DN91" s="84">
        <f t="shared" si="99"/>
        <v>0</v>
      </c>
      <c r="DO91" s="125">
        <f t="shared" si="100"/>
        <v>0</v>
      </c>
    </row>
    <row r="92" spans="2:123" ht="32.1" hidden="1" customHeight="1" outlineLevel="1" thickBot="1" x14ac:dyDescent="0.3">
      <c r="B92" s="813"/>
      <c r="C92" s="814"/>
      <c r="D92" s="805"/>
      <c r="E92" s="785"/>
      <c r="F92" s="372" t="s">
        <v>4</v>
      </c>
      <c r="G92" s="373" t="s">
        <v>139</v>
      </c>
      <c r="H92" s="351"/>
      <c r="I92" s="933"/>
      <c r="J92" s="291"/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2"/>
      <c r="V92" s="292"/>
      <c r="W92" s="292"/>
      <c r="X92" s="292"/>
      <c r="Y92" s="292"/>
      <c r="Z92" s="292"/>
      <c r="AA92" s="292"/>
      <c r="AB92" s="292"/>
      <c r="AC92" s="292"/>
      <c r="AD92" s="292"/>
      <c r="AE92" s="292"/>
      <c r="AF92" s="292"/>
      <c r="AG92" s="292"/>
      <c r="AH92" s="292"/>
      <c r="AI92" s="292"/>
      <c r="AJ92" s="292"/>
      <c r="AK92" s="292"/>
      <c r="AL92" s="292"/>
      <c r="AM92" s="292"/>
      <c r="AN92" s="292"/>
      <c r="AO92" s="292"/>
      <c r="AP92" s="293"/>
      <c r="AQ92" s="293"/>
      <c r="AR92" s="293"/>
      <c r="AS92" s="293"/>
      <c r="AT92" s="293"/>
      <c r="AU92" s="294"/>
      <c r="AV92" s="294"/>
      <c r="AW92" s="294"/>
      <c r="AX92" s="294"/>
      <c r="AY92" s="294"/>
      <c r="AZ92" s="294"/>
      <c r="BA92" s="295"/>
      <c r="BB92" s="295"/>
      <c r="BC92" s="295"/>
      <c r="BD92" s="295"/>
      <c r="BE92" s="291"/>
      <c r="BF92" s="291"/>
      <c r="BG92" s="291"/>
      <c r="BH92" s="291"/>
      <c r="BI92" s="291"/>
      <c r="BJ92" s="296"/>
      <c r="BK92" s="292"/>
      <c r="BL92" s="292"/>
      <c r="BM92" s="292"/>
      <c r="BN92" s="292"/>
      <c r="BO92" s="292"/>
      <c r="BP92" s="292"/>
      <c r="BQ92" s="292"/>
      <c r="BR92" s="292"/>
      <c r="BS92" s="292"/>
      <c r="BT92" s="292"/>
      <c r="BU92" s="292"/>
      <c r="BV92" s="292"/>
      <c r="BW92" s="293"/>
      <c r="BX92" s="293"/>
      <c r="BY92" s="293"/>
      <c r="BZ92" s="293"/>
      <c r="CA92" s="293"/>
      <c r="CB92" s="293"/>
      <c r="CC92" s="293"/>
      <c r="CD92" s="293"/>
      <c r="CE92" s="293"/>
      <c r="CF92" s="293"/>
      <c r="CG92" s="293"/>
      <c r="CH92" s="297"/>
      <c r="CI92" s="293"/>
      <c r="CJ92" s="293"/>
      <c r="CK92" s="293"/>
      <c r="CL92" s="293"/>
      <c r="CM92" s="293"/>
      <c r="CN92" s="293"/>
      <c r="CO92" s="294"/>
      <c r="CP92" s="294"/>
      <c r="CQ92" s="294"/>
      <c r="CR92" s="294"/>
      <c r="CS92" s="573"/>
      <c r="CT92" s="544"/>
      <c r="CU92" s="544"/>
      <c r="CV92" s="544"/>
      <c r="CW92" s="544"/>
      <c r="CX92" s="544"/>
      <c r="CY92" s="545"/>
      <c r="CZ92" s="294"/>
      <c r="DA92" s="294"/>
      <c r="DB92" s="294"/>
      <c r="DC92" s="291"/>
      <c r="DD92" s="291"/>
      <c r="DE92" s="291"/>
      <c r="DF92" s="291"/>
      <c r="DG92" s="291"/>
      <c r="DH92" s="291"/>
      <c r="DI92" s="291"/>
      <c r="DJ92" s="291"/>
      <c r="DK92" s="630"/>
      <c r="DL92" s="496">
        <f t="shared" si="97"/>
        <v>0</v>
      </c>
      <c r="DM92" s="120">
        <f t="shared" si="98"/>
        <v>0</v>
      </c>
      <c r="DN92" s="120">
        <f t="shared" si="99"/>
        <v>0</v>
      </c>
      <c r="DO92" s="358">
        <f t="shared" si="100"/>
        <v>0</v>
      </c>
    </row>
    <row r="93" spans="2:123" ht="32.1" hidden="1" customHeight="1" outlineLevel="1" thickBot="1" x14ac:dyDescent="0.3">
      <c r="B93" s="813"/>
      <c r="C93" s="814"/>
      <c r="D93" s="805"/>
      <c r="E93" s="779" t="s">
        <v>137</v>
      </c>
      <c r="F93" s="268" t="s">
        <v>4</v>
      </c>
      <c r="G93" s="270" t="s">
        <v>139</v>
      </c>
      <c r="H93" s="443"/>
      <c r="I93" s="934" t="s">
        <v>224</v>
      </c>
      <c r="J93" s="379">
        <v>85</v>
      </c>
      <c r="K93" s="379"/>
      <c r="L93" s="379"/>
      <c r="M93" s="379"/>
      <c r="N93" s="379"/>
      <c r="O93" s="379"/>
      <c r="P93" s="379"/>
      <c r="Q93" s="379"/>
      <c r="R93" s="379"/>
      <c r="S93" s="379"/>
      <c r="T93" s="379"/>
      <c r="U93" s="380"/>
      <c r="V93" s="380"/>
      <c r="W93" s="380"/>
      <c r="X93" s="380"/>
      <c r="Y93" s="380"/>
      <c r="Z93" s="380"/>
      <c r="AA93" s="380"/>
      <c r="AB93" s="380"/>
      <c r="AC93" s="380"/>
      <c r="AD93" s="380"/>
      <c r="AE93" s="380"/>
      <c r="AF93" s="380"/>
      <c r="AG93" s="380"/>
      <c r="AH93" s="380"/>
      <c r="AI93" s="380"/>
      <c r="AJ93" s="380"/>
      <c r="AK93" s="380"/>
      <c r="AL93" s="380"/>
      <c r="AM93" s="380"/>
      <c r="AN93" s="380"/>
      <c r="AO93" s="380"/>
      <c r="AP93" s="381"/>
      <c r="AQ93" s="381"/>
      <c r="AR93" s="381"/>
      <c r="AS93" s="381"/>
      <c r="AT93" s="381"/>
      <c r="AU93" s="382"/>
      <c r="AV93" s="382"/>
      <c r="AW93" s="382"/>
      <c r="AX93" s="382"/>
      <c r="AY93" s="382"/>
      <c r="AZ93" s="382"/>
      <c r="BA93" s="383"/>
      <c r="BB93" s="383"/>
      <c r="BC93" s="383"/>
      <c r="BD93" s="383"/>
      <c r="BE93" s="379"/>
      <c r="BF93" s="379">
        <v>15</v>
      </c>
      <c r="BG93" s="379"/>
      <c r="BH93" s="379"/>
      <c r="BI93" s="379"/>
      <c r="BJ93" s="384"/>
      <c r="BK93" s="380"/>
      <c r="BL93" s="380"/>
      <c r="BM93" s="380"/>
      <c r="BN93" s="380"/>
      <c r="BO93" s="380"/>
      <c r="BP93" s="380"/>
      <c r="BQ93" s="380"/>
      <c r="BR93" s="380"/>
      <c r="BS93" s="380"/>
      <c r="BT93" s="380"/>
      <c r="BU93" s="380"/>
      <c r="BV93" s="380"/>
      <c r="BW93" s="381"/>
      <c r="BX93" s="381"/>
      <c r="BY93" s="381"/>
      <c r="BZ93" s="381"/>
      <c r="CA93" s="381"/>
      <c r="CB93" s="381"/>
      <c r="CC93" s="381"/>
      <c r="CD93" s="381"/>
      <c r="CE93" s="381"/>
      <c r="CF93" s="381"/>
      <c r="CG93" s="381"/>
      <c r="CH93" s="386"/>
      <c r="CI93" s="381"/>
      <c r="CJ93" s="381"/>
      <c r="CK93" s="381"/>
      <c r="CL93" s="381"/>
      <c r="CM93" s="381"/>
      <c r="CN93" s="381"/>
      <c r="CO93" s="382"/>
      <c r="CP93" s="382"/>
      <c r="CQ93" s="382"/>
      <c r="CR93" s="382"/>
      <c r="CS93" s="574"/>
      <c r="CT93" s="546"/>
      <c r="CU93" s="546"/>
      <c r="CV93" s="546"/>
      <c r="CW93" s="546"/>
      <c r="CX93" s="546"/>
      <c r="CY93" s="547"/>
      <c r="CZ93" s="382"/>
      <c r="DA93" s="382"/>
      <c r="DB93" s="382"/>
      <c r="DC93" s="379"/>
      <c r="DD93" s="379"/>
      <c r="DE93" s="379"/>
      <c r="DF93" s="379"/>
      <c r="DG93" s="379"/>
      <c r="DH93" s="379"/>
      <c r="DI93" s="379"/>
      <c r="DJ93" s="379"/>
      <c r="DK93" s="631"/>
      <c r="DL93" s="494">
        <f t="shared" si="97"/>
        <v>425</v>
      </c>
      <c r="DM93" s="122">
        <f t="shared" si="98"/>
        <v>100</v>
      </c>
      <c r="DN93" s="122">
        <f t="shared" si="99"/>
        <v>0</v>
      </c>
      <c r="DO93" s="124">
        <f t="shared" si="100"/>
        <v>0</v>
      </c>
    </row>
    <row r="94" spans="2:123" ht="32.1" hidden="1" customHeight="1" outlineLevel="1" thickBot="1" x14ac:dyDescent="0.3">
      <c r="B94" s="813"/>
      <c r="C94" s="814"/>
      <c r="D94" s="805"/>
      <c r="E94" s="779"/>
      <c r="F94" s="278" t="s">
        <v>4</v>
      </c>
      <c r="G94" s="280" t="s">
        <v>139</v>
      </c>
      <c r="H94" s="351"/>
      <c r="I94" s="931" t="s">
        <v>189</v>
      </c>
      <c r="J94" s="281"/>
      <c r="K94" s="281"/>
      <c r="L94" s="281"/>
      <c r="M94" s="281"/>
      <c r="N94" s="281"/>
      <c r="O94" s="281"/>
      <c r="P94" s="281"/>
      <c r="Q94" s="281"/>
      <c r="R94" s="281"/>
      <c r="S94" s="281"/>
      <c r="T94" s="281"/>
      <c r="U94" s="282"/>
      <c r="V94" s="282"/>
      <c r="W94" s="282"/>
      <c r="X94" s="282"/>
      <c r="Y94" s="282"/>
      <c r="Z94" s="282"/>
      <c r="AA94" s="282"/>
      <c r="AB94" s="282"/>
      <c r="AC94" s="282"/>
      <c r="AD94" s="282"/>
      <c r="AE94" s="282"/>
      <c r="AF94" s="282"/>
      <c r="AG94" s="282"/>
      <c r="AH94" s="282"/>
      <c r="AI94" s="282"/>
      <c r="AJ94" s="282"/>
      <c r="AK94" s="282"/>
      <c r="AL94" s="282"/>
      <c r="AM94" s="282"/>
      <c r="AN94" s="282"/>
      <c r="AO94" s="282"/>
      <c r="AP94" s="283">
        <v>6</v>
      </c>
      <c r="AQ94" s="283"/>
      <c r="AR94" s="283"/>
      <c r="AS94" s="283"/>
      <c r="AT94" s="283"/>
      <c r="AU94" s="284"/>
      <c r="AV94" s="284"/>
      <c r="AW94" s="284"/>
      <c r="AX94" s="284"/>
      <c r="AY94" s="284"/>
      <c r="AZ94" s="284"/>
      <c r="BA94" s="285"/>
      <c r="BB94" s="285"/>
      <c r="BC94" s="285"/>
      <c r="BD94" s="285"/>
      <c r="BE94" s="281"/>
      <c r="BF94" s="281"/>
      <c r="BG94" s="281">
        <v>5</v>
      </c>
      <c r="BH94" s="281"/>
      <c r="BI94" s="281"/>
      <c r="BJ94" s="286"/>
      <c r="BK94" s="282"/>
      <c r="BL94" s="282"/>
      <c r="BM94" s="282"/>
      <c r="BN94" s="282"/>
      <c r="BO94" s="282">
        <v>120</v>
      </c>
      <c r="BP94" s="282"/>
      <c r="BQ94" s="282"/>
      <c r="BR94" s="282"/>
      <c r="BS94" s="282"/>
      <c r="BT94" s="282"/>
      <c r="BU94" s="282"/>
      <c r="BV94" s="282"/>
      <c r="BW94" s="283"/>
      <c r="BX94" s="283"/>
      <c r="BY94" s="283"/>
      <c r="BZ94" s="283"/>
      <c r="CA94" s="283"/>
      <c r="CB94" s="283"/>
      <c r="CC94" s="283"/>
      <c r="CD94" s="283"/>
      <c r="CE94" s="283"/>
      <c r="CF94" s="283"/>
      <c r="CG94" s="283"/>
      <c r="CH94" s="287"/>
      <c r="CI94" s="283"/>
      <c r="CJ94" s="283"/>
      <c r="CK94" s="283"/>
      <c r="CL94" s="283"/>
      <c r="CM94" s="283"/>
      <c r="CN94" s="283"/>
      <c r="CO94" s="284"/>
      <c r="CP94" s="284"/>
      <c r="CQ94" s="284"/>
      <c r="CR94" s="284"/>
      <c r="CS94" s="572"/>
      <c r="CT94" s="542"/>
      <c r="CU94" s="542"/>
      <c r="CV94" s="542"/>
      <c r="CW94" s="542"/>
      <c r="CX94" s="542"/>
      <c r="CY94" s="543"/>
      <c r="CZ94" s="284"/>
      <c r="DA94" s="284"/>
      <c r="DB94" s="284"/>
      <c r="DC94" s="281"/>
      <c r="DD94" s="281"/>
      <c r="DE94" s="281"/>
      <c r="DF94" s="281"/>
      <c r="DG94" s="281"/>
      <c r="DH94" s="281"/>
      <c r="DI94" s="281"/>
      <c r="DJ94" s="281"/>
      <c r="DK94" s="629"/>
      <c r="DL94" s="495">
        <f t="shared" si="97"/>
        <v>0</v>
      </c>
      <c r="DM94" s="84">
        <f t="shared" si="98"/>
        <v>131</v>
      </c>
      <c r="DN94" s="84">
        <f t="shared" si="99"/>
        <v>120</v>
      </c>
      <c r="DO94" s="125">
        <f t="shared" si="100"/>
        <v>0</v>
      </c>
    </row>
    <row r="95" spans="2:123" ht="32.1" hidden="1" customHeight="1" outlineLevel="1" thickBot="1" x14ac:dyDescent="0.3">
      <c r="B95" s="813"/>
      <c r="C95" s="814"/>
      <c r="D95" s="805"/>
      <c r="E95" s="779"/>
      <c r="F95" s="278" t="s">
        <v>4</v>
      </c>
      <c r="G95" s="280" t="s">
        <v>139</v>
      </c>
      <c r="H95" s="351"/>
      <c r="I95" s="931" t="s">
        <v>176</v>
      </c>
      <c r="J95" s="281"/>
      <c r="K95" s="281"/>
      <c r="L95" s="281"/>
      <c r="M95" s="281"/>
      <c r="N95" s="281"/>
      <c r="O95" s="281"/>
      <c r="P95" s="281"/>
      <c r="Q95" s="281"/>
      <c r="R95" s="281"/>
      <c r="S95" s="281"/>
      <c r="T95" s="281"/>
      <c r="U95" s="282"/>
      <c r="V95" s="282"/>
      <c r="W95" s="282"/>
      <c r="X95" s="282"/>
      <c r="Y95" s="282"/>
      <c r="Z95" s="282"/>
      <c r="AA95" s="282"/>
      <c r="AB95" s="282"/>
      <c r="AC95" s="282"/>
      <c r="AD95" s="282"/>
      <c r="AE95" s="282"/>
      <c r="AF95" s="282"/>
      <c r="AG95" s="282"/>
      <c r="AH95" s="282"/>
      <c r="AI95" s="282"/>
      <c r="AJ95" s="282"/>
      <c r="AK95" s="282"/>
      <c r="AL95" s="282"/>
      <c r="AM95" s="282"/>
      <c r="AN95" s="282"/>
      <c r="AO95" s="282"/>
      <c r="AP95" s="283"/>
      <c r="AQ95" s="283"/>
      <c r="AR95" s="283"/>
      <c r="AS95" s="283"/>
      <c r="AT95" s="283"/>
      <c r="AU95" s="284"/>
      <c r="AV95" s="284"/>
      <c r="AW95" s="284"/>
      <c r="AX95" s="284"/>
      <c r="AY95" s="284"/>
      <c r="AZ95" s="284"/>
      <c r="BA95" s="285"/>
      <c r="BB95" s="285"/>
      <c r="BC95" s="285"/>
      <c r="BD95" s="285"/>
      <c r="BE95" s="281"/>
      <c r="BF95" s="281"/>
      <c r="BG95" s="281"/>
      <c r="BH95" s="281"/>
      <c r="BI95" s="281"/>
      <c r="BJ95" s="286"/>
      <c r="BK95" s="282"/>
      <c r="BL95" s="282"/>
      <c r="BM95" s="282"/>
      <c r="BN95" s="282"/>
      <c r="BO95" s="282"/>
      <c r="BP95" s="282"/>
      <c r="BQ95" s="282"/>
      <c r="BR95" s="282"/>
      <c r="BS95" s="282"/>
      <c r="BT95" s="282"/>
      <c r="BU95" s="282"/>
      <c r="BV95" s="282"/>
      <c r="BW95" s="283"/>
      <c r="BX95" s="283"/>
      <c r="BY95" s="283"/>
      <c r="BZ95" s="283"/>
      <c r="CA95" s="283"/>
      <c r="CB95" s="283"/>
      <c r="CC95" s="283"/>
      <c r="CD95" s="283"/>
      <c r="CE95" s="283"/>
      <c r="CF95" s="283"/>
      <c r="CG95" s="283"/>
      <c r="CH95" s="287"/>
      <c r="CI95" s="283"/>
      <c r="CJ95" s="283"/>
      <c r="CK95" s="283"/>
      <c r="CL95" s="283"/>
      <c r="CM95" s="283"/>
      <c r="CN95" s="283"/>
      <c r="CO95" s="284"/>
      <c r="CP95" s="284"/>
      <c r="CQ95" s="284"/>
      <c r="CR95" s="284"/>
      <c r="CS95" s="572"/>
      <c r="CT95" s="542"/>
      <c r="CU95" s="542"/>
      <c r="CV95" s="542"/>
      <c r="CW95" s="542"/>
      <c r="CX95" s="542"/>
      <c r="CY95" s="543"/>
      <c r="CZ95" s="284"/>
      <c r="DA95" s="284"/>
      <c r="DB95" s="284"/>
      <c r="DC95" s="281"/>
      <c r="DD95" s="281"/>
      <c r="DE95" s="281"/>
      <c r="DF95" s="281"/>
      <c r="DG95" s="281"/>
      <c r="DH95" s="281"/>
      <c r="DI95" s="281"/>
      <c r="DJ95" s="281"/>
      <c r="DK95" s="629"/>
      <c r="DL95" s="495">
        <f t="shared" si="97"/>
        <v>0</v>
      </c>
      <c r="DM95" s="84">
        <f t="shared" si="98"/>
        <v>0</v>
      </c>
      <c r="DN95" s="84">
        <f t="shared" si="99"/>
        <v>0</v>
      </c>
      <c r="DO95" s="125">
        <f t="shared" si="100"/>
        <v>0</v>
      </c>
    </row>
    <row r="96" spans="2:123" ht="32.1" hidden="1" customHeight="1" outlineLevel="1" thickBot="1" x14ac:dyDescent="0.3">
      <c r="B96" s="813"/>
      <c r="C96" s="814"/>
      <c r="D96" s="805"/>
      <c r="E96" s="779"/>
      <c r="F96" s="288" t="s">
        <v>4</v>
      </c>
      <c r="G96" s="290" t="s">
        <v>139</v>
      </c>
      <c r="H96" s="445"/>
      <c r="I96" s="935"/>
      <c r="J96" s="387"/>
      <c r="K96" s="387"/>
      <c r="L96" s="387"/>
      <c r="M96" s="387"/>
      <c r="N96" s="387"/>
      <c r="O96" s="387"/>
      <c r="P96" s="387"/>
      <c r="Q96" s="387"/>
      <c r="R96" s="387"/>
      <c r="S96" s="387"/>
      <c r="T96" s="387"/>
      <c r="U96" s="388"/>
      <c r="V96" s="388"/>
      <c r="W96" s="388"/>
      <c r="X96" s="388"/>
      <c r="Y96" s="388"/>
      <c r="Z96" s="388"/>
      <c r="AA96" s="388"/>
      <c r="AB96" s="388"/>
      <c r="AC96" s="388"/>
      <c r="AD96" s="388"/>
      <c r="AE96" s="388"/>
      <c r="AF96" s="388"/>
      <c r="AG96" s="388"/>
      <c r="AH96" s="388"/>
      <c r="AI96" s="388"/>
      <c r="AJ96" s="388"/>
      <c r="AK96" s="388"/>
      <c r="AL96" s="388"/>
      <c r="AM96" s="388"/>
      <c r="AN96" s="388"/>
      <c r="AO96" s="388"/>
      <c r="AP96" s="389"/>
      <c r="AQ96" s="389"/>
      <c r="AR96" s="389"/>
      <c r="AS96" s="389"/>
      <c r="AT96" s="389"/>
      <c r="AU96" s="390"/>
      <c r="AV96" s="390"/>
      <c r="AW96" s="390"/>
      <c r="AX96" s="390"/>
      <c r="AY96" s="390"/>
      <c r="AZ96" s="390"/>
      <c r="BA96" s="391"/>
      <c r="BB96" s="391"/>
      <c r="BC96" s="391"/>
      <c r="BD96" s="391"/>
      <c r="BE96" s="387"/>
      <c r="BF96" s="387"/>
      <c r="BG96" s="387"/>
      <c r="BH96" s="387"/>
      <c r="BI96" s="387"/>
      <c r="BJ96" s="392"/>
      <c r="BK96" s="388"/>
      <c r="BL96" s="388"/>
      <c r="BM96" s="388"/>
      <c r="BN96" s="388"/>
      <c r="BO96" s="388"/>
      <c r="BP96" s="388"/>
      <c r="BQ96" s="388"/>
      <c r="BR96" s="388"/>
      <c r="BS96" s="388"/>
      <c r="BT96" s="388"/>
      <c r="BU96" s="388"/>
      <c r="BV96" s="388"/>
      <c r="BW96" s="389"/>
      <c r="BX96" s="389"/>
      <c r="BY96" s="389"/>
      <c r="BZ96" s="389"/>
      <c r="CA96" s="389"/>
      <c r="CB96" s="389"/>
      <c r="CC96" s="389"/>
      <c r="CD96" s="389"/>
      <c r="CE96" s="389"/>
      <c r="CF96" s="389"/>
      <c r="CG96" s="389"/>
      <c r="CH96" s="394"/>
      <c r="CI96" s="389"/>
      <c r="CJ96" s="389"/>
      <c r="CK96" s="389"/>
      <c r="CL96" s="389"/>
      <c r="CM96" s="389"/>
      <c r="CN96" s="389"/>
      <c r="CO96" s="390"/>
      <c r="CP96" s="390"/>
      <c r="CQ96" s="390"/>
      <c r="CR96" s="390"/>
      <c r="CS96" s="575"/>
      <c r="CT96" s="548"/>
      <c r="CU96" s="548"/>
      <c r="CV96" s="548"/>
      <c r="CW96" s="548"/>
      <c r="CX96" s="548"/>
      <c r="CY96" s="549"/>
      <c r="CZ96" s="390"/>
      <c r="DA96" s="390"/>
      <c r="DB96" s="390"/>
      <c r="DC96" s="387"/>
      <c r="DD96" s="387"/>
      <c r="DE96" s="387"/>
      <c r="DF96" s="387"/>
      <c r="DG96" s="387"/>
      <c r="DH96" s="387"/>
      <c r="DI96" s="387"/>
      <c r="DJ96" s="387"/>
      <c r="DK96" s="632"/>
      <c r="DL96" s="497">
        <f t="shared" si="97"/>
        <v>0</v>
      </c>
      <c r="DM96" s="126">
        <f t="shared" si="98"/>
        <v>0</v>
      </c>
      <c r="DN96" s="126">
        <f t="shared" si="99"/>
        <v>0</v>
      </c>
      <c r="DO96" s="127">
        <f t="shared" si="100"/>
        <v>0</v>
      </c>
    </row>
    <row r="97" spans="2:123" ht="32.1" hidden="1" customHeight="1" outlineLevel="1" thickBot="1" x14ac:dyDescent="0.3">
      <c r="B97" s="813"/>
      <c r="C97" s="814"/>
      <c r="D97" s="805"/>
      <c r="E97" s="778" t="s">
        <v>138</v>
      </c>
      <c r="F97" s="375" t="s">
        <v>4</v>
      </c>
      <c r="G97" s="376" t="s">
        <v>139</v>
      </c>
      <c r="H97" s="351"/>
      <c r="I97" s="932" t="s">
        <v>86</v>
      </c>
      <c r="J97" s="271"/>
      <c r="K97" s="271"/>
      <c r="L97" s="271"/>
      <c r="M97" s="271"/>
      <c r="N97" s="271"/>
      <c r="O97" s="271"/>
      <c r="P97" s="271"/>
      <c r="Q97" s="271"/>
      <c r="R97" s="271"/>
      <c r="S97" s="271"/>
      <c r="T97" s="271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  <c r="AF97" s="272"/>
      <c r="AG97" s="272"/>
      <c r="AH97" s="272"/>
      <c r="AI97" s="272"/>
      <c r="AJ97" s="272"/>
      <c r="AK97" s="272"/>
      <c r="AL97" s="272"/>
      <c r="AM97" s="272"/>
      <c r="AN97" s="272"/>
      <c r="AO97" s="272"/>
      <c r="AP97" s="273"/>
      <c r="AQ97" s="273"/>
      <c r="AR97" s="273"/>
      <c r="AS97" s="273"/>
      <c r="AT97" s="273"/>
      <c r="AU97" s="274"/>
      <c r="AV97" s="274"/>
      <c r="AW97" s="274"/>
      <c r="AX97" s="274"/>
      <c r="AY97" s="274"/>
      <c r="AZ97" s="274"/>
      <c r="BA97" s="275"/>
      <c r="BB97" s="275"/>
      <c r="BC97" s="275"/>
      <c r="BD97" s="275"/>
      <c r="BE97" s="271"/>
      <c r="BF97" s="271"/>
      <c r="BG97" s="271"/>
      <c r="BH97" s="271"/>
      <c r="BI97" s="271"/>
      <c r="BJ97" s="276"/>
      <c r="BK97" s="272"/>
      <c r="BL97" s="272"/>
      <c r="BM97" s="272"/>
      <c r="BN97" s="272"/>
      <c r="BO97" s="272"/>
      <c r="BP97" s="272"/>
      <c r="BQ97" s="272"/>
      <c r="BR97" s="272"/>
      <c r="BS97" s="272"/>
      <c r="BT97" s="272"/>
      <c r="BU97" s="272"/>
      <c r="BV97" s="272"/>
      <c r="BW97" s="273"/>
      <c r="BX97" s="273"/>
      <c r="BY97" s="273"/>
      <c r="BZ97" s="273"/>
      <c r="CA97" s="273"/>
      <c r="CB97" s="273"/>
      <c r="CC97" s="273"/>
      <c r="CD97" s="273"/>
      <c r="CE97" s="273"/>
      <c r="CF97" s="273"/>
      <c r="CG97" s="273"/>
      <c r="CH97" s="277">
        <v>200</v>
      </c>
      <c r="CI97" s="273"/>
      <c r="CJ97" s="273"/>
      <c r="CK97" s="273"/>
      <c r="CL97" s="273"/>
      <c r="CM97" s="273"/>
      <c r="CN97" s="273"/>
      <c r="CO97" s="274"/>
      <c r="CP97" s="274"/>
      <c r="CQ97" s="274"/>
      <c r="CR97" s="274"/>
      <c r="CS97" s="576"/>
      <c r="CT97" s="540"/>
      <c r="CU97" s="540"/>
      <c r="CV97" s="540"/>
      <c r="CW97" s="540"/>
      <c r="CX97" s="540"/>
      <c r="CY97" s="541"/>
      <c r="CZ97" s="274"/>
      <c r="DA97" s="274"/>
      <c r="DB97" s="274"/>
      <c r="DC97" s="271"/>
      <c r="DD97" s="271"/>
      <c r="DE97" s="271"/>
      <c r="DF97" s="271"/>
      <c r="DG97" s="271"/>
      <c r="DH97" s="271"/>
      <c r="DI97" s="271"/>
      <c r="DJ97" s="271"/>
      <c r="DK97" s="628"/>
      <c r="DL97" s="498">
        <f t="shared" si="97"/>
        <v>0</v>
      </c>
      <c r="DM97" s="121">
        <f t="shared" si="98"/>
        <v>200</v>
      </c>
      <c r="DN97" s="121">
        <f t="shared" si="99"/>
        <v>0</v>
      </c>
      <c r="DO97" s="357">
        <f t="shared" si="100"/>
        <v>0</v>
      </c>
    </row>
    <row r="98" spans="2:123" ht="32.1" hidden="1" customHeight="1" outlineLevel="1" thickBot="1" x14ac:dyDescent="0.3">
      <c r="B98" s="813"/>
      <c r="C98" s="814"/>
      <c r="D98" s="805"/>
      <c r="E98" s="779"/>
      <c r="F98" s="278" t="s">
        <v>4</v>
      </c>
      <c r="G98" s="280" t="s">
        <v>139</v>
      </c>
      <c r="H98" s="351"/>
      <c r="I98" s="931"/>
      <c r="J98" s="281"/>
      <c r="K98" s="281"/>
      <c r="L98" s="281"/>
      <c r="M98" s="281"/>
      <c r="N98" s="281"/>
      <c r="O98" s="281"/>
      <c r="P98" s="281"/>
      <c r="Q98" s="281"/>
      <c r="R98" s="281"/>
      <c r="S98" s="281"/>
      <c r="T98" s="281"/>
      <c r="U98" s="282"/>
      <c r="V98" s="282"/>
      <c r="W98" s="282"/>
      <c r="X98" s="282"/>
      <c r="Y98" s="282"/>
      <c r="Z98" s="282"/>
      <c r="AA98" s="282"/>
      <c r="AB98" s="282"/>
      <c r="AC98" s="282"/>
      <c r="AD98" s="282"/>
      <c r="AE98" s="282"/>
      <c r="AF98" s="282"/>
      <c r="AG98" s="282"/>
      <c r="AH98" s="282"/>
      <c r="AI98" s="282"/>
      <c r="AJ98" s="282"/>
      <c r="AK98" s="282"/>
      <c r="AL98" s="282"/>
      <c r="AM98" s="282"/>
      <c r="AN98" s="282"/>
      <c r="AO98" s="282"/>
      <c r="AP98" s="283"/>
      <c r="AQ98" s="283"/>
      <c r="AR98" s="283"/>
      <c r="AS98" s="283"/>
      <c r="AT98" s="283"/>
      <c r="AU98" s="284"/>
      <c r="AV98" s="284"/>
      <c r="AW98" s="284"/>
      <c r="AX98" s="284"/>
      <c r="AY98" s="284"/>
      <c r="AZ98" s="284"/>
      <c r="BA98" s="285"/>
      <c r="BB98" s="285"/>
      <c r="BC98" s="285"/>
      <c r="BD98" s="285"/>
      <c r="BE98" s="281"/>
      <c r="BF98" s="281"/>
      <c r="BG98" s="281"/>
      <c r="BH98" s="281"/>
      <c r="BI98" s="281"/>
      <c r="BJ98" s="286"/>
      <c r="BK98" s="282"/>
      <c r="BL98" s="282"/>
      <c r="BM98" s="282"/>
      <c r="BN98" s="282"/>
      <c r="BO98" s="282"/>
      <c r="BP98" s="282"/>
      <c r="BQ98" s="282"/>
      <c r="BR98" s="282"/>
      <c r="BS98" s="282"/>
      <c r="BT98" s="282"/>
      <c r="BU98" s="282"/>
      <c r="BV98" s="282"/>
      <c r="BW98" s="283"/>
      <c r="BX98" s="283"/>
      <c r="BY98" s="283"/>
      <c r="BZ98" s="283"/>
      <c r="CA98" s="283"/>
      <c r="CB98" s="283"/>
      <c r="CC98" s="283"/>
      <c r="CD98" s="283"/>
      <c r="CE98" s="283"/>
      <c r="CF98" s="283"/>
      <c r="CG98" s="283"/>
      <c r="CH98" s="287"/>
      <c r="CI98" s="283"/>
      <c r="CJ98" s="283"/>
      <c r="CK98" s="283"/>
      <c r="CL98" s="283"/>
      <c r="CM98" s="283"/>
      <c r="CN98" s="283"/>
      <c r="CO98" s="284"/>
      <c r="CP98" s="284"/>
      <c r="CQ98" s="284"/>
      <c r="CR98" s="284"/>
      <c r="CS98" s="572"/>
      <c r="CT98" s="542"/>
      <c r="CU98" s="542"/>
      <c r="CV98" s="542"/>
      <c r="CW98" s="542"/>
      <c r="CX98" s="542"/>
      <c r="CY98" s="543"/>
      <c r="CZ98" s="284"/>
      <c r="DA98" s="284"/>
      <c r="DB98" s="284"/>
      <c r="DC98" s="281"/>
      <c r="DD98" s="281"/>
      <c r="DE98" s="281"/>
      <c r="DF98" s="281"/>
      <c r="DG98" s="281"/>
      <c r="DH98" s="281"/>
      <c r="DI98" s="281"/>
      <c r="DJ98" s="281"/>
      <c r="DK98" s="629"/>
      <c r="DL98" s="495">
        <f t="shared" si="97"/>
        <v>0</v>
      </c>
      <c r="DM98" s="84">
        <f t="shared" si="98"/>
        <v>0</v>
      </c>
      <c r="DN98" s="84">
        <f t="shared" si="99"/>
        <v>0</v>
      </c>
      <c r="DO98" s="125">
        <f t="shared" si="100"/>
        <v>0</v>
      </c>
    </row>
    <row r="99" spans="2:123" ht="32.1" hidden="1" customHeight="1" outlineLevel="1" thickBot="1" x14ac:dyDescent="0.3">
      <c r="B99" s="813"/>
      <c r="C99" s="814"/>
      <c r="D99" s="805"/>
      <c r="E99" s="779"/>
      <c r="F99" s="278" t="s">
        <v>4</v>
      </c>
      <c r="G99" s="280" t="s">
        <v>139</v>
      </c>
      <c r="H99" s="351"/>
      <c r="I99" s="931"/>
      <c r="J99" s="281"/>
      <c r="K99" s="281"/>
      <c r="L99" s="281"/>
      <c r="M99" s="281"/>
      <c r="N99" s="281"/>
      <c r="O99" s="281"/>
      <c r="P99" s="281"/>
      <c r="Q99" s="281"/>
      <c r="R99" s="281"/>
      <c r="S99" s="281"/>
      <c r="T99" s="281"/>
      <c r="U99" s="282"/>
      <c r="V99" s="282"/>
      <c r="W99" s="282"/>
      <c r="X99" s="282"/>
      <c r="Y99" s="282"/>
      <c r="Z99" s="282"/>
      <c r="AA99" s="282"/>
      <c r="AB99" s="282"/>
      <c r="AC99" s="282"/>
      <c r="AD99" s="282"/>
      <c r="AE99" s="282"/>
      <c r="AF99" s="282"/>
      <c r="AG99" s="282"/>
      <c r="AH99" s="282"/>
      <c r="AI99" s="282"/>
      <c r="AJ99" s="282"/>
      <c r="AK99" s="282"/>
      <c r="AL99" s="282"/>
      <c r="AM99" s="282"/>
      <c r="AN99" s="282"/>
      <c r="AO99" s="282"/>
      <c r="AP99" s="283"/>
      <c r="AQ99" s="283"/>
      <c r="AR99" s="283"/>
      <c r="AS99" s="283"/>
      <c r="AT99" s="283"/>
      <c r="AU99" s="284"/>
      <c r="AV99" s="284"/>
      <c r="AW99" s="284"/>
      <c r="AX99" s="284"/>
      <c r="AY99" s="284"/>
      <c r="AZ99" s="284"/>
      <c r="BA99" s="285"/>
      <c r="BB99" s="285"/>
      <c r="BC99" s="285"/>
      <c r="BD99" s="285"/>
      <c r="BE99" s="281"/>
      <c r="BF99" s="281"/>
      <c r="BG99" s="281"/>
      <c r="BH99" s="281"/>
      <c r="BI99" s="281"/>
      <c r="BJ99" s="286"/>
      <c r="BK99" s="282"/>
      <c r="BL99" s="282"/>
      <c r="BM99" s="282"/>
      <c r="BN99" s="282"/>
      <c r="BO99" s="282"/>
      <c r="BP99" s="282"/>
      <c r="BQ99" s="282"/>
      <c r="BR99" s="282"/>
      <c r="BS99" s="282"/>
      <c r="BT99" s="282"/>
      <c r="BU99" s="282"/>
      <c r="BV99" s="282"/>
      <c r="BW99" s="283"/>
      <c r="BX99" s="283"/>
      <c r="BY99" s="283"/>
      <c r="BZ99" s="283"/>
      <c r="CA99" s="283"/>
      <c r="CB99" s="283"/>
      <c r="CC99" s="283"/>
      <c r="CD99" s="283"/>
      <c r="CE99" s="283"/>
      <c r="CF99" s="283"/>
      <c r="CG99" s="283"/>
      <c r="CH99" s="287"/>
      <c r="CI99" s="283"/>
      <c r="CJ99" s="283"/>
      <c r="CK99" s="283"/>
      <c r="CL99" s="283"/>
      <c r="CM99" s="283"/>
      <c r="CN99" s="283"/>
      <c r="CO99" s="284"/>
      <c r="CP99" s="284"/>
      <c r="CQ99" s="284"/>
      <c r="CR99" s="284"/>
      <c r="CS99" s="572"/>
      <c r="CT99" s="542"/>
      <c r="CU99" s="542"/>
      <c r="CV99" s="542"/>
      <c r="CW99" s="542"/>
      <c r="CX99" s="542"/>
      <c r="CY99" s="543"/>
      <c r="CZ99" s="284"/>
      <c r="DA99" s="284"/>
      <c r="DB99" s="284"/>
      <c r="DC99" s="281"/>
      <c r="DD99" s="281"/>
      <c r="DE99" s="281"/>
      <c r="DF99" s="281"/>
      <c r="DG99" s="281"/>
      <c r="DH99" s="281"/>
      <c r="DI99" s="281"/>
      <c r="DJ99" s="281"/>
      <c r="DK99" s="629"/>
      <c r="DL99" s="495">
        <f t="shared" si="97"/>
        <v>0</v>
      </c>
      <c r="DM99" s="84">
        <f t="shared" si="98"/>
        <v>0</v>
      </c>
      <c r="DN99" s="84">
        <f t="shared" si="99"/>
        <v>0</v>
      </c>
      <c r="DO99" s="125">
        <f t="shared" si="100"/>
        <v>0</v>
      </c>
    </row>
    <row r="100" spans="2:123" ht="32.1" hidden="1" customHeight="1" outlineLevel="1" thickBot="1" x14ac:dyDescent="0.3">
      <c r="B100" s="813"/>
      <c r="C100" s="814"/>
      <c r="D100" s="797"/>
      <c r="E100" s="779"/>
      <c r="F100" s="278" t="s">
        <v>4</v>
      </c>
      <c r="G100" s="280" t="s">
        <v>139</v>
      </c>
      <c r="H100" s="351"/>
      <c r="I100" s="931"/>
      <c r="J100" s="281"/>
      <c r="K100" s="281"/>
      <c r="L100" s="281"/>
      <c r="M100" s="281"/>
      <c r="N100" s="281"/>
      <c r="O100" s="281"/>
      <c r="P100" s="281"/>
      <c r="Q100" s="281"/>
      <c r="R100" s="281"/>
      <c r="S100" s="281"/>
      <c r="T100" s="281"/>
      <c r="U100" s="282"/>
      <c r="V100" s="282"/>
      <c r="W100" s="282"/>
      <c r="X100" s="282"/>
      <c r="Y100" s="282"/>
      <c r="Z100" s="282"/>
      <c r="AA100" s="282"/>
      <c r="AB100" s="282"/>
      <c r="AC100" s="282"/>
      <c r="AD100" s="282"/>
      <c r="AE100" s="282"/>
      <c r="AF100" s="282"/>
      <c r="AG100" s="282"/>
      <c r="AH100" s="282"/>
      <c r="AI100" s="282"/>
      <c r="AJ100" s="282"/>
      <c r="AK100" s="282"/>
      <c r="AL100" s="282"/>
      <c r="AM100" s="282"/>
      <c r="AN100" s="282"/>
      <c r="AO100" s="282"/>
      <c r="AP100" s="283"/>
      <c r="AQ100" s="283"/>
      <c r="AR100" s="283"/>
      <c r="AS100" s="283"/>
      <c r="AT100" s="283"/>
      <c r="AU100" s="284"/>
      <c r="AV100" s="284"/>
      <c r="AW100" s="284"/>
      <c r="AX100" s="284"/>
      <c r="AY100" s="284"/>
      <c r="AZ100" s="284"/>
      <c r="BA100" s="285"/>
      <c r="BB100" s="285"/>
      <c r="BC100" s="285"/>
      <c r="BD100" s="285"/>
      <c r="BE100" s="281"/>
      <c r="BF100" s="281"/>
      <c r="BG100" s="281"/>
      <c r="BH100" s="281"/>
      <c r="BI100" s="281"/>
      <c r="BJ100" s="286"/>
      <c r="BK100" s="282"/>
      <c r="BL100" s="282"/>
      <c r="BM100" s="282"/>
      <c r="BN100" s="282"/>
      <c r="BO100" s="282"/>
      <c r="BP100" s="282"/>
      <c r="BQ100" s="282"/>
      <c r="BR100" s="282"/>
      <c r="BS100" s="282"/>
      <c r="BT100" s="282"/>
      <c r="BU100" s="282"/>
      <c r="BV100" s="282"/>
      <c r="BW100" s="283"/>
      <c r="BX100" s="283"/>
      <c r="BY100" s="283"/>
      <c r="BZ100" s="283"/>
      <c r="CA100" s="283"/>
      <c r="CB100" s="283"/>
      <c r="CC100" s="283"/>
      <c r="CD100" s="283"/>
      <c r="CE100" s="283"/>
      <c r="CF100" s="283"/>
      <c r="CG100" s="283"/>
      <c r="CH100" s="287"/>
      <c r="CI100" s="283"/>
      <c r="CJ100" s="283"/>
      <c r="CK100" s="283"/>
      <c r="CL100" s="283"/>
      <c r="CM100" s="283"/>
      <c r="CN100" s="283"/>
      <c r="CO100" s="284"/>
      <c r="CP100" s="284"/>
      <c r="CQ100" s="284"/>
      <c r="CR100" s="284"/>
      <c r="CS100" s="572"/>
      <c r="CT100" s="542"/>
      <c r="CU100" s="542"/>
      <c r="CV100" s="542"/>
      <c r="CW100" s="542"/>
      <c r="CX100" s="542"/>
      <c r="CY100" s="543"/>
      <c r="CZ100" s="284"/>
      <c r="DA100" s="284"/>
      <c r="DB100" s="284"/>
      <c r="DC100" s="281"/>
      <c r="DD100" s="281"/>
      <c r="DE100" s="281"/>
      <c r="DF100" s="281"/>
      <c r="DG100" s="281"/>
      <c r="DH100" s="281"/>
      <c r="DI100" s="281"/>
      <c r="DJ100" s="281"/>
      <c r="DK100" s="629"/>
      <c r="DL100" s="495">
        <f t="shared" si="97"/>
        <v>0</v>
      </c>
      <c r="DM100" s="84">
        <f t="shared" si="98"/>
        <v>0</v>
      </c>
      <c r="DN100" s="84">
        <f t="shared" si="99"/>
        <v>0</v>
      </c>
      <c r="DO100" s="125">
        <f t="shared" si="100"/>
        <v>0</v>
      </c>
    </row>
    <row r="101" spans="2:123" s="834" customFormat="1" ht="16.5" hidden="1" customHeight="1" outlineLevel="1" thickBot="1" x14ac:dyDescent="0.35">
      <c r="B101" s="813"/>
      <c r="C101" s="814"/>
      <c r="D101" s="819"/>
      <c r="E101" s="820" t="s">
        <v>254</v>
      </c>
      <c r="F101" s="821"/>
      <c r="G101" s="822"/>
      <c r="H101" s="823"/>
      <c r="I101" s="903"/>
      <c r="J101" s="824">
        <f>SUM(J89:J100)</f>
        <v>85</v>
      </c>
      <c r="K101" s="824">
        <f t="shared" ref="K101:CL101" si="101">SUM(K89:K100)</f>
        <v>15</v>
      </c>
      <c r="L101" s="824">
        <f t="shared" si="101"/>
        <v>0</v>
      </c>
      <c r="M101" s="824">
        <f t="shared" si="101"/>
        <v>0</v>
      </c>
      <c r="N101" s="824">
        <f t="shared" si="101"/>
        <v>0</v>
      </c>
      <c r="O101" s="824">
        <f t="shared" si="101"/>
        <v>0</v>
      </c>
      <c r="P101" s="824">
        <f t="shared" si="101"/>
        <v>0</v>
      </c>
      <c r="Q101" s="824">
        <f t="shared" si="101"/>
        <v>0</v>
      </c>
      <c r="R101" s="824">
        <f t="shared" si="101"/>
        <v>0</v>
      </c>
      <c r="S101" s="824">
        <f t="shared" si="101"/>
        <v>0</v>
      </c>
      <c r="T101" s="824">
        <f t="shared" si="101"/>
        <v>0</v>
      </c>
      <c r="U101" s="825">
        <f t="shared" si="101"/>
        <v>0</v>
      </c>
      <c r="V101" s="825">
        <f t="shared" si="101"/>
        <v>0</v>
      </c>
      <c r="W101" s="825">
        <f t="shared" si="101"/>
        <v>175</v>
      </c>
      <c r="X101" s="825">
        <f t="shared" si="101"/>
        <v>10</v>
      </c>
      <c r="Y101" s="825">
        <f t="shared" si="101"/>
        <v>15</v>
      </c>
      <c r="Z101" s="825">
        <f t="shared" si="101"/>
        <v>0</v>
      </c>
      <c r="AA101" s="825">
        <f t="shared" si="101"/>
        <v>0</v>
      </c>
      <c r="AB101" s="825">
        <f t="shared" ref="AB101:AD101" si="102">SUM(AB89:AB100)</f>
        <v>0</v>
      </c>
      <c r="AC101" s="825">
        <f t="shared" si="102"/>
        <v>0</v>
      </c>
      <c r="AD101" s="825">
        <f t="shared" si="102"/>
        <v>0</v>
      </c>
      <c r="AE101" s="825">
        <f t="shared" si="101"/>
        <v>0</v>
      </c>
      <c r="AF101" s="825">
        <f t="shared" si="101"/>
        <v>0</v>
      </c>
      <c r="AG101" s="825">
        <f t="shared" si="101"/>
        <v>0</v>
      </c>
      <c r="AH101" s="825">
        <f t="shared" si="101"/>
        <v>0</v>
      </c>
      <c r="AI101" s="825">
        <f t="shared" ref="AI101:AO101" si="103">SUM(AI89:AI100)</f>
        <v>0</v>
      </c>
      <c r="AJ101" s="825">
        <f t="shared" si="103"/>
        <v>0</v>
      </c>
      <c r="AK101" s="825">
        <f t="shared" si="103"/>
        <v>0</v>
      </c>
      <c r="AL101" s="825">
        <f t="shared" si="103"/>
        <v>0</v>
      </c>
      <c r="AM101" s="825">
        <f t="shared" si="103"/>
        <v>0</v>
      </c>
      <c r="AN101" s="825">
        <f t="shared" si="103"/>
        <v>0</v>
      </c>
      <c r="AO101" s="825">
        <f t="shared" si="103"/>
        <v>0</v>
      </c>
      <c r="AP101" s="826">
        <f t="shared" si="101"/>
        <v>56</v>
      </c>
      <c r="AQ101" s="826">
        <f t="shared" ref="AQ101" si="104">SUM(AQ89:AQ100)</f>
        <v>0</v>
      </c>
      <c r="AR101" s="826">
        <f t="shared" si="101"/>
        <v>100</v>
      </c>
      <c r="AS101" s="826">
        <f t="shared" si="101"/>
        <v>0</v>
      </c>
      <c r="AT101" s="826">
        <f t="shared" si="101"/>
        <v>0</v>
      </c>
      <c r="AU101" s="827">
        <f t="shared" si="101"/>
        <v>0</v>
      </c>
      <c r="AV101" s="827">
        <f t="shared" si="101"/>
        <v>0</v>
      </c>
      <c r="AW101" s="827">
        <f t="shared" si="101"/>
        <v>0</v>
      </c>
      <c r="AX101" s="827">
        <f t="shared" ref="AX101:AY101" si="105">SUM(AX89:AX100)</f>
        <v>0</v>
      </c>
      <c r="AY101" s="827">
        <f t="shared" si="105"/>
        <v>0</v>
      </c>
      <c r="AZ101" s="827">
        <f t="shared" si="101"/>
        <v>0</v>
      </c>
      <c r="BA101" s="828">
        <f t="shared" si="101"/>
        <v>0</v>
      </c>
      <c r="BB101" s="828">
        <f t="shared" si="101"/>
        <v>0</v>
      </c>
      <c r="BC101" s="828">
        <f t="shared" si="101"/>
        <v>0</v>
      </c>
      <c r="BD101" s="828">
        <f t="shared" si="101"/>
        <v>0</v>
      </c>
      <c r="BE101" s="824">
        <f t="shared" si="101"/>
        <v>0</v>
      </c>
      <c r="BF101" s="824">
        <f t="shared" si="101"/>
        <v>15</v>
      </c>
      <c r="BG101" s="824">
        <f t="shared" si="101"/>
        <v>10</v>
      </c>
      <c r="BH101" s="824">
        <f t="shared" si="101"/>
        <v>0</v>
      </c>
      <c r="BI101" s="824">
        <f t="shared" si="101"/>
        <v>0</v>
      </c>
      <c r="BJ101" s="824">
        <f t="shared" si="101"/>
        <v>0</v>
      </c>
      <c r="BK101" s="825">
        <f t="shared" si="101"/>
        <v>0</v>
      </c>
      <c r="BL101" s="825">
        <f t="shared" si="101"/>
        <v>0</v>
      </c>
      <c r="BM101" s="825">
        <f t="shared" si="101"/>
        <v>0</v>
      </c>
      <c r="BN101" s="825">
        <f t="shared" si="101"/>
        <v>0</v>
      </c>
      <c r="BO101" s="825">
        <f t="shared" si="101"/>
        <v>120</v>
      </c>
      <c r="BP101" s="825">
        <f t="shared" si="101"/>
        <v>0</v>
      </c>
      <c r="BQ101" s="825">
        <f t="shared" si="101"/>
        <v>0</v>
      </c>
      <c r="BR101" s="825">
        <f t="shared" ref="BR101" si="106">SUM(BR89:BR100)</f>
        <v>0</v>
      </c>
      <c r="BS101" s="825">
        <f t="shared" ref="BS101" si="107">SUM(BS89:BS100)</f>
        <v>0</v>
      </c>
      <c r="BT101" s="825">
        <f t="shared" si="101"/>
        <v>0</v>
      </c>
      <c r="BU101" s="825">
        <f t="shared" si="101"/>
        <v>0</v>
      </c>
      <c r="BV101" s="825">
        <f t="shared" si="101"/>
        <v>0</v>
      </c>
      <c r="BW101" s="826">
        <f t="shared" si="101"/>
        <v>0</v>
      </c>
      <c r="BX101" s="826">
        <f t="shared" si="101"/>
        <v>0</v>
      </c>
      <c r="BY101" s="826">
        <f t="shared" si="101"/>
        <v>0</v>
      </c>
      <c r="BZ101" s="826">
        <f t="shared" si="101"/>
        <v>0</v>
      </c>
      <c r="CA101" s="826">
        <f t="shared" si="101"/>
        <v>0</v>
      </c>
      <c r="CB101" s="826">
        <f t="shared" ref="CB101" si="108">SUM(CB89:CB100)</f>
        <v>0</v>
      </c>
      <c r="CC101" s="826">
        <f t="shared" si="101"/>
        <v>0</v>
      </c>
      <c r="CD101" s="826">
        <f t="shared" si="101"/>
        <v>0</v>
      </c>
      <c r="CE101" s="826">
        <f t="shared" si="101"/>
        <v>0</v>
      </c>
      <c r="CF101" s="826">
        <f t="shared" si="101"/>
        <v>0</v>
      </c>
      <c r="CG101" s="826">
        <f t="shared" si="101"/>
        <v>0</v>
      </c>
      <c r="CH101" s="826">
        <f t="shared" si="101"/>
        <v>200</v>
      </c>
      <c r="CI101" s="826">
        <f t="shared" si="101"/>
        <v>0</v>
      </c>
      <c r="CJ101" s="826">
        <f t="shared" si="101"/>
        <v>0</v>
      </c>
      <c r="CK101" s="826">
        <f t="shared" si="101"/>
        <v>0</v>
      </c>
      <c r="CL101" s="826">
        <f t="shared" si="101"/>
        <v>0</v>
      </c>
      <c r="CM101" s="826">
        <f t="shared" ref="CM101:DO101" si="109">SUM(CM89:CM100)</f>
        <v>0</v>
      </c>
      <c r="CN101" s="826">
        <f t="shared" si="109"/>
        <v>0</v>
      </c>
      <c r="CO101" s="827">
        <f t="shared" si="109"/>
        <v>0</v>
      </c>
      <c r="CP101" s="827">
        <f t="shared" si="109"/>
        <v>0</v>
      </c>
      <c r="CQ101" s="827">
        <f t="shared" si="109"/>
        <v>0</v>
      </c>
      <c r="CR101" s="827">
        <f t="shared" si="109"/>
        <v>0</v>
      </c>
      <c r="CS101" s="827">
        <f t="shared" si="109"/>
        <v>0</v>
      </c>
      <c r="CT101" s="827">
        <f t="shared" si="109"/>
        <v>0</v>
      </c>
      <c r="CU101" s="827">
        <f t="shared" si="109"/>
        <v>0</v>
      </c>
      <c r="CV101" s="827">
        <f t="shared" si="109"/>
        <v>0</v>
      </c>
      <c r="CW101" s="827">
        <f t="shared" si="109"/>
        <v>0</v>
      </c>
      <c r="CX101" s="827">
        <f t="shared" si="109"/>
        <v>0</v>
      </c>
      <c r="CY101" s="827">
        <f t="shared" si="109"/>
        <v>0</v>
      </c>
      <c r="CZ101" s="827">
        <f t="shared" si="109"/>
        <v>0</v>
      </c>
      <c r="DA101" s="827">
        <f t="shared" si="109"/>
        <v>0</v>
      </c>
      <c r="DB101" s="827">
        <f t="shared" si="109"/>
        <v>0</v>
      </c>
      <c r="DC101" s="824">
        <f t="shared" si="109"/>
        <v>0</v>
      </c>
      <c r="DD101" s="824">
        <f t="shared" si="109"/>
        <v>0</v>
      </c>
      <c r="DE101" s="824">
        <f t="shared" si="109"/>
        <v>0</v>
      </c>
      <c r="DF101" s="824">
        <f t="shared" si="109"/>
        <v>0</v>
      </c>
      <c r="DG101" s="824">
        <f t="shared" si="109"/>
        <v>0</v>
      </c>
      <c r="DH101" s="824">
        <f t="shared" si="109"/>
        <v>0</v>
      </c>
      <c r="DI101" s="824">
        <f t="shared" si="109"/>
        <v>0</v>
      </c>
      <c r="DJ101" s="824">
        <f t="shared" si="109"/>
        <v>0</v>
      </c>
      <c r="DK101" s="829">
        <f t="shared" si="109"/>
        <v>0</v>
      </c>
      <c r="DL101" s="830">
        <f t="shared" si="109"/>
        <v>700</v>
      </c>
      <c r="DM101" s="831">
        <f t="shared" si="109"/>
        <v>801</v>
      </c>
      <c r="DN101" s="831">
        <f t="shared" si="109"/>
        <v>120</v>
      </c>
      <c r="DO101" s="832">
        <f t="shared" si="109"/>
        <v>0</v>
      </c>
      <c r="DP101" s="833"/>
      <c r="DQ101" s="833"/>
      <c r="DR101" s="833"/>
      <c r="DS101" s="833"/>
    </row>
    <row r="102" spans="2:123" ht="32.1" hidden="1" customHeight="1" outlineLevel="1" thickBot="1" x14ac:dyDescent="0.3">
      <c r="B102" s="813"/>
      <c r="C102" s="814"/>
      <c r="D102" s="801" t="s">
        <v>192</v>
      </c>
      <c r="E102" s="786"/>
      <c r="F102" s="308" t="s">
        <v>4</v>
      </c>
      <c r="G102" s="346" t="s">
        <v>192</v>
      </c>
      <c r="H102" s="347"/>
      <c r="I102" s="936" t="s">
        <v>64</v>
      </c>
      <c r="J102" s="311"/>
      <c r="K102" s="311"/>
      <c r="L102" s="311"/>
      <c r="M102" s="311"/>
      <c r="N102" s="311"/>
      <c r="O102" s="311"/>
      <c r="P102" s="311"/>
      <c r="Q102" s="311"/>
      <c r="R102" s="311"/>
      <c r="S102" s="311"/>
      <c r="T102" s="311"/>
      <c r="U102" s="312"/>
      <c r="V102" s="312"/>
      <c r="W102" s="312"/>
      <c r="X102" s="312"/>
      <c r="Y102" s="312"/>
      <c r="Z102" s="312"/>
      <c r="AA102" s="312"/>
      <c r="AB102" s="312"/>
      <c r="AC102" s="312"/>
      <c r="AD102" s="312"/>
      <c r="AE102" s="312"/>
      <c r="AF102" s="312"/>
      <c r="AG102" s="312"/>
      <c r="AH102" s="312"/>
      <c r="AI102" s="312"/>
      <c r="AJ102" s="312"/>
      <c r="AK102" s="312"/>
      <c r="AL102" s="312"/>
      <c r="AM102" s="312"/>
      <c r="AN102" s="312"/>
      <c r="AO102" s="312"/>
      <c r="AP102" s="313"/>
      <c r="AQ102" s="313"/>
      <c r="AR102" s="313"/>
      <c r="AS102" s="313"/>
      <c r="AT102" s="313"/>
      <c r="AU102" s="314"/>
      <c r="AV102" s="314"/>
      <c r="AW102" s="314"/>
      <c r="AX102" s="314"/>
      <c r="AY102" s="314"/>
      <c r="AZ102" s="314"/>
      <c r="BA102" s="315"/>
      <c r="BB102" s="315"/>
      <c r="BC102" s="315"/>
      <c r="BD102" s="315"/>
      <c r="BE102" s="311"/>
      <c r="BF102" s="311"/>
      <c r="BG102" s="311"/>
      <c r="BH102" s="311"/>
      <c r="BI102" s="311"/>
      <c r="BJ102" s="316"/>
      <c r="BK102" s="312"/>
      <c r="BL102" s="312"/>
      <c r="BM102" s="312"/>
      <c r="BN102" s="312"/>
      <c r="BO102" s="312"/>
      <c r="BP102" s="312"/>
      <c r="BQ102" s="312"/>
      <c r="BR102" s="312"/>
      <c r="BS102" s="312"/>
      <c r="BT102" s="312"/>
      <c r="BU102" s="312"/>
      <c r="BV102" s="312"/>
      <c r="BW102" s="313"/>
      <c r="BX102" s="313"/>
      <c r="BY102" s="313"/>
      <c r="BZ102" s="313"/>
      <c r="CA102" s="313"/>
      <c r="CB102" s="313"/>
      <c r="CC102" s="313"/>
      <c r="CD102" s="313"/>
      <c r="CE102" s="313"/>
      <c r="CF102" s="313">
        <v>1</v>
      </c>
      <c r="CG102" s="313"/>
      <c r="CH102" s="317"/>
      <c r="CI102" s="313"/>
      <c r="CJ102" s="313"/>
      <c r="CK102" s="313"/>
      <c r="CL102" s="313"/>
      <c r="CM102" s="313"/>
      <c r="CN102" s="313"/>
      <c r="CO102" s="314"/>
      <c r="CP102" s="314"/>
      <c r="CQ102" s="314"/>
      <c r="CR102" s="314"/>
      <c r="CS102" s="577"/>
      <c r="CT102" s="552"/>
      <c r="CU102" s="552"/>
      <c r="CV102" s="552"/>
      <c r="CW102" s="552"/>
      <c r="CX102" s="552"/>
      <c r="CY102" s="553"/>
      <c r="CZ102" s="314"/>
      <c r="DA102" s="314"/>
      <c r="DB102" s="314"/>
      <c r="DC102" s="311"/>
      <c r="DD102" s="311"/>
      <c r="DE102" s="311"/>
      <c r="DF102" s="311"/>
      <c r="DG102" s="311"/>
      <c r="DH102" s="311"/>
      <c r="DI102" s="311"/>
      <c r="DJ102" s="311"/>
      <c r="DK102" s="634"/>
      <c r="DL102" s="495">
        <f>SUM(J102:S102)*5+SUM(V102:AF102)+AH102*4+U102*2.5+AG102/0.75</f>
        <v>0</v>
      </c>
      <c r="DM102" s="84">
        <f>SUM(J102:DK102)</f>
        <v>1</v>
      </c>
      <c r="DN102" s="84">
        <f>SUM(BK102:BV102,)</f>
        <v>0</v>
      </c>
      <c r="DO102" s="125">
        <f>SUM(AT102:AV102)+SUM(AW102:AZ102)*5</f>
        <v>0</v>
      </c>
    </row>
    <row r="103" spans="2:123" ht="32.1" hidden="1" customHeight="1" outlineLevel="1" thickBot="1" x14ac:dyDescent="0.3">
      <c r="B103" s="813"/>
      <c r="C103" s="814"/>
      <c r="D103" s="801"/>
      <c r="E103" s="786"/>
      <c r="F103" s="308" t="s">
        <v>4</v>
      </c>
      <c r="G103" s="346" t="s">
        <v>192</v>
      </c>
      <c r="H103" s="347"/>
      <c r="I103" s="936" t="s">
        <v>60</v>
      </c>
      <c r="J103" s="311"/>
      <c r="K103" s="311"/>
      <c r="L103" s="311"/>
      <c r="M103" s="311"/>
      <c r="N103" s="311"/>
      <c r="O103" s="311"/>
      <c r="P103" s="311"/>
      <c r="Q103" s="311"/>
      <c r="R103" s="311"/>
      <c r="S103" s="311"/>
      <c r="T103" s="311"/>
      <c r="U103" s="312"/>
      <c r="V103" s="312"/>
      <c r="W103" s="312"/>
      <c r="X103" s="312"/>
      <c r="Y103" s="312"/>
      <c r="Z103" s="312"/>
      <c r="AA103" s="312"/>
      <c r="AB103" s="312"/>
      <c r="AC103" s="312"/>
      <c r="AD103" s="312"/>
      <c r="AE103" s="312"/>
      <c r="AF103" s="312"/>
      <c r="AG103" s="312"/>
      <c r="AH103" s="312"/>
      <c r="AI103" s="312"/>
      <c r="AJ103" s="312"/>
      <c r="AK103" s="312"/>
      <c r="AL103" s="312"/>
      <c r="AM103" s="312"/>
      <c r="AN103" s="312"/>
      <c r="AO103" s="312"/>
      <c r="AP103" s="313"/>
      <c r="AQ103" s="313"/>
      <c r="AR103" s="313"/>
      <c r="AS103" s="313"/>
      <c r="AT103" s="313"/>
      <c r="AU103" s="314"/>
      <c r="AV103" s="314"/>
      <c r="AW103" s="314"/>
      <c r="AX103" s="314"/>
      <c r="AY103" s="314"/>
      <c r="AZ103" s="314"/>
      <c r="BA103" s="315"/>
      <c r="BB103" s="315"/>
      <c r="BC103" s="315"/>
      <c r="BD103" s="315"/>
      <c r="BE103" s="311"/>
      <c r="BF103" s="311"/>
      <c r="BG103" s="311"/>
      <c r="BH103" s="311"/>
      <c r="BI103" s="311"/>
      <c r="BJ103" s="316"/>
      <c r="BK103" s="312"/>
      <c r="BL103" s="312"/>
      <c r="BM103" s="312"/>
      <c r="BN103" s="312"/>
      <c r="BO103" s="312"/>
      <c r="BP103" s="312"/>
      <c r="BQ103" s="312"/>
      <c r="BR103" s="312"/>
      <c r="BS103" s="312"/>
      <c r="BT103" s="312"/>
      <c r="BU103" s="312"/>
      <c r="BV103" s="312"/>
      <c r="BW103" s="313"/>
      <c r="BX103" s="313"/>
      <c r="BY103" s="313"/>
      <c r="BZ103" s="313"/>
      <c r="CA103" s="313"/>
      <c r="CB103" s="313"/>
      <c r="CC103" s="313"/>
      <c r="CD103" s="313"/>
      <c r="CE103" s="313">
        <v>15</v>
      </c>
      <c r="CF103" s="313"/>
      <c r="CG103" s="313"/>
      <c r="CH103" s="317"/>
      <c r="CI103" s="313"/>
      <c r="CJ103" s="313"/>
      <c r="CK103" s="313"/>
      <c r="CL103" s="313"/>
      <c r="CM103" s="313"/>
      <c r="CN103" s="313"/>
      <c r="CO103" s="314"/>
      <c r="CP103" s="314"/>
      <c r="CQ103" s="314"/>
      <c r="CR103" s="314"/>
      <c r="CS103" s="577"/>
      <c r="CT103" s="552"/>
      <c r="CU103" s="552"/>
      <c r="CV103" s="552"/>
      <c r="CW103" s="552"/>
      <c r="CX103" s="552"/>
      <c r="CY103" s="553"/>
      <c r="CZ103" s="314"/>
      <c r="DA103" s="314"/>
      <c r="DB103" s="314"/>
      <c r="DC103" s="311"/>
      <c r="DD103" s="311"/>
      <c r="DE103" s="311"/>
      <c r="DF103" s="311"/>
      <c r="DG103" s="311"/>
      <c r="DH103" s="311"/>
      <c r="DI103" s="311"/>
      <c r="DJ103" s="311"/>
      <c r="DK103" s="634"/>
      <c r="DL103" s="495">
        <f>SUM(J103:S103)*5+SUM(V103:AF103)+AH103*4+U103*2.5+AG103/0.75</f>
        <v>0</v>
      </c>
      <c r="DM103" s="84">
        <f>SUM(J103:DK103)</f>
        <v>15</v>
      </c>
      <c r="DN103" s="84">
        <f>SUM(BK103:BV103,)</f>
        <v>0</v>
      </c>
      <c r="DO103" s="125">
        <f>SUM(AT103:AV103)+SUM(AW103:AZ103)*5</f>
        <v>0</v>
      </c>
    </row>
    <row r="104" spans="2:123" ht="32.1" hidden="1" customHeight="1" outlineLevel="1" thickBot="1" x14ac:dyDescent="0.3">
      <c r="B104" s="813"/>
      <c r="C104" s="814"/>
      <c r="D104" s="801"/>
      <c r="E104" s="786"/>
      <c r="F104" s="308" t="s">
        <v>4</v>
      </c>
      <c r="G104" s="346" t="s">
        <v>192</v>
      </c>
      <c r="H104" s="347"/>
      <c r="I104" s="936" t="s">
        <v>225</v>
      </c>
      <c r="J104" s="311"/>
      <c r="K104" s="311"/>
      <c r="L104" s="311"/>
      <c r="M104" s="311"/>
      <c r="N104" s="311"/>
      <c r="O104" s="311"/>
      <c r="P104" s="311"/>
      <c r="Q104" s="311"/>
      <c r="R104" s="311"/>
      <c r="S104" s="311"/>
      <c r="T104" s="311"/>
      <c r="U104" s="312"/>
      <c r="V104" s="312"/>
      <c r="W104" s="312"/>
      <c r="X104" s="312"/>
      <c r="Y104" s="312"/>
      <c r="Z104" s="312"/>
      <c r="AA104" s="312"/>
      <c r="AB104" s="312"/>
      <c r="AC104" s="312"/>
      <c r="AD104" s="312"/>
      <c r="AE104" s="312"/>
      <c r="AF104" s="312"/>
      <c r="AG104" s="312"/>
      <c r="AH104" s="312"/>
      <c r="AI104" s="312"/>
      <c r="AJ104" s="312"/>
      <c r="AK104" s="312"/>
      <c r="AL104" s="312"/>
      <c r="AM104" s="312"/>
      <c r="AN104" s="312"/>
      <c r="AO104" s="312"/>
      <c r="AP104" s="313"/>
      <c r="AQ104" s="313"/>
      <c r="AR104" s="313"/>
      <c r="AS104" s="313"/>
      <c r="AT104" s="313"/>
      <c r="AU104" s="314"/>
      <c r="AV104" s="314"/>
      <c r="AW104" s="314"/>
      <c r="AX104" s="314"/>
      <c r="AY104" s="314"/>
      <c r="AZ104" s="314"/>
      <c r="BA104" s="315"/>
      <c r="BB104" s="315"/>
      <c r="BC104" s="315"/>
      <c r="BD104" s="315"/>
      <c r="BE104" s="311"/>
      <c r="BF104" s="311"/>
      <c r="BG104" s="311"/>
      <c r="BH104" s="311"/>
      <c r="BI104" s="311"/>
      <c r="BJ104" s="316"/>
      <c r="BK104" s="312"/>
      <c r="BL104" s="312"/>
      <c r="BM104" s="312"/>
      <c r="BN104" s="312"/>
      <c r="BO104" s="312"/>
      <c r="BP104" s="312"/>
      <c r="BQ104" s="312"/>
      <c r="BR104" s="312"/>
      <c r="BS104" s="312"/>
      <c r="BT104" s="312"/>
      <c r="BU104" s="312"/>
      <c r="BV104" s="312"/>
      <c r="BW104" s="313"/>
      <c r="BX104" s="313"/>
      <c r="BY104" s="313"/>
      <c r="BZ104" s="313"/>
      <c r="CA104" s="313"/>
      <c r="CB104" s="313"/>
      <c r="CC104" s="313"/>
      <c r="CD104" s="313"/>
      <c r="CE104" s="313"/>
      <c r="CF104" s="313"/>
      <c r="CG104" s="313"/>
      <c r="CH104" s="317"/>
      <c r="CI104" s="313"/>
      <c r="CJ104" s="313"/>
      <c r="CK104" s="313"/>
      <c r="CL104" s="313"/>
      <c r="CM104" s="313"/>
      <c r="CN104" s="313"/>
      <c r="CO104" s="314"/>
      <c r="CP104" s="314"/>
      <c r="CQ104" s="314"/>
      <c r="CR104" s="314"/>
      <c r="CS104" s="577"/>
      <c r="CT104" s="552"/>
      <c r="CU104" s="552"/>
      <c r="CV104" s="552">
        <v>60</v>
      </c>
      <c r="CW104" s="552"/>
      <c r="CX104" s="552"/>
      <c r="CY104" s="553"/>
      <c r="CZ104" s="314"/>
      <c r="DA104" s="314"/>
      <c r="DB104" s="314"/>
      <c r="DC104" s="311"/>
      <c r="DD104" s="311"/>
      <c r="DE104" s="311"/>
      <c r="DF104" s="311"/>
      <c r="DG104" s="311"/>
      <c r="DH104" s="311"/>
      <c r="DI104" s="311"/>
      <c r="DJ104" s="311"/>
      <c r="DK104" s="634"/>
      <c r="DL104" s="495">
        <f>SUM(J104:S104)*5+SUM(V104:AF104)+AH104*4+U104*2.5+AG104/0.75</f>
        <v>0</v>
      </c>
      <c r="DM104" s="84">
        <f>SUM(J104:DK104)</f>
        <v>60</v>
      </c>
      <c r="DN104" s="84">
        <f>SUM(BK104:BV104,)</f>
        <v>0</v>
      </c>
      <c r="DO104" s="125">
        <f>SUM(AT104:AV104)+SUM(AW104:AZ104)*5</f>
        <v>0</v>
      </c>
    </row>
    <row r="105" spans="2:123" ht="32.1" hidden="1" customHeight="1" outlineLevel="1" thickBot="1" x14ac:dyDescent="0.3">
      <c r="B105" s="813"/>
      <c r="C105" s="814"/>
      <c r="D105" s="801"/>
      <c r="E105" s="786"/>
      <c r="F105" s="308" t="s">
        <v>4</v>
      </c>
      <c r="G105" s="346" t="s">
        <v>192</v>
      </c>
      <c r="H105" s="347"/>
      <c r="I105" s="937" t="s">
        <v>67</v>
      </c>
      <c r="J105" s="311"/>
      <c r="K105" s="311"/>
      <c r="L105" s="311"/>
      <c r="M105" s="311"/>
      <c r="N105" s="311"/>
      <c r="O105" s="311"/>
      <c r="P105" s="311"/>
      <c r="Q105" s="311"/>
      <c r="R105" s="311"/>
      <c r="S105" s="311"/>
      <c r="T105" s="311"/>
      <c r="U105" s="312"/>
      <c r="V105" s="312"/>
      <c r="W105" s="312"/>
      <c r="X105" s="312"/>
      <c r="Y105" s="312"/>
      <c r="Z105" s="312"/>
      <c r="AA105" s="312"/>
      <c r="AB105" s="312"/>
      <c r="AC105" s="312"/>
      <c r="AD105" s="312"/>
      <c r="AE105" s="312"/>
      <c r="AF105" s="312"/>
      <c r="AG105" s="312"/>
      <c r="AH105" s="312"/>
      <c r="AI105" s="312"/>
      <c r="AJ105" s="312"/>
      <c r="AK105" s="312"/>
      <c r="AL105" s="312"/>
      <c r="AM105" s="312"/>
      <c r="AN105" s="312"/>
      <c r="AO105" s="312"/>
      <c r="AP105" s="313"/>
      <c r="AQ105" s="313"/>
      <c r="AR105" s="313"/>
      <c r="AS105" s="313"/>
      <c r="AT105" s="313"/>
      <c r="AU105" s="314"/>
      <c r="AV105" s="314"/>
      <c r="AW105" s="314"/>
      <c r="AX105" s="314"/>
      <c r="AY105" s="314"/>
      <c r="AZ105" s="314"/>
      <c r="BA105" s="315"/>
      <c r="BB105" s="315"/>
      <c r="BC105" s="315"/>
      <c r="BD105" s="315"/>
      <c r="BE105" s="311"/>
      <c r="BF105" s="311">
        <v>15</v>
      </c>
      <c r="BG105" s="311"/>
      <c r="BH105" s="311"/>
      <c r="BI105" s="311"/>
      <c r="BJ105" s="316"/>
      <c r="BK105" s="312"/>
      <c r="BL105" s="312"/>
      <c r="BM105" s="312"/>
      <c r="BN105" s="312"/>
      <c r="BO105" s="312"/>
      <c r="BP105" s="312"/>
      <c r="BQ105" s="312"/>
      <c r="BR105" s="312"/>
      <c r="BS105" s="312"/>
      <c r="BT105" s="312"/>
      <c r="BU105" s="312"/>
      <c r="BV105" s="312"/>
      <c r="BW105" s="313"/>
      <c r="BX105" s="313"/>
      <c r="BY105" s="313"/>
      <c r="BZ105" s="313"/>
      <c r="CA105" s="313"/>
      <c r="CB105" s="313"/>
      <c r="CC105" s="313"/>
      <c r="CD105" s="313"/>
      <c r="CE105" s="313"/>
      <c r="CF105" s="313"/>
      <c r="CG105" s="313"/>
      <c r="CH105" s="317"/>
      <c r="CI105" s="313"/>
      <c r="CJ105" s="313"/>
      <c r="CK105" s="313"/>
      <c r="CL105" s="313"/>
      <c r="CM105" s="313"/>
      <c r="CN105" s="313"/>
      <c r="CO105" s="314"/>
      <c r="CP105" s="314"/>
      <c r="CQ105" s="314"/>
      <c r="CR105" s="314"/>
      <c r="CS105" s="577"/>
      <c r="CT105" s="552"/>
      <c r="CU105" s="552"/>
      <c r="CV105" s="552"/>
      <c r="CW105" s="552"/>
      <c r="CX105" s="552"/>
      <c r="CY105" s="553"/>
      <c r="CZ105" s="314"/>
      <c r="DA105" s="314"/>
      <c r="DB105" s="314"/>
      <c r="DC105" s="311"/>
      <c r="DD105" s="311"/>
      <c r="DE105" s="311"/>
      <c r="DF105" s="311"/>
      <c r="DG105" s="311"/>
      <c r="DH105" s="311"/>
      <c r="DI105" s="311"/>
      <c r="DJ105" s="311"/>
      <c r="DK105" s="634"/>
      <c r="DL105" s="495">
        <f>SUM(J105:S105)*5+SUM(V105:AF105)+AH105*4+U105*2.5+AG105/0.75</f>
        <v>0</v>
      </c>
      <c r="DM105" s="84">
        <f>SUM(J105:DK105)</f>
        <v>15</v>
      </c>
      <c r="DN105" s="84">
        <f>SUM(BK105:BV105,)</f>
        <v>0</v>
      </c>
      <c r="DO105" s="125">
        <f>SUM(AT105:AV105)+SUM(AW105:AZ105)*5</f>
        <v>0</v>
      </c>
    </row>
    <row r="106" spans="2:123" s="834" customFormat="1" ht="16.5" hidden="1" customHeight="1" outlineLevel="1" thickBot="1" x14ac:dyDescent="0.35">
      <c r="B106" s="813"/>
      <c r="C106" s="814"/>
      <c r="D106" s="835"/>
      <c r="E106" s="836" t="s">
        <v>254</v>
      </c>
      <c r="F106" s="837"/>
      <c r="G106" s="838"/>
      <c r="H106" s="839"/>
      <c r="I106" s="918"/>
      <c r="J106" s="824"/>
      <c r="K106" s="824"/>
      <c r="L106" s="824"/>
      <c r="M106" s="824"/>
      <c r="N106" s="824"/>
      <c r="O106" s="824"/>
      <c r="P106" s="824"/>
      <c r="Q106" s="824"/>
      <c r="R106" s="824"/>
      <c r="S106" s="824"/>
      <c r="T106" s="824"/>
      <c r="U106" s="825"/>
      <c r="V106" s="825"/>
      <c r="W106" s="825"/>
      <c r="X106" s="825"/>
      <c r="Y106" s="825"/>
      <c r="Z106" s="825"/>
      <c r="AA106" s="825"/>
      <c r="AB106" s="825"/>
      <c r="AC106" s="825"/>
      <c r="AD106" s="825"/>
      <c r="AE106" s="825"/>
      <c r="AF106" s="825"/>
      <c r="AG106" s="825"/>
      <c r="AH106" s="825"/>
      <c r="AI106" s="825"/>
      <c r="AJ106" s="825"/>
      <c r="AK106" s="825"/>
      <c r="AL106" s="825"/>
      <c r="AM106" s="825"/>
      <c r="AN106" s="825"/>
      <c r="AO106" s="825"/>
      <c r="AP106" s="826"/>
      <c r="AQ106" s="826"/>
      <c r="AR106" s="826"/>
      <c r="AS106" s="826"/>
      <c r="AT106" s="826"/>
      <c r="AU106" s="827"/>
      <c r="AV106" s="827"/>
      <c r="AW106" s="827"/>
      <c r="AX106" s="827"/>
      <c r="AY106" s="827"/>
      <c r="AZ106" s="827"/>
      <c r="BA106" s="828"/>
      <c r="BB106" s="828"/>
      <c r="BC106" s="828"/>
      <c r="BD106" s="828"/>
      <c r="BE106" s="824"/>
      <c r="BF106" s="824"/>
      <c r="BG106" s="824"/>
      <c r="BH106" s="824"/>
      <c r="BI106" s="824"/>
      <c r="BJ106" s="824"/>
      <c r="BK106" s="825"/>
      <c r="BL106" s="825"/>
      <c r="BM106" s="825"/>
      <c r="BN106" s="825"/>
      <c r="BO106" s="825"/>
      <c r="BP106" s="825"/>
      <c r="BQ106" s="825"/>
      <c r="BR106" s="825"/>
      <c r="BS106" s="825"/>
      <c r="BT106" s="825"/>
      <c r="BU106" s="825"/>
      <c r="BV106" s="825"/>
      <c r="BW106" s="826"/>
      <c r="BX106" s="826"/>
      <c r="BY106" s="826"/>
      <c r="BZ106" s="826"/>
      <c r="CA106" s="826"/>
      <c r="CB106" s="826"/>
      <c r="CC106" s="826"/>
      <c r="CD106" s="826"/>
      <c r="CE106" s="826"/>
      <c r="CF106" s="826"/>
      <c r="CG106" s="826"/>
      <c r="CH106" s="826"/>
      <c r="CI106" s="826"/>
      <c r="CJ106" s="826"/>
      <c r="CK106" s="826"/>
      <c r="CL106" s="826"/>
      <c r="CM106" s="826"/>
      <c r="CN106" s="826"/>
      <c r="CO106" s="827"/>
      <c r="CP106" s="827"/>
      <c r="CQ106" s="827"/>
      <c r="CR106" s="827"/>
      <c r="CS106" s="827"/>
      <c r="CT106" s="827"/>
      <c r="CU106" s="827"/>
      <c r="CV106" s="827"/>
      <c r="CW106" s="827"/>
      <c r="CX106" s="827"/>
      <c r="CY106" s="827"/>
      <c r="CZ106" s="827"/>
      <c r="DA106" s="827"/>
      <c r="DB106" s="827"/>
      <c r="DC106" s="824"/>
      <c r="DD106" s="824"/>
      <c r="DE106" s="824"/>
      <c r="DF106" s="824"/>
      <c r="DG106" s="824"/>
      <c r="DH106" s="824"/>
      <c r="DI106" s="824"/>
      <c r="DJ106" s="824"/>
      <c r="DK106" s="829"/>
      <c r="DL106" s="830">
        <f t="shared" ref="DL106:DO106" si="110">SUM(DL102:DL105)</f>
        <v>0</v>
      </c>
      <c r="DM106" s="831">
        <f t="shared" si="110"/>
        <v>91</v>
      </c>
      <c r="DN106" s="831">
        <f t="shared" si="110"/>
        <v>0</v>
      </c>
      <c r="DO106" s="832">
        <f t="shared" si="110"/>
        <v>0</v>
      </c>
      <c r="DP106" s="833"/>
      <c r="DQ106" s="833"/>
      <c r="DR106" s="833"/>
      <c r="DS106" s="833"/>
    </row>
    <row r="107" spans="2:123" ht="32.1" customHeight="1" collapsed="1" thickBot="1" x14ac:dyDescent="0.3">
      <c r="B107" s="985" t="s">
        <v>255</v>
      </c>
      <c r="C107" s="840"/>
      <c r="D107" s="841"/>
      <c r="E107" s="784" t="s">
        <v>256</v>
      </c>
      <c r="F107" s="842"/>
      <c r="G107" s="843"/>
      <c r="H107" s="784"/>
      <c r="I107" s="842" t="s">
        <v>288</v>
      </c>
      <c r="J107" s="130">
        <f>SUMIF($E63:$E106,$E107,J63:J106)</f>
        <v>85</v>
      </c>
      <c r="K107" s="130">
        <f t="shared" ref="K107:CL107" si="111">SUMIF($E63:$E106,$E107,K63:K106)</f>
        <v>15</v>
      </c>
      <c r="L107" s="130">
        <f t="shared" si="111"/>
        <v>0</v>
      </c>
      <c r="M107" s="130">
        <f t="shared" si="111"/>
        <v>0</v>
      </c>
      <c r="N107" s="130">
        <f t="shared" si="111"/>
        <v>0</v>
      </c>
      <c r="O107" s="130">
        <f t="shared" si="111"/>
        <v>82</v>
      </c>
      <c r="P107" s="130">
        <f t="shared" si="111"/>
        <v>75</v>
      </c>
      <c r="Q107" s="130">
        <f t="shared" si="111"/>
        <v>0</v>
      </c>
      <c r="R107" s="130">
        <f t="shared" si="111"/>
        <v>0</v>
      </c>
      <c r="S107" s="130">
        <f t="shared" si="111"/>
        <v>0</v>
      </c>
      <c r="T107" s="130">
        <f t="shared" si="111"/>
        <v>0</v>
      </c>
      <c r="U107" s="135">
        <f t="shared" si="111"/>
        <v>20</v>
      </c>
      <c r="V107" s="135">
        <f t="shared" si="111"/>
        <v>0</v>
      </c>
      <c r="W107" s="135">
        <f t="shared" si="111"/>
        <v>399</v>
      </c>
      <c r="X107" s="135">
        <f t="shared" si="111"/>
        <v>31</v>
      </c>
      <c r="Y107" s="135">
        <f t="shared" si="111"/>
        <v>46</v>
      </c>
      <c r="Z107" s="135">
        <f t="shared" si="111"/>
        <v>0</v>
      </c>
      <c r="AA107" s="135">
        <f t="shared" si="111"/>
        <v>70</v>
      </c>
      <c r="AB107" s="135">
        <f t="shared" ref="AB107:AD107" si="112">SUMIF($E63:$E106,$E107,AB63:AB106)</f>
        <v>0</v>
      </c>
      <c r="AC107" s="135">
        <f t="shared" si="112"/>
        <v>0</v>
      </c>
      <c r="AD107" s="135">
        <f t="shared" si="112"/>
        <v>0</v>
      </c>
      <c r="AE107" s="135">
        <f t="shared" si="111"/>
        <v>0</v>
      </c>
      <c r="AF107" s="135">
        <f t="shared" si="111"/>
        <v>0</v>
      </c>
      <c r="AG107" s="135">
        <f t="shared" si="111"/>
        <v>0</v>
      </c>
      <c r="AH107" s="135">
        <f t="shared" si="111"/>
        <v>2</v>
      </c>
      <c r="AI107" s="135">
        <f t="shared" ref="AI107:AO107" si="113">SUMIF($E63:$E106,$E107,AI63:AI106)</f>
        <v>0</v>
      </c>
      <c r="AJ107" s="135">
        <f t="shared" si="113"/>
        <v>0</v>
      </c>
      <c r="AK107" s="135">
        <f t="shared" si="113"/>
        <v>0</v>
      </c>
      <c r="AL107" s="135">
        <f t="shared" si="113"/>
        <v>0</v>
      </c>
      <c r="AM107" s="135">
        <f t="shared" si="113"/>
        <v>0</v>
      </c>
      <c r="AN107" s="135">
        <f t="shared" si="113"/>
        <v>0</v>
      </c>
      <c r="AO107" s="135">
        <f t="shared" si="113"/>
        <v>0</v>
      </c>
      <c r="AP107" s="138">
        <f t="shared" si="111"/>
        <v>56</v>
      </c>
      <c r="AQ107" s="138">
        <f t="shared" ref="AQ107" si="114">SUMIF($E63:$E106,$E107,AQ63:AQ106)</f>
        <v>0</v>
      </c>
      <c r="AR107" s="138">
        <f t="shared" si="111"/>
        <v>200</v>
      </c>
      <c r="AS107" s="138">
        <f t="shared" si="111"/>
        <v>200</v>
      </c>
      <c r="AT107" s="138">
        <f t="shared" si="111"/>
        <v>0</v>
      </c>
      <c r="AU107" s="146">
        <f t="shared" si="111"/>
        <v>200</v>
      </c>
      <c r="AV107" s="146">
        <f t="shared" si="111"/>
        <v>0</v>
      </c>
      <c r="AW107" s="146">
        <f t="shared" si="111"/>
        <v>0</v>
      </c>
      <c r="AX107" s="146">
        <f t="shared" ref="AX107:AY107" si="115">SUMIF($E63:$E106,$E107,AX63:AX106)</f>
        <v>0</v>
      </c>
      <c r="AY107" s="146">
        <f t="shared" si="115"/>
        <v>0</v>
      </c>
      <c r="AZ107" s="146">
        <f t="shared" si="111"/>
        <v>0</v>
      </c>
      <c r="BA107" s="142">
        <f t="shared" si="111"/>
        <v>17.5</v>
      </c>
      <c r="BB107" s="142">
        <f t="shared" si="111"/>
        <v>1</v>
      </c>
      <c r="BC107" s="142">
        <f t="shared" si="111"/>
        <v>0</v>
      </c>
      <c r="BD107" s="142">
        <f t="shared" si="111"/>
        <v>0</v>
      </c>
      <c r="BE107" s="130">
        <f t="shared" si="111"/>
        <v>15</v>
      </c>
      <c r="BF107" s="130">
        <f t="shared" si="111"/>
        <v>15</v>
      </c>
      <c r="BG107" s="130">
        <f t="shared" si="111"/>
        <v>31</v>
      </c>
      <c r="BH107" s="130">
        <f t="shared" si="111"/>
        <v>0</v>
      </c>
      <c r="BI107" s="130">
        <f t="shared" si="111"/>
        <v>0</v>
      </c>
      <c r="BJ107" s="130">
        <f t="shared" si="111"/>
        <v>0</v>
      </c>
      <c r="BK107" s="135">
        <f t="shared" si="111"/>
        <v>0</v>
      </c>
      <c r="BL107" s="135">
        <f t="shared" si="111"/>
        <v>40</v>
      </c>
      <c r="BM107" s="135">
        <f t="shared" si="111"/>
        <v>0</v>
      </c>
      <c r="BN107" s="135">
        <f t="shared" si="111"/>
        <v>150</v>
      </c>
      <c r="BO107" s="135">
        <f t="shared" si="111"/>
        <v>120</v>
      </c>
      <c r="BP107" s="135">
        <f t="shared" si="111"/>
        <v>100</v>
      </c>
      <c r="BQ107" s="135">
        <f t="shared" si="111"/>
        <v>0</v>
      </c>
      <c r="BR107" s="135">
        <f t="shared" ref="BR107" si="116">SUMIF($E63:$E106,$E107,BR63:BR106)</f>
        <v>0</v>
      </c>
      <c r="BS107" s="135">
        <f t="shared" ref="BS107" si="117">SUMIF($E63:$E106,$E107,BS63:BS106)</f>
        <v>0</v>
      </c>
      <c r="BT107" s="135">
        <f t="shared" si="111"/>
        <v>0</v>
      </c>
      <c r="BU107" s="135">
        <f t="shared" si="111"/>
        <v>0</v>
      </c>
      <c r="BV107" s="135">
        <f t="shared" si="111"/>
        <v>0</v>
      </c>
      <c r="BW107" s="138">
        <f t="shared" si="111"/>
        <v>0.5</v>
      </c>
      <c r="BX107" s="138">
        <f t="shared" si="111"/>
        <v>0.5</v>
      </c>
      <c r="BY107" s="138">
        <f t="shared" si="111"/>
        <v>0</v>
      </c>
      <c r="BZ107" s="138">
        <f t="shared" si="111"/>
        <v>0</v>
      </c>
      <c r="CA107" s="138">
        <f t="shared" si="111"/>
        <v>0</v>
      </c>
      <c r="CB107" s="138">
        <f t="shared" ref="CB107" si="118">SUMIF($E63:$E106,$E107,CB63:CB106)</f>
        <v>0</v>
      </c>
      <c r="CC107" s="138">
        <f t="shared" si="111"/>
        <v>0</v>
      </c>
      <c r="CD107" s="138">
        <f t="shared" si="111"/>
        <v>0</v>
      </c>
      <c r="CE107" s="138">
        <f t="shared" si="111"/>
        <v>45</v>
      </c>
      <c r="CF107" s="138">
        <f t="shared" si="111"/>
        <v>0</v>
      </c>
      <c r="CG107" s="138">
        <f t="shared" si="111"/>
        <v>1.5</v>
      </c>
      <c r="CH107" s="138">
        <f t="shared" si="111"/>
        <v>200</v>
      </c>
      <c r="CI107" s="138">
        <f t="shared" si="111"/>
        <v>0</v>
      </c>
      <c r="CJ107" s="138">
        <f t="shared" si="111"/>
        <v>8</v>
      </c>
      <c r="CK107" s="138">
        <f t="shared" si="111"/>
        <v>8</v>
      </c>
      <c r="CL107" s="138">
        <f t="shared" si="111"/>
        <v>4</v>
      </c>
      <c r="CM107" s="138">
        <f t="shared" ref="CM107:DO107" si="119">SUMIF($E63:$E106,$E107,CM63:CM106)</f>
        <v>0</v>
      </c>
      <c r="CN107" s="138">
        <f t="shared" si="119"/>
        <v>0</v>
      </c>
      <c r="CO107" s="146">
        <f t="shared" si="119"/>
        <v>0</v>
      </c>
      <c r="CP107" s="146">
        <f t="shared" si="119"/>
        <v>0</v>
      </c>
      <c r="CQ107" s="146">
        <f t="shared" si="119"/>
        <v>20</v>
      </c>
      <c r="CR107" s="146">
        <f t="shared" si="119"/>
        <v>0</v>
      </c>
      <c r="CS107" s="146">
        <f t="shared" si="119"/>
        <v>0</v>
      </c>
      <c r="CT107" s="146">
        <f t="shared" si="119"/>
        <v>0</v>
      </c>
      <c r="CU107" s="146">
        <f t="shared" si="119"/>
        <v>0</v>
      </c>
      <c r="CV107" s="146">
        <f t="shared" si="119"/>
        <v>0</v>
      </c>
      <c r="CW107" s="146">
        <f t="shared" si="119"/>
        <v>0</v>
      </c>
      <c r="CX107" s="146">
        <f t="shared" si="119"/>
        <v>0</v>
      </c>
      <c r="CY107" s="146">
        <f t="shared" si="119"/>
        <v>0</v>
      </c>
      <c r="CZ107" s="146">
        <f t="shared" si="119"/>
        <v>0</v>
      </c>
      <c r="DA107" s="146">
        <f t="shared" si="119"/>
        <v>0</v>
      </c>
      <c r="DB107" s="146">
        <f t="shared" si="119"/>
        <v>0</v>
      </c>
      <c r="DC107" s="130">
        <f t="shared" si="119"/>
        <v>0</v>
      </c>
      <c r="DD107" s="130">
        <f t="shared" si="119"/>
        <v>0</v>
      </c>
      <c r="DE107" s="130">
        <f t="shared" si="119"/>
        <v>0</v>
      </c>
      <c r="DF107" s="130">
        <f t="shared" si="119"/>
        <v>0</v>
      </c>
      <c r="DG107" s="130">
        <f t="shared" si="119"/>
        <v>0</v>
      </c>
      <c r="DH107" s="130">
        <f t="shared" si="119"/>
        <v>0</v>
      </c>
      <c r="DI107" s="130">
        <f t="shared" si="119"/>
        <v>0</v>
      </c>
      <c r="DJ107" s="130">
        <f t="shared" si="119"/>
        <v>0</v>
      </c>
      <c r="DK107" s="636">
        <f t="shared" si="119"/>
        <v>0</v>
      </c>
      <c r="DL107" s="492">
        <f t="shared" si="119"/>
        <v>1889</v>
      </c>
      <c r="DM107" s="492">
        <f t="shared" si="119"/>
        <v>2349</v>
      </c>
      <c r="DN107" s="492">
        <f t="shared" si="119"/>
        <v>410</v>
      </c>
      <c r="DO107" s="683">
        <f t="shared" si="119"/>
        <v>200</v>
      </c>
    </row>
    <row r="108" spans="2:123" ht="32.1" customHeight="1" outlineLevel="1" thickBot="1" x14ac:dyDescent="0.3">
      <c r="B108" s="815" t="s">
        <v>142</v>
      </c>
      <c r="C108" s="812">
        <f>C63+1</f>
        <v>45119</v>
      </c>
      <c r="D108" s="803" t="s">
        <v>133</v>
      </c>
      <c r="E108" s="774" t="s">
        <v>136</v>
      </c>
      <c r="F108" s="213" t="s">
        <v>5</v>
      </c>
      <c r="G108" s="205" t="s">
        <v>133</v>
      </c>
      <c r="H108" s="330"/>
      <c r="I108" s="938" t="s">
        <v>226</v>
      </c>
      <c r="J108" s="340"/>
      <c r="K108" s="340"/>
      <c r="L108" s="216"/>
      <c r="M108" s="216"/>
      <c r="N108" s="216"/>
      <c r="O108" s="216"/>
      <c r="P108" s="216"/>
      <c r="Q108" s="216">
        <v>75</v>
      </c>
      <c r="R108" s="216"/>
      <c r="S108" s="216"/>
      <c r="T108" s="216"/>
      <c r="U108" s="217"/>
      <c r="V108" s="217"/>
      <c r="W108" s="217"/>
      <c r="X108" s="217"/>
      <c r="Y108" s="217"/>
      <c r="Z108" s="217"/>
      <c r="AA108" s="217"/>
      <c r="AB108" s="217"/>
      <c r="AC108" s="217"/>
      <c r="AD108" s="217"/>
      <c r="AE108" s="217"/>
      <c r="AF108" s="217"/>
      <c r="AG108" s="217"/>
      <c r="AH108" s="217"/>
      <c r="AI108" s="217"/>
      <c r="AJ108" s="217"/>
      <c r="AK108" s="217"/>
      <c r="AL108" s="217"/>
      <c r="AM108" s="217"/>
      <c r="AN108" s="217"/>
      <c r="AO108" s="217"/>
      <c r="AP108" s="218"/>
      <c r="AQ108" s="218"/>
      <c r="AR108" s="218"/>
      <c r="AS108" s="218"/>
      <c r="AT108" s="218"/>
      <c r="AU108" s="219">
        <v>200</v>
      </c>
      <c r="AV108" s="219"/>
      <c r="AW108" s="219"/>
      <c r="AX108" s="219"/>
      <c r="AY108" s="219"/>
      <c r="AZ108" s="219"/>
      <c r="BA108" s="220"/>
      <c r="BB108" s="220"/>
      <c r="BC108" s="220"/>
      <c r="BD108" s="220"/>
      <c r="BE108" s="216"/>
      <c r="BF108" s="216">
        <v>10</v>
      </c>
      <c r="BG108" s="216"/>
      <c r="BH108" s="216"/>
      <c r="BI108" s="216"/>
      <c r="BJ108" s="221"/>
      <c r="BK108" s="217"/>
      <c r="BL108" s="217"/>
      <c r="BM108" s="217"/>
      <c r="BN108" s="217"/>
      <c r="BO108" s="217"/>
      <c r="BP108" s="217"/>
      <c r="BQ108" s="217"/>
      <c r="BR108" s="217"/>
      <c r="BS108" s="217"/>
      <c r="BT108" s="217"/>
      <c r="BU108" s="217"/>
      <c r="BV108" s="217"/>
      <c r="BW108" s="218"/>
      <c r="BX108" s="218"/>
      <c r="BY108" s="218"/>
      <c r="BZ108" s="218"/>
      <c r="CA108" s="218"/>
      <c r="CB108" s="218"/>
      <c r="CC108" s="218"/>
      <c r="CD108" s="218"/>
      <c r="CE108" s="218"/>
      <c r="CF108" s="218"/>
      <c r="CG108" s="218"/>
      <c r="CH108" s="222"/>
      <c r="CI108" s="218"/>
      <c r="CJ108" s="218"/>
      <c r="CK108" s="218"/>
      <c r="CL108" s="218"/>
      <c r="CM108" s="218"/>
      <c r="CN108" s="218"/>
      <c r="CO108" s="219"/>
      <c r="CP108" s="219"/>
      <c r="CQ108" s="219"/>
      <c r="CR108" s="514"/>
      <c r="CS108" s="514"/>
      <c r="CT108" s="514"/>
      <c r="CU108" s="514"/>
      <c r="CV108" s="514"/>
      <c r="CW108" s="514"/>
      <c r="CX108" s="514"/>
      <c r="CY108" s="515"/>
      <c r="CZ108" s="219"/>
      <c r="DA108" s="219"/>
      <c r="DB108" s="219"/>
      <c r="DC108" s="216"/>
      <c r="DD108" s="216"/>
      <c r="DE108" s="216"/>
      <c r="DF108" s="216"/>
      <c r="DG108" s="216"/>
      <c r="DH108" s="216"/>
      <c r="DI108" s="216"/>
      <c r="DJ108" s="216"/>
      <c r="DK108" s="612"/>
      <c r="DL108" s="494">
        <f t="shared" ref="DL108:DL117" si="120">SUM(J108:S108)*5+SUM(V108:AF108)+AH108*4+U108*2.5+AG108/0.75</f>
        <v>375</v>
      </c>
      <c r="DM108" s="122">
        <f t="shared" ref="DM108:DM117" si="121">SUM(J108:DK108)</f>
        <v>285</v>
      </c>
      <c r="DN108" s="122">
        <f t="shared" ref="DN108:DN117" si="122">SUM(BK108:BV108,)</f>
        <v>0</v>
      </c>
      <c r="DO108" s="124">
        <f t="shared" ref="DO108:DO117" si="123">SUM(AT108:AV108)+SUM(AW108:AZ108)*5</f>
        <v>200</v>
      </c>
    </row>
    <row r="109" spans="2:123" ht="32.1" customHeight="1" outlineLevel="1" thickBot="1" x14ac:dyDescent="0.3">
      <c r="B109" s="816"/>
      <c r="C109" s="814"/>
      <c r="D109" s="792"/>
      <c r="E109" s="772"/>
      <c r="F109" s="213" t="s">
        <v>5</v>
      </c>
      <c r="G109" s="339" t="s">
        <v>133</v>
      </c>
      <c r="H109" s="341"/>
      <c r="I109" s="939" t="s">
        <v>174</v>
      </c>
      <c r="J109" s="340"/>
      <c r="K109" s="340"/>
      <c r="L109" s="216"/>
      <c r="M109" s="216"/>
      <c r="N109" s="216"/>
      <c r="O109" s="216"/>
      <c r="P109" s="216"/>
      <c r="Q109" s="216"/>
      <c r="R109" s="216"/>
      <c r="S109" s="216"/>
      <c r="T109" s="216"/>
      <c r="U109" s="217"/>
      <c r="V109" s="217"/>
      <c r="W109" s="217"/>
      <c r="X109" s="217"/>
      <c r="Y109" s="217"/>
      <c r="Z109" s="217"/>
      <c r="AA109" s="217"/>
      <c r="AB109" s="217"/>
      <c r="AC109" s="217"/>
      <c r="AD109" s="217"/>
      <c r="AE109" s="217"/>
      <c r="AF109" s="217"/>
      <c r="AG109" s="217"/>
      <c r="AH109" s="217"/>
      <c r="AI109" s="217"/>
      <c r="AJ109" s="217"/>
      <c r="AK109" s="217"/>
      <c r="AL109" s="217"/>
      <c r="AM109" s="217"/>
      <c r="AN109" s="217"/>
      <c r="AO109" s="217"/>
      <c r="AP109" s="218"/>
      <c r="AQ109" s="218"/>
      <c r="AR109" s="218"/>
      <c r="AS109" s="218"/>
      <c r="AT109" s="218"/>
      <c r="AU109" s="219"/>
      <c r="AV109" s="219"/>
      <c r="AW109" s="219"/>
      <c r="AX109" s="219"/>
      <c r="AY109" s="219"/>
      <c r="AZ109" s="219"/>
      <c r="BA109" s="220"/>
      <c r="BB109" s="220"/>
      <c r="BC109" s="220"/>
      <c r="BD109" s="220"/>
      <c r="BE109" s="216"/>
      <c r="BF109" s="216"/>
      <c r="BG109" s="216"/>
      <c r="BH109" s="216"/>
      <c r="BI109" s="216"/>
      <c r="BJ109" s="221"/>
      <c r="BK109" s="342"/>
      <c r="BL109" s="217"/>
      <c r="BM109" s="217"/>
      <c r="BN109" s="217"/>
      <c r="BO109" s="217"/>
      <c r="BP109" s="217">
        <v>80</v>
      </c>
      <c r="BQ109" s="217"/>
      <c r="BR109" s="217"/>
      <c r="BS109" s="217"/>
      <c r="BT109" s="217"/>
      <c r="BU109" s="217"/>
      <c r="BV109" s="217"/>
      <c r="BW109" s="218"/>
      <c r="BX109" s="218"/>
      <c r="BY109" s="218"/>
      <c r="BZ109" s="218"/>
      <c r="CA109" s="218"/>
      <c r="CB109" s="218"/>
      <c r="CC109" s="218"/>
      <c r="CD109" s="218"/>
      <c r="CE109" s="218"/>
      <c r="CF109" s="218"/>
      <c r="CG109" s="218"/>
      <c r="CH109" s="222"/>
      <c r="CI109" s="218"/>
      <c r="CJ109" s="218"/>
      <c r="CK109" s="218"/>
      <c r="CL109" s="218"/>
      <c r="CM109" s="218"/>
      <c r="CN109" s="218"/>
      <c r="CO109" s="219"/>
      <c r="CP109" s="219"/>
      <c r="CQ109" s="219"/>
      <c r="CR109" s="514"/>
      <c r="CS109" s="219"/>
      <c r="CT109" s="521"/>
      <c r="CU109" s="514"/>
      <c r="CV109" s="521"/>
      <c r="CW109" s="514"/>
      <c r="CX109" s="514"/>
      <c r="CY109" s="515"/>
      <c r="CZ109" s="219"/>
      <c r="DA109" s="219"/>
      <c r="DB109" s="219"/>
      <c r="DC109" s="216"/>
      <c r="DD109" s="216"/>
      <c r="DE109" s="216"/>
      <c r="DF109" s="216"/>
      <c r="DG109" s="216"/>
      <c r="DH109" s="216"/>
      <c r="DI109" s="216"/>
      <c r="DJ109" s="216"/>
      <c r="DK109" s="612"/>
      <c r="DL109" s="495">
        <f t="shared" si="120"/>
        <v>0</v>
      </c>
      <c r="DM109" s="84">
        <f t="shared" si="121"/>
        <v>80</v>
      </c>
      <c r="DN109" s="84">
        <f t="shared" si="122"/>
        <v>80</v>
      </c>
      <c r="DO109" s="125">
        <f t="shared" si="123"/>
        <v>0</v>
      </c>
    </row>
    <row r="110" spans="2:123" ht="32.1" customHeight="1" outlineLevel="1" thickBot="1" x14ac:dyDescent="0.3">
      <c r="B110" s="816"/>
      <c r="C110" s="814"/>
      <c r="D110" s="792"/>
      <c r="E110" s="773"/>
      <c r="F110" s="426" t="s">
        <v>5</v>
      </c>
      <c r="G110" s="427" t="s">
        <v>133</v>
      </c>
      <c r="H110" s="341"/>
      <c r="I110" s="940" t="s">
        <v>176</v>
      </c>
      <c r="J110" s="477"/>
      <c r="K110" s="477"/>
      <c r="L110" s="227"/>
      <c r="M110" s="227"/>
      <c r="N110" s="227"/>
      <c r="O110" s="227"/>
      <c r="P110" s="227"/>
      <c r="Q110" s="227"/>
      <c r="R110" s="227"/>
      <c r="S110" s="227"/>
      <c r="T110" s="227"/>
      <c r="U110" s="228">
        <v>20</v>
      </c>
      <c r="V110" s="228"/>
      <c r="W110" s="228"/>
      <c r="X110" s="228"/>
      <c r="Y110" s="228"/>
      <c r="Z110" s="228"/>
      <c r="AA110" s="228"/>
      <c r="AB110" s="228"/>
      <c r="AC110" s="228"/>
      <c r="AD110" s="228"/>
      <c r="AE110" s="228"/>
      <c r="AF110" s="228"/>
      <c r="AG110" s="228"/>
      <c r="AH110" s="228"/>
      <c r="AI110" s="228"/>
      <c r="AJ110" s="228"/>
      <c r="AK110" s="228"/>
      <c r="AL110" s="228"/>
      <c r="AM110" s="228"/>
      <c r="AN110" s="228"/>
      <c r="AO110" s="228"/>
      <c r="AP110" s="229"/>
      <c r="AQ110" s="229"/>
      <c r="AR110" s="229"/>
      <c r="AS110" s="229"/>
      <c r="AT110" s="229"/>
      <c r="AU110" s="230"/>
      <c r="AV110" s="230"/>
      <c r="AW110" s="230"/>
      <c r="AX110" s="230"/>
      <c r="AY110" s="230"/>
      <c r="AZ110" s="230"/>
      <c r="BA110" s="232"/>
      <c r="BB110" s="232"/>
      <c r="BC110" s="232"/>
      <c r="BD110" s="232"/>
      <c r="BE110" s="227"/>
      <c r="BF110" s="227"/>
      <c r="BG110" s="227"/>
      <c r="BH110" s="227"/>
      <c r="BI110" s="227"/>
      <c r="BJ110" s="233"/>
      <c r="BK110" s="228"/>
      <c r="BL110" s="228"/>
      <c r="BM110" s="228"/>
      <c r="BN110" s="228"/>
      <c r="BO110" s="228"/>
      <c r="BP110" s="228"/>
      <c r="BQ110" s="228"/>
      <c r="BR110" s="228"/>
      <c r="BS110" s="228"/>
      <c r="BT110" s="228"/>
      <c r="BU110" s="228"/>
      <c r="BV110" s="228"/>
      <c r="BW110" s="229"/>
      <c r="BX110" s="229"/>
      <c r="BY110" s="229"/>
      <c r="BZ110" s="229"/>
      <c r="CA110" s="229"/>
      <c r="CB110" s="229"/>
      <c r="CC110" s="229"/>
      <c r="CD110" s="229"/>
      <c r="CE110" s="229"/>
      <c r="CF110" s="451"/>
      <c r="CG110" s="229"/>
      <c r="CH110" s="235"/>
      <c r="CI110" s="229"/>
      <c r="CJ110" s="229"/>
      <c r="CK110" s="229"/>
      <c r="CL110" s="229"/>
      <c r="CM110" s="229"/>
      <c r="CN110" s="229"/>
      <c r="CO110" s="230"/>
      <c r="CP110" s="230"/>
      <c r="CQ110" s="230"/>
      <c r="CR110" s="516"/>
      <c r="CS110" s="516"/>
      <c r="CT110" s="516"/>
      <c r="CU110" s="516"/>
      <c r="CV110" s="516"/>
      <c r="CW110" s="516"/>
      <c r="CX110" s="516"/>
      <c r="CY110" s="517"/>
      <c r="CZ110" s="230"/>
      <c r="DA110" s="230"/>
      <c r="DB110" s="230"/>
      <c r="DC110" s="227"/>
      <c r="DD110" s="227"/>
      <c r="DE110" s="227"/>
      <c r="DF110" s="227"/>
      <c r="DG110" s="227"/>
      <c r="DH110" s="227"/>
      <c r="DI110" s="227"/>
      <c r="DJ110" s="227"/>
      <c r="DK110" s="613"/>
      <c r="DL110" s="496">
        <f t="shared" si="120"/>
        <v>50</v>
      </c>
      <c r="DM110" s="120">
        <f t="shared" si="121"/>
        <v>20</v>
      </c>
      <c r="DN110" s="120">
        <f t="shared" si="122"/>
        <v>0</v>
      </c>
      <c r="DO110" s="358">
        <f t="shared" si="123"/>
        <v>0</v>
      </c>
    </row>
    <row r="111" spans="2:123" ht="32.1" customHeight="1" outlineLevel="1" thickBot="1" x14ac:dyDescent="0.3">
      <c r="B111" s="816"/>
      <c r="C111" s="814"/>
      <c r="D111" s="792"/>
      <c r="E111" s="772" t="s">
        <v>137</v>
      </c>
      <c r="F111" s="429" t="s">
        <v>5</v>
      </c>
      <c r="G111" s="430" t="s">
        <v>133</v>
      </c>
      <c r="H111" s="463"/>
      <c r="I111" s="941" t="s">
        <v>178</v>
      </c>
      <c r="J111" s="479"/>
      <c r="K111" s="479"/>
      <c r="L111" s="206"/>
      <c r="M111" s="206"/>
      <c r="N111" s="206"/>
      <c r="O111" s="206"/>
      <c r="P111" s="206"/>
      <c r="Q111" s="206"/>
      <c r="R111" s="206"/>
      <c r="S111" s="206"/>
      <c r="T111" s="206"/>
      <c r="U111" s="207"/>
      <c r="V111" s="207"/>
      <c r="W111" s="207"/>
      <c r="X111" s="207"/>
      <c r="Y111" s="207"/>
      <c r="Z111" s="207"/>
      <c r="AA111" s="207"/>
      <c r="AB111" s="207"/>
      <c r="AC111" s="207"/>
      <c r="AD111" s="207"/>
      <c r="AE111" s="207"/>
      <c r="AF111" s="207"/>
      <c r="AG111" s="207"/>
      <c r="AH111" s="207"/>
      <c r="AI111" s="207"/>
      <c r="AJ111" s="207"/>
      <c r="AK111" s="207"/>
      <c r="AL111" s="207"/>
      <c r="AM111" s="207"/>
      <c r="AN111" s="207"/>
      <c r="AO111" s="207"/>
      <c r="AP111" s="208"/>
      <c r="AQ111" s="208"/>
      <c r="AR111" s="208"/>
      <c r="AS111" s="208"/>
      <c r="AT111" s="208"/>
      <c r="AU111" s="209"/>
      <c r="AV111" s="209"/>
      <c r="AW111" s="209"/>
      <c r="AX111" s="209"/>
      <c r="AY111" s="209"/>
      <c r="AZ111" s="209"/>
      <c r="BA111" s="210"/>
      <c r="BB111" s="210"/>
      <c r="BC111" s="210"/>
      <c r="BD111" s="210"/>
      <c r="BE111" s="206"/>
      <c r="BF111" s="206"/>
      <c r="BG111" s="206"/>
      <c r="BH111" s="206"/>
      <c r="BI111" s="206"/>
      <c r="BJ111" s="211"/>
      <c r="BK111" s="207"/>
      <c r="BL111" s="207"/>
      <c r="BM111" s="207"/>
      <c r="BN111" s="207"/>
      <c r="BO111" s="207"/>
      <c r="BP111" s="207"/>
      <c r="BQ111" s="207"/>
      <c r="BR111" s="207"/>
      <c r="BS111" s="207"/>
      <c r="BT111" s="207"/>
      <c r="BU111" s="207"/>
      <c r="BV111" s="207"/>
      <c r="BW111" s="208"/>
      <c r="BX111" s="208"/>
      <c r="BY111" s="208"/>
      <c r="BZ111" s="208"/>
      <c r="CA111" s="208"/>
      <c r="CB111" s="208"/>
      <c r="CC111" s="208"/>
      <c r="CD111" s="208"/>
      <c r="CE111" s="208"/>
      <c r="CF111" s="455"/>
      <c r="CG111" s="208"/>
      <c r="CH111" s="212"/>
      <c r="CI111" s="208"/>
      <c r="CJ111" s="208"/>
      <c r="CK111" s="208"/>
      <c r="CL111" s="208"/>
      <c r="CM111" s="208"/>
      <c r="CN111" s="208"/>
      <c r="CO111" s="209"/>
      <c r="CP111" s="209"/>
      <c r="CQ111" s="209"/>
      <c r="CR111" s="512"/>
      <c r="CS111" s="512"/>
      <c r="CT111" s="512"/>
      <c r="CU111" s="512"/>
      <c r="CV111" s="512"/>
      <c r="CW111" s="512"/>
      <c r="CX111" s="512"/>
      <c r="CY111" s="513"/>
      <c r="CZ111" s="209"/>
      <c r="DA111" s="209"/>
      <c r="DB111" s="209"/>
      <c r="DC111" s="206"/>
      <c r="DD111" s="206"/>
      <c r="DE111" s="206"/>
      <c r="DF111" s="206"/>
      <c r="DG111" s="206"/>
      <c r="DH111" s="206"/>
      <c r="DI111" s="206"/>
      <c r="DJ111" s="206"/>
      <c r="DK111" s="611"/>
      <c r="DL111" s="494">
        <f t="shared" si="120"/>
        <v>0</v>
      </c>
      <c r="DM111" s="122">
        <f t="shared" si="121"/>
        <v>0</v>
      </c>
      <c r="DN111" s="122">
        <f t="shared" si="122"/>
        <v>0</v>
      </c>
      <c r="DO111" s="124">
        <f t="shared" si="123"/>
        <v>0</v>
      </c>
    </row>
    <row r="112" spans="2:123" ht="32.1" customHeight="1" outlineLevel="1" thickBot="1" x14ac:dyDescent="0.3">
      <c r="B112" s="816"/>
      <c r="C112" s="814"/>
      <c r="D112" s="792"/>
      <c r="E112" s="772"/>
      <c r="F112" s="213" t="s">
        <v>5</v>
      </c>
      <c r="G112" s="339" t="s">
        <v>133</v>
      </c>
      <c r="H112" s="341"/>
      <c r="I112" s="939" t="s">
        <v>71</v>
      </c>
      <c r="J112" s="340"/>
      <c r="K112" s="340"/>
      <c r="L112" s="216"/>
      <c r="M112" s="216"/>
      <c r="N112" s="216"/>
      <c r="O112" s="216"/>
      <c r="P112" s="216"/>
      <c r="Q112" s="216"/>
      <c r="R112" s="216"/>
      <c r="S112" s="216"/>
      <c r="T112" s="216"/>
      <c r="U112" s="217"/>
      <c r="V112" s="217"/>
      <c r="W112" s="217"/>
      <c r="X112" s="217"/>
      <c r="Y112" s="217"/>
      <c r="Z112" s="217"/>
      <c r="AA112" s="217"/>
      <c r="AB112" s="217"/>
      <c r="AC112" s="217"/>
      <c r="AD112" s="217"/>
      <c r="AE112" s="217"/>
      <c r="AF112" s="217"/>
      <c r="AG112" s="217"/>
      <c r="AH112" s="217"/>
      <c r="AI112" s="217"/>
      <c r="AJ112" s="217"/>
      <c r="AK112" s="217"/>
      <c r="AL112" s="217"/>
      <c r="AM112" s="217"/>
      <c r="AN112" s="217"/>
      <c r="AO112" s="217"/>
      <c r="AP112" s="218"/>
      <c r="AQ112" s="218"/>
      <c r="AR112" s="218"/>
      <c r="AS112" s="218"/>
      <c r="AT112" s="218"/>
      <c r="AU112" s="219"/>
      <c r="AV112" s="219"/>
      <c r="AW112" s="219"/>
      <c r="AX112" s="219"/>
      <c r="AY112" s="219"/>
      <c r="AZ112" s="219"/>
      <c r="BA112" s="220"/>
      <c r="BB112" s="220">
        <v>1</v>
      </c>
      <c r="BC112" s="220"/>
      <c r="BD112" s="220"/>
      <c r="BE112" s="216"/>
      <c r="BF112" s="216"/>
      <c r="BG112" s="216"/>
      <c r="BH112" s="216"/>
      <c r="BI112" s="216"/>
      <c r="BJ112" s="221"/>
      <c r="BK112" s="217"/>
      <c r="BL112" s="217">
        <v>25</v>
      </c>
      <c r="BM112" s="217"/>
      <c r="BN112" s="217"/>
      <c r="BO112" s="217"/>
      <c r="BP112" s="217"/>
      <c r="BQ112" s="217"/>
      <c r="BR112" s="217"/>
      <c r="BS112" s="217"/>
      <c r="BT112" s="217"/>
      <c r="BU112" s="217"/>
      <c r="BV112" s="217"/>
      <c r="BW112" s="218"/>
      <c r="BX112" s="218"/>
      <c r="BY112" s="218"/>
      <c r="BZ112" s="218"/>
      <c r="CA112" s="218"/>
      <c r="CB112" s="218"/>
      <c r="CC112" s="218"/>
      <c r="CD112" s="218"/>
      <c r="CE112" s="218"/>
      <c r="CF112" s="223"/>
      <c r="CG112" s="218"/>
      <c r="CH112" s="222"/>
      <c r="CI112" s="218"/>
      <c r="CJ112" s="218"/>
      <c r="CK112" s="218"/>
      <c r="CL112" s="218"/>
      <c r="CM112" s="218"/>
      <c r="CN112" s="218"/>
      <c r="CO112" s="219"/>
      <c r="CP112" s="219"/>
      <c r="CQ112" s="219"/>
      <c r="CR112" s="514"/>
      <c r="CS112" s="514"/>
      <c r="CT112" s="514"/>
      <c r="CU112" s="514"/>
      <c r="CV112" s="514"/>
      <c r="CW112" s="514"/>
      <c r="CX112" s="514"/>
      <c r="CY112" s="515"/>
      <c r="CZ112" s="219"/>
      <c r="DA112" s="219"/>
      <c r="DB112" s="219"/>
      <c r="DC112" s="216"/>
      <c r="DD112" s="216"/>
      <c r="DE112" s="216"/>
      <c r="DF112" s="216"/>
      <c r="DG112" s="216"/>
      <c r="DH112" s="216"/>
      <c r="DI112" s="216"/>
      <c r="DJ112" s="216"/>
      <c r="DK112" s="612"/>
      <c r="DL112" s="495">
        <f t="shared" si="120"/>
        <v>0</v>
      </c>
      <c r="DM112" s="84">
        <f t="shared" si="121"/>
        <v>26</v>
      </c>
      <c r="DN112" s="84">
        <f t="shared" si="122"/>
        <v>25</v>
      </c>
      <c r="DO112" s="125">
        <f t="shared" si="123"/>
        <v>0</v>
      </c>
    </row>
    <row r="113" spans="2:123" ht="32.1" customHeight="1" outlineLevel="1" thickBot="1" x14ac:dyDescent="0.3">
      <c r="B113" s="816"/>
      <c r="C113" s="814"/>
      <c r="D113" s="792"/>
      <c r="E113" s="772"/>
      <c r="F113" s="224" t="s">
        <v>5</v>
      </c>
      <c r="G113" s="432" t="s">
        <v>133</v>
      </c>
      <c r="H113" s="456"/>
      <c r="I113" s="942" t="s">
        <v>56</v>
      </c>
      <c r="J113" s="480"/>
      <c r="K113" s="480"/>
      <c r="L113" s="434"/>
      <c r="M113" s="434"/>
      <c r="N113" s="434"/>
      <c r="O113" s="434"/>
      <c r="P113" s="434"/>
      <c r="Q113" s="434"/>
      <c r="R113" s="434"/>
      <c r="S113" s="434"/>
      <c r="T113" s="434"/>
      <c r="U113" s="435"/>
      <c r="V113" s="435"/>
      <c r="W113" s="435"/>
      <c r="X113" s="435"/>
      <c r="Y113" s="435"/>
      <c r="Z113" s="435"/>
      <c r="AA113" s="435"/>
      <c r="AB113" s="435"/>
      <c r="AC113" s="435"/>
      <c r="AD113" s="435"/>
      <c r="AE113" s="435"/>
      <c r="AF113" s="435"/>
      <c r="AG113" s="435"/>
      <c r="AH113" s="435"/>
      <c r="AI113" s="435"/>
      <c r="AJ113" s="435"/>
      <c r="AK113" s="435"/>
      <c r="AL113" s="435"/>
      <c r="AM113" s="435"/>
      <c r="AN113" s="435"/>
      <c r="AO113" s="435"/>
      <c r="AP113" s="436"/>
      <c r="AQ113" s="436"/>
      <c r="AR113" s="436">
        <v>50</v>
      </c>
      <c r="AS113" s="436">
        <v>100</v>
      </c>
      <c r="AT113" s="436"/>
      <c r="AU113" s="437"/>
      <c r="AV113" s="437"/>
      <c r="AW113" s="437"/>
      <c r="AX113" s="437"/>
      <c r="AY113" s="437"/>
      <c r="AZ113" s="437"/>
      <c r="BA113" s="438"/>
      <c r="BB113" s="438"/>
      <c r="BC113" s="438"/>
      <c r="BD113" s="438"/>
      <c r="BE113" s="434"/>
      <c r="BF113" s="434"/>
      <c r="BG113" s="434"/>
      <c r="BH113" s="434"/>
      <c r="BI113" s="434"/>
      <c r="BJ113" s="439"/>
      <c r="BK113" s="435"/>
      <c r="BL113" s="435"/>
      <c r="BM113" s="435"/>
      <c r="BN113" s="435"/>
      <c r="BO113" s="435"/>
      <c r="BP113" s="435"/>
      <c r="BQ113" s="435"/>
      <c r="BR113" s="435"/>
      <c r="BS113" s="435"/>
      <c r="BT113" s="435"/>
      <c r="BU113" s="435"/>
      <c r="BV113" s="435"/>
      <c r="BW113" s="436"/>
      <c r="BX113" s="436"/>
      <c r="BY113" s="436"/>
      <c r="BZ113" s="436"/>
      <c r="CA113" s="436"/>
      <c r="CB113" s="436"/>
      <c r="CC113" s="436"/>
      <c r="CD113" s="436"/>
      <c r="CE113" s="436"/>
      <c r="CF113" s="458"/>
      <c r="CG113" s="436"/>
      <c r="CH113" s="440"/>
      <c r="CI113" s="436"/>
      <c r="CJ113" s="436"/>
      <c r="CK113" s="436"/>
      <c r="CL113" s="436"/>
      <c r="CM113" s="436"/>
      <c r="CN113" s="436"/>
      <c r="CO113" s="437"/>
      <c r="CP113" s="437"/>
      <c r="CQ113" s="437"/>
      <c r="CR113" s="522"/>
      <c r="CS113" s="522"/>
      <c r="CT113" s="522"/>
      <c r="CU113" s="522"/>
      <c r="CV113" s="522"/>
      <c r="CW113" s="522"/>
      <c r="CX113" s="522"/>
      <c r="CY113" s="523"/>
      <c r="CZ113" s="437"/>
      <c r="DA113" s="437"/>
      <c r="DB113" s="437"/>
      <c r="DC113" s="434"/>
      <c r="DD113" s="434"/>
      <c r="DE113" s="434"/>
      <c r="DF113" s="434"/>
      <c r="DG113" s="434"/>
      <c r="DH113" s="434"/>
      <c r="DI113" s="434"/>
      <c r="DJ113" s="434"/>
      <c r="DK113" s="614"/>
      <c r="DL113" s="497">
        <f t="shared" si="120"/>
        <v>0</v>
      </c>
      <c r="DM113" s="126">
        <f t="shared" si="121"/>
        <v>150</v>
      </c>
      <c r="DN113" s="126">
        <f t="shared" si="122"/>
        <v>0</v>
      </c>
      <c r="DO113" s="127">
        <f t="shared" si="123"/>
        <v>0</v>
      </c>
    </row>
    <row r="114" spans="2:123" ht="31.5" customHeight="1" outlineLevel="1" thickBot="1" x14ac:dyDescent="0.3">
      <c r="B114" s="816"/>
      <c r="C114" s="814"/>
      <c r="D114" s="792"/>
      <c r="E114" s="774" t="s">
        <v>138</v>
      </c>
      <c r="F114" s="328" t="s">
        <v>5</v>
      </c>
      <c r="G114" s="428" t="s">
        <v>133</v>
      </c>
      <c r="H114" s="341"/>
      <c r="I114" s="943" t="s">
        <v>179</v>
      </c>
      <c r="J114" s="478"/>
      <c r="K114" s="478"/>
      <c r="L114" s="331"/>
      <c r="M114" s="331"/>
      <c r="N114" s="331"/>
      <c r="O114" s="331"/>
      <c r="P114" s="331"/>
      <c r="Q114" s="331"/>
      <c r="R114" s="331"/>
      <c r="S114" s="331"/>
      <c r="T114" s="331"/>
      <c r="U114" s="332"/>
      <c r="V114" s="332"/>
      <c r="W114" s="332"/>
      <c r="X114" s="332"/>
      <c r="Y114" s="332"/>
      <c r="Z114" s="332"/>
      <c r="AA114" s="332"/>
      <c r="AB114" s="332"/>
      <c r="AC114" s="332"/>
      <c r="AD114" s="332"/>
      <c r="AE114" s="332"/>
      <c r="AF114" s="332"/>
      <c r="AG114" s="332"/>
      <c r="AH114" s="332"/>
      <c r="AI114" s="332"/>
      <c r="AJ114" s="332"/>
      <c r="AK114" s="332"/>
      <c r="AL114" s="332"/>
      <c r="AM114" s="332"/>
      <c r="AN114" s="332"/>
      <c r="AO114" s="332"/>
      <c r="AP114" s="333"/>
      <c r="AQ114" s="333"/>
      <c r="AR114" s="333"/>
      <c r="AS114" s="333"/>
      <c r="AT114" s="333"/>
      <c r="AU114" s="334"/>
      <c r="AV114" s="334"/>
      <c r="AW114" s="334"/>
      <c r="AX114" s="334"/>
      <c r="AY114" s="334"/>
      <c r="AZ114" s="334"/>
      <c r="BA114" s="335"/>
      <c r="BB114" s="335"/>
      <c r="BC114" s="335"/>
      <c r="BD114" s="335"/>
      <c r="BE114" s="331"/>
      <c r="BF114" s="331"/>
      <c r="BG114" s="331"/>
      <c r="BH114" s="331"/>
      <c r="BI114" s="331"/>
      <c r="BJ114" s="336"/>
      <c r="BK114" s="332"/>
      <c r="BL114" s="332"/>
      <c r="BM114" s="332"/>
      <c r="BN114" s="332"/>
      <c r="BO114" s="332"/>
      <c r="BP114" s="332"/>
      <c r="BQ114" s="332"/>
      <c r="BR114" s="332"/>
      <c r="BS114" s="332"/>
      <c r="BT114" s="332"/>
      <c r="BU114" s="332"/>
      <c r="BV114" s="332"/>
      <c r="BW114" s="333"/>
      <c r="BX114" s="333"/>
      <c r="BY114" s="333"/>
      <c r="BZ114" s="333"/>
      <c r="CA114" s="333"/>
      <c r="CB114" s="333"/>
      <c r="CC114" s="333"/>
      <c r="CD114" s="333"/>
      <c r="CE114" s="333"/>
      <c r="CF114" s="453"/>
      <c r="CG114" s="333">
        <v>1.5</v>
      </c>
      <c r="CH114" s="338"/>
      <c r="CI114" s="333"/>
      <c r="CJ114" s="333"/>
      <c r="CK114" s="333"/>
      <c r="CL114" s="333"/>
      <c r="CM114" s="333"/>
      <c r="CN114" s="333"/>
      <c r="CO114" s="334"/>
      <c r="CP114" s="334"/>
      <c r="CQ114" s="334"/>
      <c r="CR114" s="524"/>
      <c r="CS114" s="524"/>
      <c r="CT114" s="524"/>
      <c r="CU114" s="524"/>
      <c r="CV114" s="524"/>
      <c r="CW114" s="524"/>
      <c r="CX114" s="524"/>
      <c r="CY114" s="525"/>
      <c r="CZ114" s="334"/>
      <c r="DA114" s="334"/>
      <c r="DB114" s="334"/>
      <c r="DC114" s="331"/>
      <c r="DD114" s="331"/>
      <c r="DE114" s="331"/>
      <c r="DF114" s="331"/>
      <c r="DG114" s="331"/>
      <c r="DH114" s="331"/>
      <c r="DI114" s="331"/>
      <c r="DJ114" s="331"/>
      <c r="DK114" s="615"/>
      <c r="DL114" s="498">
        <f t="shared" si="120"/>
        <v>0</v>
      </c>
      <c r="DM114" s="121">
        <f t="shared" si="121"/>
        <v>1.5</v>
      </c>
      <c r="DN114" s="121">
        <f t="shared" si="122"/>
        <v>0</v>
      </c>
      <c r="DO114" s="357">
        <f t="shared" si="123"/>
        <v>0</v>
      </c>
    </row>
    <row r="115" spans="2:123" ht="31.5" customHeight="1" outlineLevel="1" thickBot="1" x14ac:dyDescent="0.3">
      <c r="B115" s="816"/>
      <c r="C115" s="814"/>
      <c r="D115" s="792"/>
      <c r="E115" s="772"/>
      <c r="F115" s="213" t="s">
        <v>5</v>
      </c>
      <c r="G115" s="339" t="s">
        <v>133</v>
      </c>
      <c r="H115" s="341"/>
      <c r="I115" s="939" t="s">
        <v>60</v>
      </c>
      <c r="J115" s="340"/>
      <c r="K115" s="340"/>
      <c r="L115" s="216"/>
      <c r="M115" s="216"/>
      <c r="N115" s="216"/>
      <c r="O115" s="216"/>
      <c r="P115" s="216"/>
      <c r="Q115" s="216"/>
      <c r="R115" s="216"/>
      <c r="S115" s="216"/>
      <c r="T115" s="216"/>
      <c r="U115" s="217"/>
      <c r="V115" s="217"/>
      <c r="W115" s="217"/>
      <c r="X115" s="217"/>
      <c r="Y115" s="217"/>
      <c r="Z115" s="217"/>
      <c r="AA115" s="217"/>
      <c r="AB115" s="217"/>
      <c r="AC115" s="217"/>
      <c r="AD115" s="217"/>
      <c r="AE115" s="217"/>
      <c r="AF115" s="217"/>
      <c r="AG115" s="217"/>
      <c r="AH115" s="217"/>
      <c r="AI115" s="217"/>
      <c r="AJ115" s="217"/>
      <c r="AK115" s="217"/>
      <c r="AL115" s="217"/>
      <c r="AM115" s="217"/>
      <c r="AN115" s="217"/>
      <c r="AO115" s="217"/>
      <c r="AP115" s="218"/>
      <c r="AQ115" s="218"/>
      <c r="AR115" s="218"/>
      <c r="AS115" s="218"/>
      <c r="AT115" s="218"/>
      <c r="AU115" s="219"/>
      <c r="AV115" s="219"/>
      <c r="AW115" s="219"/>
      <c r="AX115" s="219"/>
      <c r="AY115" s="219"/>
      <c r="AZ115" s="219"/>
      <c r="BA115" s="220"/>
      <c r="BB115" s="220"/>
      <c r="BC115" s="220"/>
      <c r="BD115" s="220"/>
      <c r="BE115" s="216"/>
      <c r="BF115" s="216"/>
      <c r="BG115" s="216"/>
      <c r="BH115" s="216"/>
      <c r="BI115" s="216"/>
      <c r="BJ115" s="221"/>
      <c r="BK115" s="217"/>
      <c r="BL115" s="217"/>
      <c r="BM115" s="217"/>
      <c r="BN115" s="217"/>
      <c r="BO115" s="217"/>
      <c r="BP115" s="217"/>
      <c r="BQ115" s="217"/>
      <c r="BR115" s="217"/>
      <c r="BS115" s="217"/>
      <c r="BT115" s="217"/>
      <c r="BU115" s="217"/>
      <c r="BV115" s="217"/>
      <c r="BW115" s="218"/>
      <c r="BX115" s="218"/>
      <c r="BY115" s="218"/>
      <c r="BZ115" s="218"/>
      <c r="CA115" s="218"/>
      <c r="CB115" s="218"/>
      <c r="CC115" s="218"/>
      <c r="CD115" s="218"/>
      <c r="CE115" s="218">
        <v>25</v>
      </c>
      <c r="CF115" s="223"/>
      <c r="CG115" s="218"/>
      <c r="CH115" s="222"/>
      <c r="CI115" s="218"/>
      <c r="CJ115" s="218"/>
      <c r="CK115" s="218"/>
      <c r="CL115" s="218"/>
      <c r="CM115" s="218"/>
      <c r="CN115" s="218"/>
      <c r="CO115" s="219"/>
      <c r="CP115" s="219"/>
      <c r="CQ115" s="219"/>
      <c r="CR115" s="514"/>
      <c r="CS115" s="514"/>
      <c r="CT115" s="514"/>
      <c r="CU115" s="514"/>
      <c r="CV115" s="514"/>
      <c r="CW115" s="514"/>
      <c r="CX115" s="514"/>
      <c r="CY115" s="515"/>
      <c r="CZ115" s="219"/>
      <c r="DA115" s="219"/>
      <c r="DB115" s="219"/>
      <c r="DC115" s="216"/>
      <c r="DD115" s="216"/>
      <c r="DE115" s="216"/>
      <c r="DF115" s="216"/>
      <c r="DG115" s="216"/>
      <c r="DH115" s="216"/>
      <c r="DI115" s="216"/>
      <c r="DJ115" s="216"/>
      <c r="DK115" s="612"/>
      <c r="DL115" s="495">
        <f t="shared" si="120"/>
        <v>0</v>
      </c>
      <c r="DM115" s="84">
        <f t="shared" si="121"/>
        <v>25</v>
      </c>
      <c r="DN115" s="84">
        <f t="shared" si="122"/>
        <v>0</v>
      </c>
      <c r="DO115" s="125">
        <f t="shared" si="123"/>
        <v>0</v>
      </c>
    </row>
    <row r="116" spans="2:123" ht="32.1" customHeight="1" outlineLevel="1" thickBot="1" x14ac:dyDescent="0.3">
      <c r="B116" s="816"/>
      <c r="C116" s="814"/>
      <c r="D116" s="792"/>
      <c r="E116" s="772"/>
      <c r="F116" s="213" t="s">
        <v>5</v>
      </c>
      <c r="G116" s="339" t="s">
        <v>133</v>
      </c>
      <c r="H116" s="341"/>
      <c r="I116" s="939" t="s">
        <v>67</v>
      </c>
      <c r="J116" s="340"/>
      <c r="K116" s="340"/>
      <c r="L116" s="216"/>
      <c r="M116" s="216"/>
      <c r="N116" s="216"/>
      <c r="O116" s="216"/>
      <c r="P116" s="216"/>
      <c r="Q116" s="216"/>
      <c r="R116" s="216"/>
      <c r="S116" s="216"/>
      <c r="T116" s="216"/>
      <c r="U116" s="217"/>
      <c r="V116" s="217"/>
      <c r="W116" s="217"/>
      <c r="X116" s="217"/>
      <c r="Y116" s="217"/>
      <c r="Z116" s="217"/>
      <c r="AA116" s="217"/>
      <c r="AB116" s="217"/>
      <c r="AC116" s="217"/>
      <c r="AD116" s="217"/>
      <c r="AE116" s="217"/>
      <c r="AF116" s="217"/>
      <c r="AG116" s="217"/>
      <c r="AH116" s="217"/>
      <c r="AI116" s="217"/>
      <c r="AJ116" s="217"/>
      <c r="AK116" s="217"/>
      <c r="AL116" s="217"/>
      <c r="AM116" s="217"/>
      <c r="AN116" s="217"/>
      <c r="AO116" s="217"/>
      <c r="AP116" s="218"/>
      <c r="AQ116" s="218"/>
      <c r="AR116" s="218"/>
      <c r="AS116" s="218"/>
      <c r="AT116" s="218"/>
      <c r="AU116" s="219"/>
      <c r="AV116" s="219"/>
      <c r="AW116" s="219"/>
      <c r="AX116" s="219"/>
      <c r="AY116" s="219"/>
      <c r="AZ116" s="219"/>
      <c r="BA116" s="220"/>
      <c r="BB116" s="220"/>
      <c r="BC116" s="220"/>
      <c r="BD116" s="220"/>
      <c r="BE116" s="216"/>
      <c r="BF116" s="216"/>
      <c r="BG116" s="216"/>
      <c r="BH116" s="216"/>
      <c r="BI116" s="216"/>
      <c r="BJ116" s="221"/>
      <c r="BK116" s="217"/>
      <c r="BL116" s="217"/>
      <c r="BM116" s="217"/>
      <c r="BN116" s="217"/>
      <c r="BO116" s="217"/>
      <c r="BP116" s="217"/>
      <c r="BQ116" s="217"/>
      <c r="BR116" s="217"/>
      <c r="BS116" s="217"/>
      <c r="BT116" s="217"/>
      <c r="BU116" s="217"/>
      <c r="BV116" s="217"/>
      <c r="BW116" s="218"/>
      <c r="BX116" s="218"/>
      <c r="BY116" s="218"/>
      <c r="BZ116" s="218"/>
      <c r="CA116" s="218"/>
      <c r="CB116" s="218"/>
      <c r="CC116" s="218"/>
      <c r="CD116" s="218"/>
      <c r="CE116" s="218"/>
      <c r="CF116" s="223"/>
      <c r="CG116" s="218"/>
      <c r="CH116" s="222"/>
      <c r="CI116" s="218"/>
      <c r="CJ116" s="218"/>
      <c r="CK116" s="218"/>
      <c r="CL116" s="218"/>
      <c r="CM116" s="218"/>
      <c r="CN116" s="218"/>
      <c r="CO116" s="219"/>
      <c r="CP116" s="219"/>
      <c r="CQ116" s="219"/>
      <c r="CR116" s="514"/>
      <c r="CS116" s="514"/>
      <c r="CT116" s="514"/>
      <c r="CU116" s="514"/>
      <c r="CV116" s="514"/>
      <c r="CW116" s="514"/>
      <c r="CX116" s="514"/>
      <c r="CY116" s="515"/>
      <c r="CZ116" s="219"/>
      <c r="DA116" s="219"/>
      <c r="DB116" s="219"/>
      <c r="DC116" s="216"/>
      <c r="DD116" s="216"/>
      <c r="DE116" s="216"/>
      <c r="DF116" s="216"/>
      <c r="DG116" s="216"/>
      <c r="DH116" s="216"/>
      <c r="DI116" s="216"/>
      <c r="DJ116" s="216"/>
      <c r="DK116" s="612"/>
      <c r="DL116" s="495">
        <f t="shared" si="120"/>
        <v>0</v>
      </c>
      <c r="DM116" s="84">
        <f t="shared" si="121"/>
        <v>0</v>
      </c>
      <c r="DN116" s="84">
        <f t="shared" si="122"/>
        <v>0</v>
      </c>
      <c r="DO116" s="125">
        <f t="shared" si="123"/>
        <v>0</v>
      </c>
    </row>
    <row r="117" spans="2:123" ht="32.1" customHeight="1" outlineLevel="1" thickBot="1" x14ac:dyDescent="0.3">
      <c r="B117" s="816"/>
      <c r="C117" s="814"/>
      <c r="D117" s="792"/>
      <c r="E117" s="772"/>
      <c r="F117" s="213" t="s">
        <v>5</v>
      </c>
      <c r="G117" s="339" t="s">
        <v>133</v>
      </c>
      <c r="H117" s="341"/>
      <c r="I117" s="939" t="s">
        <v>63</v>
      </c>
      <c r="J117" s="340"/>
      <c r="K117" s="340"/>
      <c r="L117" s="216"/>
      <c r="M117" s="216"/>
      <c r="N117" s="216"/>
      <c r="O117" s="216"/>
      <c r="P117" s="216"/>
      <c r="Q117" s="216"/>
      <c r="R117" s="216"/>
      <c r="S117" s="216"/>
      <c r="T117" s="216"/>
      <c r="U117" s="217"/>
      <c r="V117" s="217"/>
      <c r="W117" s="217"/>
      <c r="X117" s="217"/>
      <c r="Y117" s="217"/>
      <c r="Z117" s="217"/>
      <c r="AA117" s="217"/>
      <c r="AB117" s="217"/>
      <c r="AC117" s="217"/>
      <c r="AD117" s="217"/>
      <c r="AE117" s="217"/>
      <c r="AF117" s="217"/>
      <c r="AG117" s="217"/>
      <c r="AH117" s="217"/>
      <c r="AI117" s="217"/>
      <c r="AJ117" s="217"/>
      <c r="AK117" s="217"/>
      <c r="AL117" s="217"/>
      <c r="AM117" s="217"/>
      <c r="AN117" s="217"/>
      <c r="AO117" s="217"/>
      <c r="AP117" s="218"/>
      <c r="AQ117" s="218"/>
      <c r="AR117" s="218"/>
      <c r="AS117" s="218"/>
      <c r="AT117" s="218"/>
      <c r="AU117" s="219"/>
      <c r="AV117" s="219"/>
      <c r="AW117" s="219"/>
      <c r="AX117" s="219"/>
      <c r="AY117" s="219"/>
      <c r="AZ117" s="219"/>
      <c r="BA117" s="343">
        <v>17.5</v>
      </c>
      <c r="BB117" s="343"/>
      <c r="BC117" s="343"/>
      <c r="BD117" s="220"/>
      <c r="BE117" s="216"/>
      <c r="BF117" s="216"/>
      <c r="BG117" s="216"/>
      <c r="BH117" s="216"/>
      <c r="BI117" s="216"/>
      <c r="BJ117" s="221"/>
      <c r="BK117" s="217"/>
      <c r="BL117" s="217"/>
      <c r="BM117" s="217"/>
      <c r="BN117" s="217"/>
      <c r="BO117" s="217"/>
      <c r="BP117" s="217"/>
      <c r="BQ117" s="217"/>
      <c r="BR117" s="217"/>
      <c r="BS117" s="217"/>
      <c r="BT117" s="217"/>
      <c r="BU117" s="217"/>
      <c r="BV117" s="217"/>
      <c r="BW117" s="218"/>
      <c r="BX117" s="218"/>
      <c r="BY117" s="218"/>
      <c r="BZ117" s="218"/>
      <c r="CA117" s="218"/>
      <c r="CB117" s="218"/>
      <c r="CC117" s="218"/>
      <c r="CD117" s="218"/>
      <c r="CE117" s="218"/>
      <c r="CF117" s="218"/>
      <c r="CG117" s="218"/>
      <c r="CH117" s="222"/>
      <c r="CI117" s="218"/>
      <c r="CJ117" s="218"/>
      <c r="CK117" s="218"/>
      <c r="CL117" s="218"/>
      <c r="CM117" s="218"/>
      <c r="CN117" s="218"/>
      <c r="CO117" s="219"/>
      <c r="CP117" s="219"/>
      <c r="CQ117" s="219"/>
      <c r="CR117" s="514"/>
      <c r="CS117" s="514"/>
      <c r="CT117" s="514"/>
      <c r="CU117" s="514"/>
      <c r="CV117" s="514"/>
      <c r="CW117" s="514"/>
      <c r="CX117" s="514"/>
      <c r="CY117" s="515"/>
      <c r="CZ117" s="219"/>
      <c r="DA117" s="219"/>
      <c r="DB117" s="219"/>
      <c r="DC117" s="216"/>
      <c r="DD117" s="216"/>
      <c r="DE117" s="216"/>
      <c r="DF117" s="216"/>
      <c r="DG117" s="216"/>
      <c r="DH117" s="216"/>
      <c r="DI117" s="216"/>
      <c r="DJ117" s="216"/>
      <c r="DK117" s="612"/>
      <c r="DL117" s="497">
        <f t="shared" si="120"/>
        <v>0</v>
      </c>
      <c r="DM117" s="126">
        <f t="shared" si="121"/>
        <v>17.5</v>
      </c>
      <c r="DN117" s="126">
        <f t="shared" si="122"/>
        <v>0</v>
      </c>
      <c r="DO117" s="127">
        <f t="shared" si="123"/>
        <v>0</v>
      </c>
    </row>
    <row r="118" spans="2:123" s="834" customFormat="1" ht="16.5" customHeight="1" outlineLevel="1" thickBot="1" x14ac:dyDescent="0.35">
      <c r="B118" s="816"/>
      <c r="C118" s="814"/>
      <c r="D118" s="819"/>
      <c r="E118" s="820" t="s">
        <v>254</v>
      </c>
      <c r="F118" s="821"/>
      <c r="G118" s="822"/>
      <c r="H118" s="823"/>
      <c r="I118" s="903"/>
      <c r="J118" s="824">
        <f>SUM(J108:J117)</f>
        <v>0</v>
      </c>
      <c r="K118" s="824">
        <f t="shared" ref="K118:CL118" si="124">SUM(K108:K117)</f>
        <v>0</v>
      </c>
      <c r="L118" s="824">
        <f t="shared" si="124"/>
        <v>0</v>
      </c>
      <c r="M118" s="824">
        <f t="shared" si="124"/>
        <v>0</v>
      </c>
      <c r="N118" s="824">
        <f t="shared" si="124"/>
        <v>0</v>
      </c>
      <c r="O118" s="824">
        <f t="shared" si="124"/>
        <v>0</v>
      </c>
      <c r="P118" s="824">
        <f t="shared" si="124"/>
        <v>0</v>
      </c>
      <c r="Q118" s="824">
        <f t="shared" si="124"/>
        <v>75</v>
      </c>
      <c r="R118" s="824">
        <f t="shared" si="124"/>
        <v>0</v>
      </c>
      <c r="S118" s="824">
        <f t="shared" si="124"/>
        <v>0</v>
      </c>
      <c r="T118" s="824">
        <f t="shared" si="124"/>
        <v>0</v>
      </c>
      <c r="U118" s="825">
        <f t="shared" si="124"/>
        <v>20</v>
      </c>
      <c r="V118" s="825">
        <f t="shared" si="124"/>
        <v>0</v>
      </c>
      <c r="W118" s="825">
        <f t="shared" si="124"/>
        <v>0</v>
      </c>
      <c r="X118" s="825">
        <f t="shared" si="124"/>
        <v>0</v>
      </c>
      <c r="Y118" s="825">
        <f t="shared" si="124"/>
        <v>0</v>
      </c>
      <c r="Z118" s="825">
        <f t="shared" si="124"/>
        <v>0</v>
      </c>
      <c r="AA118" s="825">
        <f t="shared" si="124"/>
        <v>0</v>
      </c>
      <c r="AB118" s="825">
        <f t="shared" ref="AB118:AD118" si="125">SUM(AB108:AB117)</f>
        <v>0</v>
      </c>
      <c r="AC118" s="825">
        <f t="shared" si="125"/>
        <v>0</v>
      </c>
      <c r="AD118" s="825">
        <f t="shared" si="125"/>
        <v>0</v>
      </c>
      <c r="AE118" s="825">
        <f t="shared" si="124"/>
        <v>0</v>
      </c>
      <c r="AF118" s="825">
        <f t="shared" si="124"/>
        <v>0</v>
      </c>
      <c r="AG118" s="825">
        <f t="shared" si="124"/>
        <v>0</v>
      </c>
      <c r="AH118" s="825">
        <f t="shared" si="124"/>
        <v>0</v>
      </c>
      <c r="AI118" s="825">
        <f t="shared" ref="AI118:AO118" si="126">SUM(AI108:AI117)</f>
        <v>0</v>
      </c>
      <c r="AJ118" s="825">
        <f t="shared" si="126"/>
        <v>0</v>
      </c>
      <c r="AK118" s="825">
        <f t="shared" si="126"/>
        <v>0</v>
      </c>
      <c r="AL118" s="825">
        <f t="shared" si="126"/>
        <v>0</v>
      </c>
      <c r="AM118" s="825">
        <f t="shared" si="126"/>
        <v>0</v>
      </c>
      <c r="AN118" s="825">
        <f t="shared" si="126"/>
        <v>0</v>
      </c>
      <c r="AO118" s="825">
        <f t="shared" si="126"/>
        <v>0</v>
      </c>
      <c r="AP118" s="826">
        <f t="shared" si="124"/>
        <v>0</v>
      </c>
      <c r="AQ118" s="826">
        <f t="shared" ref="AQ118" si="127">SUM(AQ108:AQ117)</f>
        <v>0</v>
      </c>
      <c r="AR118" s="826">
        <f t="shared" si="124"/>
        <v>50</v>
      </c>
      <c r="AS118" s="826">
        <f t="shared" si="124"/>
        <v>100</v>
      </c>
      <c r="AT118" s="826">
        <f t="shared" si="124"/>
        <v>0</v>
      </c>
      <c r="AU118" s="827">
        <f t="shared" si="124"/>
        <v>200</v>
      </c>
      <c r="AV118" s="827">
        <f t="shared" si="124"/>
        <v>0</v>
      </c>
      <c r="AW118" s="827">
        <f t="shared" si="124"/>
        <v>0</v>
      </c>
      <c r="AX118" s="827">
        <f t="shared" ref="AX118:AY118" si="128">SUM(AX108:AX117)</f>
        <v>0</v>
      </c>
      <c r="AY118" s="827">
        <f t="shared" si="128"/>
        <v>0</v>
      </c>
      <c r="AZ118" s="827">
        <f t="shared" si="124"/>
        <v>0</v>
      </c>
      <c r="BA118" s="828">
        <f t="shared" si="124"/>
        <v>17.5</v>
      </c>
      <c r="BB118" s="828">
        <f t="shared" si="124"/>
        <v>1</v>
      </c>
      <c r="BC118" s="828">
        <f t="shared" si="124"/>
        <v>0</v>
      </c>
      <c r="BD118" s="828">
        <f t="shared" si="124"/>
        <v>0</v>
      </c>
      <c r="BE118" s="824">
        <f t="shared" si="124"/>
        <v>0</v>
      </c>
      <c r="BF118" s="824">
        <f t="shared" si="124"/>
        <v>10</v>
      </c>
      <c r="BG118" s="824">
        <f t="shared" si="124"/>
        <v>0</v>
      </c>
      <c r="BH118" s="824">
        <f t="shared" si="124"/>
        <v>0</v>
      </c>
      <c r="BI118" s="824">
        <f t="shared" si="124"/>
        <v>0</v>
      </c>
      <c r="BJ118" s="824">
        <f t="shared" si="124"/>
        <v>0</v>
      </c>
      <c r="BK118" s="825">
        <f t="shared" si="124"/>
        <v>0</v>
      </c>
      <c r="BL118" s="825">
        <f t="shared" si="124"/>
        <v>25</v>
      </c>
      <c r="BM118" s="825">
        <f t="shared" si="124"/>
        <v>0</v>
      </c>
      <c r="BN118" s="825">
        <f t="shared" si="124"/>
        <v>0</v>
      </c>
      <c r="BO118" s="825">
        <f t="shared" si="124"/>
        <v>0</v>
      </c>
      <c r="BP118" s="825">
        <f t="shared" si="124"/>
        <v>80</v>
      </c>
      <c r="BQ118" s="825">
        <f t="shared" si="124"/>
        <v>0</v>
      </c>
      <c r="BR118" s="825">
        <f t="shared" ref="BR118" si="129">SUM(BR108:BR117)</f>
        <v>0</v>
      </c>
      <c r="BS118" s="825">
        <f t="shared" ref="BS118" si="130">SUM(BS108:BS117)</f>
        <v>0</v>
      </c>
      <c r="BT118" s="825">
        <f t="shared" si="124"/>
        <v>0</v>
      </c>
      <c r="BU118" s="825">
        <f t="shared" si="124"/>
        <v>0</v>
      </c>
      <c r="BV118" s="825">
        <f t="shared" si="124"/>
        <v>0</v>
      </c>
      <c r="BW118" s="826">
        <f t="shared" si="124"/>
        <v>0</v>
      </c>
      <c r="BX118" s="826">
        <f t="shared" si="124"/>
        <v>0</v>
      </c>
      <c r="BY118" s="826">
        <f t="shared" si="124"/>
        <v>0</v>
      </c>
      <c r="BZ118" s="826">
        <f t="shared" si="124"/>
        <v>0</v>
      </c>
      <c r="CA118" s="826">
        <f t="shared" si="124"/>
        <v>0</v>
      </c>
      <c r="CB118" s="826">
        <f t="shared" ref="CB118" si="131">SUM(CB108:CB117)</f>
        <v>0</v>
      </c>
      <c r="CC118" s="826">
        <f t="shared" si="124"/>
        <v>0</v>
      </c>
      <c r="CD118" s="826">
        <f t="shared" si="124"/>
        <v>0</v>
      </c>
      <c r="CE118" s="826">
        <f t="shared" si="124"/>
        <v>25</v>
      </c>
      <c r="CF118" s="826">
        <f t="shared" si="124"/>
        <v>0</v>
      </c>
      <c r="CG118" s="826">
        <f t="shared" si="124"/>
        <v>1.5</v>
      </c>
      <c r="CH118" s="826">
        <f t="shared" si="124"/>
        <v>0</v>
      </c>
      <c r="CI118" s="826">
        <f t="shared" si="124"/>
        <v>0</v>
      </c>
      <c r="CJ118" s="826">
        <f t="shared" si="124"/>
        <v>0</v>
      </c>
      <c r="CK118" s="826">
        <f t="shared" si="124"/>
        <v>0</v>
      </c>
      <c r="CL118" s="826">
        <f t="shared" si="124"/>
        <v>0</v>
      </c>
      <c r="CM118" s="826">
        <f t="shared" ref="CM118:DO118" si="132">SUM(CM108:CM117)</f>
        <v>0</v>
      </c>
      <c r="CN118" s="826">
        <f t="shared" si="132"/>
        <v>0</v>
      </c>
      <c r="CO118" s="827">
        <f t="shared" si="132"/>
        <v>0</v>
      </c>
      <c r="CP118" s="827">
        <f t="shared" si="132"/>
        <v>0</v>
      </c>
      <c r="CQ118" s="827">
        <f t="shared" si="132"/>
        <v>0</v>
      </c>
      <c r="CR118" s="827">
        <f t="shared" si="132"/>
        <v>0</v>
      </c>
      <c r="CS118" s="827">
        <f t="shared" si="132"/>
        <v>0</v>
      </c>
      <c r="CT118" s="827">
        <f t="shared" si="132"/>
        <v>0</v>
      </c>
      <c r="CU118" s="827">
        <f t="shared" si="132"/>
        <v>0</v>
      </c>
      <c r="CV118" s="827">
        <f t="shared" si="132"/>
        <v>0</v>
      </c>
      <c r="CW118" s="827">
        <f t="shared" si="132"/>
        <v>0</v>
      </c>
      <c r="CX118" s="827">
        <f t="shared" si="132"/>
        <v>0</v>
      </c>
      <c r="CY118" s="827">
        <f t="shared" si="132"/>
        <v>0</v>
      </c>
      <c r="CZ118" s="827">
        <f t="shared" si="132"/>
        <v>0</v>
      </c>
      <c r="DA118" s="827">
        <f t="shared" si="132"/>
        <v>0</v>
      </c>
      <c r="DB118" s="827">
        <f t="shared" si="132"/>
        <v>0</v>
      </c>
      <c r="DC118" s="824">
        <f t="shared" si="132"/>
        <v>0</v>
      </c>
      <c r="DD118" s="824">
        <f t="shared" si="132"/>
        <v>0</v>
      </c>
      <c r="DE118" s="824">
        <f t="shared" si="132"/>
        <v>0</v>
      </c>
      <c r="DF118" s="824">
        <f t="shared" si="132"/>
        <v>0</v>
      </c>
      <c r="DG118" s="824">
        <f t="shared" si="132"/>
        <v>0</v>
      </c>
      <c r="DH118" s="824">
        <f t="shared" si="132"/>
        <v>0</v>
      </c>
      <c r="DI118" s="824">
        <f t="shared" si="132"/>
        <v>0</v>
      </c>
      <c r="DJ118" s="824">
        <f t="shared" si="132"/>
        <v>0</v>
      </c>
      <c r="DK118" s="829">
        <f t="shared" si="132"/>
        <v>0</v>
      </c>
      <c r="DL118" s="830">
        <f t="shared" si="132"/>
        <v>425</v>
      </c>
      <c r="DM118" s="831">
        <f t="shared" si="132"/>
        <v>605</v>
      </c>
      <c r="DN118" s="831">
        <f t="shared" si="132"/>
        <v>105</v>
      </c>
      <c r="DO118" s="832">
        <f t="shared" si="132"/>
        <v>200</v>
      </c>
      <c r="DP118" s="833"/>
      <c r="DQ118" s="833"/>
      <c r="DR118" s="833"/>
      <c r="DS118" s="833"/>
    </row>
    <row r="119" spans="2:123" ht="32.1" customHeight="1" outlineLevel="1" thickBot="1" x14ac:dyDescent="0.3">
      <c r="B119" s="816"/>
      <c r="C119" s="814"/>
      <c r="D119" s="796" t="s">
        <v>134</v>
      </c>
      <c r="E119" s="776" t="s">
        <v>135</v>
      </c>
      <c r="F119" s="246" t="s">
        <v>5</v>
      </c>
      <c r="G119" s="248" t="s">
        <v>134</v>
      </c>
      <c r="H119" s="359"/>
      <c r="I119" s="944" t="s">
        <v>227</v>
      </c>
      <c r="J119" s="364"/>
      <c r="K119" s="364"/>
      <c r="L119" s="249"/>
      <c r="M119" s="249"/>
      <c r="N119" s="249"/>
      <c r="O119" s="249"/>
      <c r="P119" s="249"/>
      <c r="Q119" s="249"/>
      <c r="R119" s="249"/>
      <c r="S119" s="249"/>
      <c r="T119" s="249"/>
      <c r="U119" s="250"/>
      <c r="V119" s="250"/>
      <c r="W119" s="250"/>
      <c r="X119" s="250">
        <v>5</v>
      </c>
      <c r="Y119" s="250">
        <v>5</v>
      </c>
      <c r="Z119" s="250">
        <v>100</v>
      </c>
      <c r="AA119" s="250"/>
      <c r="AB119" s="250"/>
      <c r="AC119" s="250"/>
      <c r="AD119" s="250"/>
      <c r="AE119" s="250"/>
      <c r="AF119" s="250"/>
      <c r="AG119" s="250"/>
      <c r="AH119" s="250"/>
      <c r="AI119" s="250"/>
      <c r="AJ119" s="250"/>
      <c r="AK119" s="250"/>
      <c r="AL119" s="250"/>
      <c r="AM119" s="250"/>
      <c r="AN119" s="250"/>
      <c r="AO119" s="250"/>
      <c r="AP119" s="251"/>
      <c r="AQ119" s="251"/>
      <c r="AR119" s="251"/>
      <c r="AS119" s="251"/>
      <c r="AT119" s="251"/>
      <c r="AU119" s="252"/>
      <c r="AV119" s="252"/>
      <c r="AW119" s="252"/>
      <c r="AX119" s="252"/>
      <c r="AY119" s="252"/>
      <c r="AZ119" s="252"/>
      <c r="BA119" s="253"/>
      <c r="BB119" s="253"/>
      <c r="BC119" s="253"/>
      <c r="BD119" s="253"/>
      <c r="BE119" s="249"/>
      <c r="BF119" s="249"/>
      <c r="BG119" s="249">
        <v>8</v>
      </c>
      <c r="BH119" s="249"/>
      <c r="BI119" s="249"/>
      <c r="BJ119" s="254"/>
      <c r="BK119" s="250"/>
      <c r="BL119" s="250"/>
      <c r="BM119" s="250"/>
      <c r="BN119" s="250"/>
      <c r="BO119" s="250"/>
      <c r="BP119" s="250"/>
      <c r="BQ119" s="250"/>
      <c r="BR119" s="250"/>
      <c r="BS119" s="250"/>
      <c r="BT119" s="250"/>
      <c r="BU119" s="250"/>
      <c r="BV119" s="250"/>
      <c r="BW119" s="251"/>
      <c r="BX119" s="251"/>
      <c r="BY119" s="251"/>
      <c r="BZ119" s="251"/>
      <c r="CA119" s="251"/>
      <c r="CB119" s="251"/>
      <c r="CC119" s="251"/>
      <c r="CD119" s="251"/>
      <c r="CE119" s="251"/>
      <c r="CF119" s="251"/>
      <c r="CG119" s="251"/>
      <c r="CH119" s="255"/>
      <c r="CI119" s="251"/>
      <c r="CJ119" s="251"/>
      <c r="CK119" s="251"/>
      <c r="CL119" s="251"/>
      <c r="CM119" s="251"/>
      <c r="CN119" s="251"/>
      <c r="CO119" s="252"/>
      <c r="CP119" s="252"/>
      <c r="CQ119" s="252"/>
      <c r="CR119" s="529"/>
      <c r="CS119" s="529"/>
      <c r="CT119" s="529"/>
      <c r="CU119" s="529"/>
      <c r="CV119" s="529"/>
      <c r="CW119" s="529"/>
      <c r="CX119" s="529"/>
      <c r="CY119" s="530"/>
      <c r="CZ119" s="252"/>
      <c r="DA119" s="252"/>
      <c r="DB119" s="252"/>
      <c r="DC119" s="249"/>
      <c r="DD119" s="637"/>
      <c r="DE119" s="637"/>
      <c r="DF119" s="637"/>
      <c r="DG119" s="637"/>
      <c r="DH119" s="637"/>
      <c r="DI119" s="637"/>
      <c r="DJ119" s="637"/>
      <c r="DK119" s="617"/>
      <c r="DL119" s="495">
        <f t="shared" ref="DL119:DL132" si="133">SUM(J119:S119)*5+SUM(V119:AF119)+AH119*4+U119*2.5+AG119/0.75</f>
        <v>110</v>
      </c>
      <c r="DM119" s="84">
        <f t="shared" ref="DM119:DM132" si="134">SUM(J119:DK119)</f>
        <v>118</v>
      </c>
      <c r="DN119" s="84">
        <f t="shared" ref="DN119:DN132" si="135">SUM(BK119:BV119,)</f>
        <v>0</v>
      </c>
      <c r="DO119" s="125">
        <f t="shared" ref="DO119:DO132" si="136">SUM(AT119:AV119)+SUM(AW119:AZ119)*5</f>
        <v>0</v>
      </c>
    </row>
    <row r="120" spans="2:123" ht="32.1" customHeight="1" outlineLevel="1" thickBot="1" x14ac:dyDescent="0.3">
      <c r="B120" s="816"/>
      <c r="C120" s="814"/>
      <c r="D120" s="804"/>
      <c r="E120" s="776"/>
      <c r="F120" s="246" t="s">
        <v>5</v>
      </c>
      <c r="G120" s="248" t="s">
        <v>134</v>
      </c>
      <c r="H120" s="359"/>
      <c r="I120" s="944" t="s">
        <v>180</v>
      </c>
      <c r="J120" s="364"/>
      <c r="K120" s="364"/>
      <c r="L120" s="249"/>
      <c r="M120" s="249"/>
      <c r="N120" s="249"/>
      <c r="O120" s="249"/>
      <c r="P120" s="249"/>
      <c r="Q120" s="249"/>
      <c r="R120" s="249"/>
      <c r="S120" s="249"/>
      <c r="T120" s="249"/>
      <c r="U120" s="250"/>
      <c r="V120" s="250"/>
      <c r="W120" s="250"/>
      <c r="X120" s="250"/>
      <c r="Y120" s="250"/>
      <c r="Z120" s="250"/>
      <c r="AA120" s="250"/>
      <c r="AB120" s="250"/>
      <c r="AC120" s="250"/>
      <c r="AD120" s="250"/>
      <c r="AE120" s="250"/>
      <c r="AF120" s="250"/>
      <c r="AG120" s="250"/>
      <c r="AH120" s="250"/>
      <c r="AI120" s="250"/>
      <c r="AJ120" s="250"/>
      <c r="AK120" s="250"/>
      <c r="AL120" s="250"/>
      <c r="AM120" s="250"/>
      <c r="AN120" s="250"/>
      <c r="AO120" s="250"/>
      <c r="AP120" s="251"/>
      <c r="AQ120" s="251"/>
      <c r="AR120" s="251"/>
      <c r="AS120" s="251"/>
      <c r="AT120" s="251"/>
      <c r="AU120" s="252"/>
      <c r="AV120" s="252"/>
      <c r="AW120" s="252"/>
      <c r="AX120" s="252"/>
      <c r="AY120" s="252"/>
      <c r="AZ120" s="252"/>
      <c r="BA120" s="253"/>
      <c r="BB120" s="253"/>
      <c r="BC120" s="253"/>
      <c r="BD120" s="253"/>
      <c r="BE120" s="249"/>
      <c r="BF120" s="249"/>
      <c r="BG120" s="249"/>
      <c r="BH120" s="249"/>
      <c r="BI120" s="249"/>
      <c r="BJ120" s="254"/>
      <c r="BK120" s="250"/>
      <c r="BL120" s="250"/>
      <c r="BM120" s="250"/>
      <c r="BN120" s="250"/>
      <c r="BO120" s="250"/>
      <c r="BP120" s="250"/>
      <c r="BQ120" s="250"/>
      <c r="BR120" s="250"/>
      <c r="BS120" s="250"/>
      <c r="BT120" s="250"/>
      <c r="BU120" s="250"/>
      <c r="BV120" s="250"/>
      <c r="BW120" s="251"/>
      <c r="BX120" s="251">
        <v>0.5</v>
      </c>
      <c r="BY120" s="251"/>
      <c r="BZ120" s="251"/>
      <c r="CA120" s="251"/>
      <c r="CB120" s="251"/>
      <c r="CC120" s="251"/>
      <c r="CD120" s="251"/>
      <c r="CE120" s="251"/>
      <c r="CF120" s="251"/>
      <c r="CG120" s="251"/>
      <c r="CH120" s="255"/>
      <c r="CI120" s="251"/>
      <c r="CJ120" s="251"/>
      <c r="CK120" s="251"/>
      <c r="CL120" s="251"/>
      <c r="CM120" s="251"/>
      <c r="CN120" s="251"/>
      <c r="CO120" s="252"/>
      <c r="CP120" s="252"/>
      <c r="CQ120" s="252"/>
      <c r="CR120" s="529"/>
      <c r="CS120" s="529"/>
      <c r="CT120" s="529"/>
      <c r="CU120" s="529"/>
      <c r="CV120" s="529"/>
      <c r="CW120" s="529"/>
      <c r="CX120" s="529"/>
      <c r="CY120" s="530"/>
      <c r="CZ120" s="252"/>
      <c r="DA120" s="252"/>
      <c r="DB120" s="252"/>
      <c r="DC120" s="249"/>
      <c r="DD120" s="637"/>
      <c r="DE120" s="637"/>
      <c r="DF120" s="637"/>
      <c r="DG120" s="637"/>
      <c r="DH120" s="637"/>
      <c r="DI120" s="637"/>
      <c r="DJ120" s="637"/>
      <c r="DK120" s="617"/>
      <c r="DL120" s="495">
        <f t="shared" si="133"/>
        <v>0</v>
      </c>
      <c r="DM120" s="84">
        <f t="shared" si="134"/>
        <v>0.5</v>
      </c>
      <c r="DN120" s="84">
        <f t="shared" si="135"/>
        <v>0</v>
      </c>
      <c r="DO120" s="125">
        <f t="shared" si="136"/>
        <v>0</v>
      </c>
    </row>
    <row r="121" spans="2:123" ht="32.1" customHeight="1" outlineLevel="1" thickBot="1" x14ac:dyDescent="0.3">
      <c r="B121" s="816"/>
      <c r="C121" s="814"/>
      <c r="D121" s="804"/>
      <c r="E121" s="777"/>
      <c r="F121" s="400" t="s">
        <v>5</v>
      </c>
      <c r="G121" s="401" t="s">
        <v>134</v>
      </c>
      <c r="H121" s="359"/>
      <c r="I121" s="945"/>
      <c r="J121" s="468"/>
      <c r="K121" s="468"/>
      <c r="L121" s="261"/>
      <c r="M121" s="261"/>
      <c r="N121" s="261"/>
      <c r="O121" s="261"/>
      <c r="P121" s="261"/>
      <c r="Q121" s="261"/>
      <c r="R121" s="261"/>
      <c r="S121" s="261"/>
      <c r="T121" s="261"/>
      <c r="U121" s="262"/>
      <c r="V121" s="262"/>
      <c r="W121" s="262"/>
      <c r="X121" s="262"/>
      <c r="Y121" s="262"/>
      <c r="Z121" s="262"/>
      <c r="AA121" s="262"/>
      <c r="AB121" s="262"/>
      <c r="AC121" s="262"/>
      <c r="AD121" s="262"/>
      <c r="AE121" s="262"/>
      <c r="AF121" s="262"/>
      <c r="AG121" s="262"/>
      <c r="AH121" s="262"/>
      <c r="AI121" s="262"/>
      <c r="AJ121" s="262"/>
      <c r="AK121" s="262"/>
      <c r="AL121" s="262"/>
      <c r="AM121" s="262"/>
      <c r="AN121" s="262"/>
      <c r="AO121" s="262"/>
      <c r="AP121" s="475"/>
      <c r="AQ121" s="475"/>
      <c r="AR121" s="263"/>
      <c r="AS121" s="476"/>
      <c r="AT121" s="263"/>
      <c r="AU121" s="264"/>
      <c r="AV121" s="264"/>
      <c r="AW121" s="264"/>
      <c r="AX121" s="264"/>
      <c r="AY121" s="264"/>
      <c r="AZ121" s="264"/>
      <c r="BA121" s="265"/>
      <c r="BB121" s="265"/>
      <c r="BC121" s="265"/>
      <c r="BD121" s="265"/>
      <c r="BE121" s="261"/>
      <c r="BF121" s="261"/>
      <c r="BG121" s="261"/>
      <c r="BH121" s="261"/>
      <c r="BI121" s="261"/>
      <c r="BJ121" s="266"/>
      <c r="BK121" s="262"/>
      <c r="BL121" s="262"/>
      <c r="BM121" s="262"/>
      <c r="BN121" s="262"/>
      <c r="BO121" s="262"/>
      <c r="BP121" s="262"/>
      <c r="BQ121" s="262"/>
      <c r="BR121" s="262"/>
      <c r="BS121" s="262"/>
      <c r="BT121" s="262"/>
      <c r="BU121" s="262"/>
      <c r="BV121" s="262"/>
      <c r="BW121" s="263"/>
      <c r="BX121" s="263"/>
      <c r="BY121" s="263"/>
      <c r="BZ121" s="263"/>
      <c r="CA121" s="263"/>
      <c r="CB121" s="263"/>
      <c r="CC121" s="263"/>
      <c r="CD121" s="263"/>
      <c r="CE121" s="263"/>
      <c r="CF121" s="263"/>
      <c r="CG121" s="263"/>
      <c r="CH121" s="267"/>
      <c r="CI121" s="263"/>
      <c r="CJ121" s="263"/>
      <c r="CK121" s="263"/>
      <c r="CL121" s="263"/>
      <c r="CM121" s="263"/>
      <c r="CN121" s="263"/>
      <c r="CO121" s="264"/>
      <c r="CP121" s="264"/>
      <c r="CQ121" s="264"/>
      <c r="CR121" s="531"/>
      <c r="CS121" s="531"/>
      <c r="CT121" s="531"/>
      <c r="CU121" s="531"/>
      <c r="CV121" s="531"/>
      <c r="CW121" s="531"/>
      <c r="CX121" s="531"/>
      <c r="CY121" s="532"/>
      <c r="CZ121" s="264"/>
      <c r="DA121" s="264"/>
      <c r="DB121" s="264"/>
      <c r="DC121" s="261"/>
      <c r="DD121" s="627"/>
      <c r="DE121" s="627"/>
      <c r="DF121" s="627"/>
      <c r="DG121" s="627"/>
      <c r="DH121" s="627"/>
      <c r="DI121" s="627"/>
      <c r="DJ121" s="627"/>
      <c r="DK121" s="618"/>
      <c r="DL121" s="496">
        <f t="shared" si="133"/>
        <v>0</v>
      </c>
      <c r="DM121" s="120">
        <f t="shared" si="134"/>
        <v>0</v>
      </c>
      <c r="DN121" s="120">
        <f t="shared" si="135"/>
        <v>0</v>
      </c>
      <c r="DO121" s="358">
        <f t="shared" si="136"/>
        <v>0</v>
      </c>
    </row>
    <row r="122" spans="2:123" ht="32.1" customHeight="1" outlineLevel="1" thickBot="1" x14ac:dyDescent="0.3">
      <c r="B122" s="816"/>
      <c r="C122" s="814"/>
      <c r="D122" s="804"/>
      <c r="E122" s="776" t="s">
        <v>136</v>
      </c>
      <c r="F122" s="236" t="s">
        <v>5</v>
      </c>
      <c r="G122" s="238" t="s">
        <v>134</v>
      </c>
      <c r="H122" s="425"/>
      <c r="I122" s="946" t="s">
        <v>143</v>
      </c>
      <c r="J122" s="471"/>
      <c r="K122" s="471"/>
      <c r="L122" s="407"/>
      <c r="M122" s="407"/>
      <c r="N122" s="407"/>
      <c r="O122" s="407"/>
      <c r="P122" s="407"/>
      <c r="Q122" s="407"/>
      <c r="R122" s="407"/>
      <c r="S122" s="407"/>
      <c r="T122" s="407"/>
      <c r="U122" s="408"/>
      <c r="V122" s="408">
        <v>49</v>
      </c>
      <c r="W122" s="408">
        <v>120</v>
      </c>
      <c r="X122" s="408"/>
      <c r="Y122" s="408">
        <v>5</v>
      </c>
      <c r="Z122" s="408">
        <v>5</v>
      </c>
      <c r="AA122" s="408"/>
      <c r="AB122" s="408"/>
      <c r="AC122" s="408"/>
      <c r="AD122" s="408"/>
      <c r="AE122" s="408">
        <v>70</v>
      </c>
      <c r="AF122" s="408"/>
      <c r="AG122" s="408"/>
      <c r="AH122" s="408"/>
      <c r="AI122" s="408"/>
      <c r="AJ122" s="408"/>
      <c r="AK122" s="408"/>
      <c r="AL122" s="408"/>
      <c r="AM122" s="408"/>
      <c r="AN122" s="408"/>
      <c r="AO122" s="408"/>
      <c r="AP122" s="472"/>
      <c r="AQ122" s="472"/>
      <c r="AR122" s="448"/>
      <c r="AS122" s="448"/>
      <c r="AT122" s="472"/>
      <c r="AU122" s="410"/>
      <c r="AV122" s="410"/>
      <c r="AW122" s="410"/>
      <c r="AX122" s="410"/>
      <c r="AY122" s="410"/>
      <c r="AZ122" s="410"/>
      <c r="BA122" s="411"/>
      <c r="BB122" s="411"/>
      <c r="BC122" s="411"/>
      <c r="BD122" s="411"/>
      <c r="BE122" s="407"/>
      <c r="BF122" s="407"/>
      <c r="BG122" s="407">
        <v>2</v>
      </c>
      <c r="BH122" s="407"/>
      <c r="BI122" s="407"/>
      <c r="BJ122" s="412"/>
      <c r="BK122" s="408"/>
      <c r="BL122" s="408"/>
      <c r="BM122" s="408"/>
      <c r="BN122" s="408"/>
      <c r="BO122" s="408"/>
      <c r="BP122" s="408"/>
      <c r="BQ122" s="408"/>
      <c r="BR122" s="408"/>
      <c r="BS122" s="408"/>
      <c r="BT122" s="408"/>
      <c r="BU122" s="408"/>
      <c r="BV122" s="408"/>
      <c r="BW122" s="409"/>
      <c r="BX122" s="409"/>
      <c r="BY122" s="409"/>
      <c r="BZ122" s="409"/>
      <c r="CA122" s="409"/>
      <c r="CB122" s="409"/>
      <c r="CC122" s="409"/>
      <c r="CD122" s="409"/>
      <c r="CE122" s="409"/>
      <c r="CF122" s="409"/>
      <c r="CG122" s="409"/>
      <c r="CH122" s="414"/>
      <c r="CI122" s="409"/>
      <c r="CJ122" s="409"/>
      <c r="CK122" s="409"/>
      <c r="CL122" s="409"/>
      <c r="CM122" s="409"/>
      <c r="CN122" s="409"/>
      <c r="CO122" s="410"/>
      <c r="CP122" s="410"/>
      <c r="CQ122" s="410"/>
      <c r="CR122" s="533"/>
      <c r="CS122" s="533"/>
      <c r="CT122" s="533"/>
      <c r="CU122" s="533"/>
      <c r="CV122" s="533"/>
      <c r="CW122" s="533"/>
      <c r="CX122" s="533"/>
      <c r="CY122" s="534"/>
      <c r="CZ122" s="410"/>
      <c r="DA122" s="410"/>
      <c r="DB122" s="410"/>
      <c r="DC122" s="407"/>
      <c r="DD122" s="638"/>
      <c r="DE122" s="638"/>
      <c r="DF122" s="638"/>
      <c r="DG122" s="638"/>
      <c r="DH122" s="638"/>
      <c r="DI122" s="638"/>
      <c r="DJ122" s="638"/>
      <c r="DK122" s="619"/>
      <c r="DL122" s="494">
        <f t="shared" si="133"/>
        <v>249</v>
      </c>
      <c r="DM122" s="122">
        <f t="shared" si="134"/>
        <v>251</v>
      </c>
      <c r="DN122" s="122">
        <f t="shared" si="135"/>
        <v>0</v>
      </c>
      <c r="DO122" s="124">
        <f t="shared" si="136"/>
        <v>0</v>
      </c>
    </row>
    <row r="123" spans="2:123" ht="32.1" customHeight="1" outlineLevel="1" thickBot="1" x14ac:dyDescent="0.3">
      <c r="B123" s="816"/>
      <c r="C123" s="814"/>
      <c r="D123" s="804"/>
      <c r="E123" s="776"/>
      <c r="F123" s="246" t="s">
        <v>5</v>
      </c>
      <c r="G123" s="248" t="s">
        <v>134</v>
      </c>
      <c r="H123" s="359"/>
      <c r="I123" s="944" t="s">
        <v>56</v>
      </c>
      <c r="J123" s="364"/>
      <c r="K123" s="364"/>
      <c r="L123" s="249"/>
      <c r="M123" s="249"/>
      <c r="N123" s="249"/>
      <c r="O123" s="249"/>
      <c r="P123" s="249"/>
      <c r="Q123" s="249"/>
      <c r="R123" s="249"/>
      <c r="S123" s="249"/>
      <c r="T123" s="249"/>
      <c r="U123" s="250"/>
      <c r="V123" s="250"/>
      <c r="W123" s="250"/>
      <c r="X123" s="250"/>
      <c r="Y123" s="250"/>
      <c r="Z123" s="250"/>
      <c r="AA123" s="250"/>
      <c r="AB123" s="250"/>
      <c r="AC123" s="250"/>
      <c r="AD123" s="250"/>
      <c r="AE123" s="250"/>
      <c r="AF123" s="250"/>
      <c r="AG123" s="250"/>
      <c r="AH123" s="250"/>
      <c r="AI123" s="250"/>
      <c r="AJ123" s="250"/>
      <c r="AK123" s="250"/>
      <c r="AL123" s="250"/>
      <c r="AM123" s="250"/>
      <c r="AN123" s="250"/>
      <c r="AO123" s="250"/>
      <c r="AP123" s="365"/>
      <c r="AQ123" s="365"/>
      <c r="AR123" s="257">
        <v>50</v>
      </c>
      <c r="AS123" s="257">
        <v>100</v>
      </c>
      <c r="AT123" s="365"/>
      <c r="AU123" s="252"/>
      <c r="AV123" s="252"/>
      <c r="AW123" s="252"/>
      <c r="AX123" s="252"/>
      <c r="AY123" s="252"/>
      <c r="AZ123" s="252"/>
      <c r="BA123" s="253"/>
      <c r="BB123" s="253"/>
      <c r="BC123" s="253"/>
      <c r="BD123" s="253"/>
      <c r="BE123" s="249"/>
      <c r="BF123" s="249"/>
      <c r="BG123" s="249"/>
      <c r="BH123" s="249"/>
      <c r="BI123" s="249"/>
      <c r="BJ123" s="254"/>
      <c r="BK123" s="250"/>
      <c r="BL123" s="250"/>
      <c r="BM123" s="250"/>
      <c r="BN123" s="250"/>
      <c r="BO123" s="250"/>
      <c r="BP123" s="250"/>
      <c r="BQ123" s="250"/>
      <c r="BR123" s="250"/>
      <c r="BS123" s="250"/>
      <c r="BT123" s="250"/>
      <c r="BU123" s="250"/>
      <c r="BV123" s="250"/>
      <c r="BW123" s="251"/>
      <c r="BX123" s="251"/>
      <c r="BY123" s="251"/>
      <c r="BZ123" s="251"/>
      <c r="CA123" s="251"/>
      <c r="CB123" s="251"/>
      <c r="CC123" s="251"/>
      <c r="CD123" s="251"/>
      <c r="CE123" s="251"/>
      <c r="CF123" s="251"/>
      <c r="CG123" s="251"/>
      <c r="CH123" s="255"/>
      <c r="CI123" s="251"/>
      <c r="CJ123" s="251"/>
      <c r="CK123" s="251"/>
      <c r="CL123" s="251"/>
      <c r="CM123" s="251"/>
      <c r="CN123" s="251"/>
      <c r="CO123" s="252"/>
      <c r="CP123" s="252"/>
      <c r="CQ123" s="252"/>
      <c r="CR123" s="529"/>
      <c r="CS123" s="529"/>
      <c r="CT123" s="529"/>
      <c r="CU123" s="529"/>
      <c r="CV123" s="529"/>
      <c r="CW123" s="529"/>
      <c r="CX123" s="529"/>
      <c r="CY123" s="530"/>
      <c r="CZ123" s="252"/>
      <c r="DA123" s="252"/>
      <c r="DB123" s="252"/>
      <c r="DC123" s="249"/>
      <c r="DD123" s="637"/>
      <c r="DE123" s="637"/>
      <c r="DF123" s="637"/>
      <c r="DG123" s="637"/>
      <c r="DH123" s="637"/>
      <c r="DI123" s="637"/>
      <c r="DJ123" s="637"/>
      <c r="DK123" s="617"/>
      <c r="DL123" s="495">
        <f t="shared" si="133"/>
        <v>0</v>
      </c>
      <c r="DM123" s="84">
        <f t="shared" si="134"/>
        <v>150</v>
      </c>
      <c r="DN123" s="84">
        <f t="shared" si="135"/>
        <v>0</v>
      </c>
      <c r="DO123" s="125">
        <f t="shared" si="136"/>
        <v>0</v>
      </c>
    </row>
    <row r="124" spans="2:123" ht="32.1" customHeight="1" outlineLevel="1" thickBot="1" x14ac:dyDescent="0.3">
      <c r="B124" s="816"/>
      <c r="C124" s="814"/>
      <c r="D124" s="804"/>
      <c r="E124" s="776"/>
      <c r="F124" s="258" t="s">
        <v>5</v>
      </c>
      <c r="G124" s="415" t="s">
        <v>134</v>
      </c>
      <c r="H124" s="363"/>
      <c r="I124" s="930" t="s">
        <v>67</v>
      </c>
      <c r="J124" s="473"/>
      <c r="K124" s="473"/>
      <c r="L124" s="417"/>
      <c r="M124" s="417"/>
      <c r="N124" s="417"/>
      <c r="O124" s="417"/>
      <c r="P124" s="417"/>
      <c r="Q124" s="417"/>
      <c r="R124" s="417"/>
      <c r="S124" s="417"/>
      <c r="T124" s="417"/>
      <c r="U124" s="418"/>
      <c r="V124" s="418"/>
      <c r="W124" s="418"/>
      <c r="X124" s="418"/>
      <c r="Y124" s="418"/>
      <c r="Z124" s="418"/>
      <c r="AA124" s="418"/>
      <c r="AB124" s="418"/>
      <c r="AC124" s="418"/>
      <c r="AD124" s="418"/>
      <c r="AE124" s="418"/>
      <c r="AF124" s="418"/>
      <c r="AG124" s="418"/>
      <c r="AH124" s="418"/>
      <c r="AI124" s="418"/>
      <c r="AJ124" s="418"/>
      <c r="AK124" s="418"/>
      <c r="AL124" s="418"/>
      <c r="AM124" s="418"/>
      <c r="AN124" s="418"/>
      <c r="AO124" s="418"/>
      <c r="AP124" s="474"/>
      <c r="AQ124" s="474"/>
      <c r="AR124" s="449"/>
      <c r="AS124" s="449"/>
      <c r="AT124" s="474"/>
      <c r="AU124" s="420"/>
      <c r="AV124" s="420"/>
      <c r="AW124" s="420"/>
      <c r="AX124" s="420"/>
      <c r="AY124" s="420"/>
      <c r="AZ124" s="420"/>
      <c r="BA124" s="421"/>
      <c r="BB124" s="421"/>
      <c r="BC124" s="421"/>
      <c r="BD124" s="421"/>
      <c r="BE124" s="417"/>
      <c r="BF124" s="417"/>
      <c r="BG124" s="417"/>
      <c r="BH124" s="417"/>
      <c r="BI124" s="417"/>
      <c r="BJ124" s="422"/>
      <c r="BK124" s="418"/>
      <c r="BL124" s="418"/>
      <c r="BM124" s="418"/>
      <c r="BN124" s="418"/>
      <c r="BO124" s="418"/>
      <c r="BP124" s="418"/>
      <c r="BQ124" s="418"/>
      <c r="BR124" s="418"/>
      <c r="BS124" s="418"/>
      <c r="BT124" s="418"/>
      <c r="BU124" s="418"/>
      <c r="BV124" s="418"/>
      <c r="BW124" s="419"/>
      <c r="BX124" s="419"/>
      <c r="BY124" s="419"/>
      <c r="BZ124" s="419"/>
      <c r="CA124" s="419"/>
      <c r="CB124" s="419"/>
      <c r="CC124" s="419"/>
      <c r="CD124" s="419"/>
      <c r="CE124" s="419"/>
      <c r="CF124" s="419"/>
      <c r="CG124" s="419"/>
      <c r="CH124" s="424"/>
      <c r="CI124" s="419"/>
      <c r="CJ124" s="419"/>
      <c r="CK124" s="419"/>
      <c r="CL124" s="419"/>
      <c r="CM124" s="419"/>
      <c r="CN124" s="419"/>
      <c r="CO124" s="420"/>
      <c r="CP124" s="420"/>
      <c r="CQ124" s="420"/>
      <c r="CR124" s="535"/>
      <c r="CS124" s="535"/>
      <c r="CT124" s="535"/>
      <c r="CU124" s="535"/>
      <c r="CV124" s="535"/>
      <c r="CW124" s="535"/>
      <c r="CX124" s="535"/>
      <c r="CY124" s="536"/>
      <c r="CZ124" s="420"/>
      <c r="DA124" s="420"/>
      <c r="DB124" s="420"/>
      <c r="DC124" s="417"/>
      <c r="DD124" s="639"/>
      <c r="DE124" s="639"/>
      <c r="DF124" s="639"/>
      <c r="DG124" s="639"/>
      <c r="DH124" s="639"/>
      <c r="DI124" s="639"/>
      <c r="DJ124" s="639"/>
      <c r="DK124" s="620"/>
      <c r="DL124" s="497">
        <f t="shared" si="133"/>
        <v>0</v>
      </c>
      <c r="DM124" s="126">
        <f t="shared" si="134"/>
        <v>0</v>
      </c>
      <c r="DN124" s="126">
        <f t="shared" si="135"/>
        <v>0</v>
      </c>
      <c r="DO124" s="127">
        <f t="shared" si="136"/>
        <v>0</v>
      </c>
    </row>
    <row r="125" spans="2:123" ht="32.1" customHeight="1" outlineLevel="1" thickBot="1" x14ac:dyDescent="0.3">
      <c r="B125" s="816"/>
      <c r="C125" s="814"/>
      <c r="D125" s="804"/>
      <c r="E125" s="776" t="s">
        <v>137</v>
      </c>
      <c r="F125" s="236" t="s">
        <v>5</v>
      </c>
      <c r="G125" s="238" t="s">
        <v>134</v>
      </c>
      <c r="H125" s="425"/>
      <c r="I125" s="946" t="s">
        <v>228</v>
      </c>
      <c r="J125" s="471"/>
      <c r="K125" s="471"/>
      <c r="L125" s="407"/>
      <c r="M125" s="407"/>
      <c r="N125" s="407"/>
      <c r="O125" s="407"/>
      <c r="P125" s="407"/>
      <c r="Q125" s="407"/>
      <c r="R125" s="407"/>
      <c r="S125" s="407"/>
      <c r="T125" s="407"/>
      <c r="U125" s="408"/>
      <c r="V125" s="408"/>
      <c r="W125" s="408"/>
      <c r="X125" s="408">
        <v>5</v>
      </c>
      <c r="Y125" s="408">
        <v>5</v>
      </c>
      <c r="Z125" s="408"/>
      <c r="AA125" s="408"/>
      <c r="AB125" s="408"/>
      <c r="AC125" s="408"/>
      <c r="AD125" s="408"/>
      <c r="AE125" s="408"/>
      <c r="AF125" s="408"/>
      <c r="AG125" s="408"/>
      <c r="AH125" s="408"/>
      <c r="AI125" s="408"/>
      <c r="AJ125" s="408"/>
      <c r="AK125" s="408"/>
      <c r="AL125" s="408"/>
      <c r="AM125" s="408"/>
      <c r="AN125" s="408"/>
      <c r="AO125" s="408"/>
      <c r="AP125" s="472">
        <v>2</v>
      </c>
      <c r="AQ125" s="472"/>
      <c r="AR125" s="448"/>
      <c r="AS125" s="448"/>
      <c r="AT125" s="472"/>
      <c r="AU125" s="410"/>
      <c r="AV125" s="410"/>
      <c r="AW125" s="410"/>
      <c r="AX125" s="410"/>
      <c r="AY125" s="410"/>
      <c r="AZ125" s="410"/>
      <c r="BA125" s="411"/>
      <c r="BB125" s="411"/>
      <c r="BC125" s="411"/>
      <c r="BD125" s="411"/>
      <c r="BE125" s="407"/>
      <c r="BF125" s="407"/>
      <c r="BG125" s="407">
        <v>5</v>
      </c>
      <c r="BH125" s="407"/>
      <c r="BI125" s="407"/>
      <c r="BJ125" s="412"/>
      <c r="BK125" s="408">
        <v>112.5</v>
      </c>
      <c r="BL125" s="408"/>
      <c r="BM125" s="408"/>
      <c r="BN125" s="408"/>
      <c r="BO125" s="408"/>
      <c r="BP125" s="408"/>
      <c r="BQ125" s="408"/>
      <c r="BR125" s="408"/>
      <c r="BS125" s="408"/>
      <c r="BT125" s="408"/>
      <c r="BU125" s="408"/>
      <c r="BV125" s="408"/>
      <c r="BW125" s="409"/>
      <c r="BX125" s="409"/>
      <c r="BY125" s="409"/>
      <c r="BZ125" s="409"/>
      <c r="CA125" s="409"/>
      <c r="CB125" s="409"/>
      <c r="CC125" s="409"/>
      <c r="CD125" s="409"/>
      <c r="CE125" s="409"/>
      <c r="CF125" s="409"/>
      <c r="CG125" s="409"/>
      <c r="CH125" s="414"/>
      <c r="CI125" s="409"/>
      <c r="CJ125" s="409"/>
      <c r="CK125" s="409"/>
      <c r="CL125" s="409"/>
      <c r="CM125" s="409"/>
      <c r="CN125" s="409"/>
      <c r="CO125" s="410"/>
      <c r="CP125" s="410"/>
      <c r="CQ125" s="410"/>
      <c r="CR125" s="533"/>
      <c r="CS125" s="533"/>
      <c r="CT125" s="533"/>
      <c r="CU125" s="533"/>
      <c r="CV125" s="533"/>
      <c r="CW125" s="533"/>
      <c r="CX125" s="533"/>
      <c r="CY125" s="534"/>
      <c r="CZ125" s="410"/>
      <c r="DA125" s="410"/>
      <c r="DB125" s="410"/>
      <c r="DC125" s="407"/>
      <c r="DD125" s="638"/>
      <c r="DE125" s="638"/>
      <c r="DF125" s="638"/>
      <c r="DG125" s="638"/>
      <c r="DH125" s="638"/>
      <c r="DI125" s="638"/>
      <c r="DJ125" s="638"/>
      <c r="DK125" s="619"/>
      <c r="DL125" s="494">
        <f t="shared" si="133"/>
        <v>10</v>
      </c>
      <c r="DM125" s="122">
        <f t="shared" si="134"/>
        <v>129.5</v>
      </c>
      <c r="DN125" s="122">
        <f t="shared" si="135"/>
        <v>112.5</v>
      </c>
      <c r="DO125" s="124">
        <f t="shared" si="136"/>
        <v>0</v>
      </c>
    </row>
    <row r="126" spans="2:123" ht="32.1" customHeight="1" outlineLevel="1" thickBot="1" x14ac:dyDescent="0.3">
      <c r="B126" s="816"/>
      <c r="C126" s="814"/>
      <c r="D126" s="804"/>
      <c r="E126" s="776"/>
      <c r="F126" s="246" t="s">
        <v>5</v>
      </c>
      <c r="G126" s="248" t="s">
        <v>134</v>
      </c>
      <c r="H126" s="359"/>
      <c r="I126" s="944" t="s">
        <v>221</v>
      </c>
      <c r="J126" s="364"/>
      <c r="K126" s="364"/>
      <c r="L126" s="249"/>
      <c r="M126" s="249"/>
      <c r="N126" s="249"/>
      <c r="O126" s="249"/>
      <c r="P126" s="249"/>
      <c r="Q126" s="249"/>
      <c r="R126" s="249"/>
      <c r="S126" s="249"/>
      <c r="T126" s="249"/>
      <c r="U126" s="250"/>
      <c r="V126" s="250"/>
      <c r="W126" s="250"/>
      <c r="X126" s="250"/>
      <c r="Y126" s="250"/>
      <c r="Z126" s="250"/>
      <c r="AA126" s="250"/>
      <c r="AB126" s="250"/>
      <c r="AC126" s="250"/>
      <c r="AD126" s="250"/>
      <c r="AE126" s="250"/>
      <c r="AF126" s="250"/>
      <c r="AG126" s="250"/>
      <c r="AH126" s="250"/>
      <c r="AI126" s="250"/>
      <c r="AJ126" s="250"/>
      <c r="AK126" s="250"/>
      <c r="AL126" s="250"/>
      <c r="AM126" s="250"/>
      <c r="AN126" s="250"/>
      <c r="AO126" s="250"/>
      <c r="AP126" s="365"/>
      <c r="AQ126" s="365"/>
      <c r="AR126" s="257"/>
      <c r="AS126" s="257"/>
      <c r="AT126" s="365"/>
      <c r="AU126" s="252"/>
      <c r="AV126" s="252"/>
      <c r="AW126" s="252"/>
      <c r="AX126" s="252"/>
      <c r="AY126" s="252"/>
      <c r="AZ126" s="252"/>
      <c r="BA126" s="253"/>
      <c r="BB126" s="253"/>
      <c r="BC126" s="253"/>
      <c r="BD126" s="253"/>
      <c r="BE126" s="249"/>
      <c r="BF126" s="249"/>
      <c r="BG126" s="249"/>
      <c r="BH126" s="249"/>
      <c r="BI126" s="249"/>
      <c r="BJ126" s="254"/>
      <c r="BK126" s="250"/>
      <c r="BL126" s="250"/>
      <c r="BM126" s="250"/>
      <c r="BN126" s="250"/>
      <c r="BO126" s="250"/>
      <c r="BP126" s="250"/>
      <c r="BQ126" s="250"/>
      <c r="BR126" s="250"/>
      <c r="BS126" s="250"/>
      <c r="BT126" s="250"/>
      <c r="BU126" s="250"/>
      <c r="BV126" s="250"/>
      <c r="BW126" s="251"/>
      <c r="BX126" s="251"/>
      <c r="BY126" s="251"/>
      <c r="BZ126" s="251"/>
      <c r="CA126" s="251"/>
      <c r="CB126" s="251"/>
      <c r="CC126" s="251"/>
      <c r="CD126" s="251"/>
      <c r="CE126" s="251"/>
      <c r="CF126" s="251"/>
      <c r="CG126" s="251"/>
      <c r="CH126" s="255"/>
      <c r="CI126" s="251"/>
      <c r="CJ126" s="251"/>
      <c r="CK126" s="251"/>
      <c r="CL126" s="251"/>
      <c r="CM126" s="251"/>
      <c r="CN126" s="251"/>
      <c r="CO126" s="252"/>
      <c r="CP126" s="252"/>
      <c r="CQ126" s="252"/>
      <c r="CR126" s="529"/>
      <c r="CS126" s="529"/>
      <c r="CT126" s="529"/>
      <c r="CU126" s="529"/>
      <c r="CV126" s="529"/>
      <c r="CW126" s="529"/>
      <c r="CX126" s="529"/>
      <c r="CY126" s="530"/>
      <c r="CZ126" s="252"/>
      <c r="DA126" s="252"/>
      <c r="DB126" s="252"/>
      <c r="DC126" s="249"/>
      <c r="DD126" s="637"/>
      <c r="DE126" s="637"/>
      <c r="DF126" s="637"/>
      <c r="DG126" s="637"/>
      <c r="DH126" s="637"/>
      <c r="DI126" s="637"/>
      <c r="DJ126" s="637"/>
      <c r="DK126" s="617"/>
      <c r="DL126" s="495">
        <f t="shared" si="133"/>
        <v>0</v>
      </c>
      <c r="DM126" s="84">
        <f t="shared" si="134"/>
        <v>0</v>
      </c>
      <c r="DN126" s="84">
        <f t="shared" si="135"/>
        <v>0</v>
      </c>
      <c r="DO126" s="125">
        <f t="shared" si="136"/>
        <v>0</v>
      </c>
    </row>
    <row r="127" spans="2:123" ht="32.1" customHeight="1" outlineLevel="1" thickBot="1" x14ac:dyDescent="0.3">
      <c r="B127" s="816"/>
      <c r="C127" s="814"/>
      <c r="D127" s="804"/>
      <c r="E127" s="776"/>
      <c r="F127" s="246" t="s">
        <v>5</v>
      </c>
      <c r="G127" s="248" t="s">
        <v>134</v>
      </c>
      <c r="H127" s="359"/>
      <c r="I127" s="944" t="s">
        <v>214</v>
      </c>
      <c r="J127" s="364"/>
      <c r="K127" s="364"/>
      <c r="L127" s="249"/>
      <c r="M127" s="249"/>
      <c r="N127" s="249"/>
      <c r="O127" s="249"/>
      <c r="P127" s="249"/>
      <c r="Q127" s="249"/>
      <c r="R127" s="249"/>
      <c r="S127" s="249"/>
      <c r="T127" s="249">
        <v>77</v>
      </c>
      <c r="U127" s="250"/>
      <c r="V127" s="250"/>
      <c r="W127" s="250"/>
      <c r="X127" s="250"/>
      <c r="Y127" s="250"/>
      <c r="Z127" s="250"/>
      <c r="AA127" s="250"/>
      <c r="AB127" s="250"/>
      <c r="AC127" s="250"/>
      <c r="AD127" s="250"/>
      <c r="AE127" s="250"/>
      <c r="AF127" s="250"/>
      <c r="AG127" s="250"/>
      <c r="AH127" s="250"/>
      <c r="AI127" s="250"/>
      <c r="AJ127" s="250"/>
      <c r="AK127" s="250"/>
      <c r="AL127" s="250"/>
      <c r="AM127" s="250"/>
      <c r="AN127" s="250"/>
      <c r="AO127" s="250"/>
      <c r="AP127" s="365"/>
      <c r="AQ127" s="365"/>
      <c r="AR127" s="257"/>
      <c r="AS127" s="257"/>
      <c r="AT127" s="365"/>
      <c r="AU127" s="252"/>
      <c r="AV127" s="252"/>
      <c r="AW127" s="252"/>
      <c r="AX127" s="252"/>
      <c r="AY127" s="252"/>
      <c r="AZ127" s="252"/>
      <c r="BA127" s="253"/>
      <c r="BB127" s="253"/>
      <c r="BC127" s="253"/>
      <c r="BD127" s="253"/>
      <c r="BE127" s="249"/>
      <c r="BF127" s="249">
        <v>15</v>
      </c>
      <c r="BG127" s="249"/>
      <c r="BH127" s="249"/>
      <c r="BI127" s="249"/>
      <c r="BJ127" s="254"/>
      <c r="BK127" s="250"/>
      <c r="BL127" s="250"/>
      <c r="BM127" s="250"/>
      <c r="BN127" s="250"/>
      <c r="BO127" s="250"/>
      <c r="BP127" s="250"/>
      <c r="BQ127" s="250"/>
      <c r="BR127" s="250"/>
      <c r="BS127" s="250"/>
      <c r="BT127" s="250"/>
      <c r="BU127" s="250"/>
      <c r="BV127" s="250"/>
      <c r="BW127" s="251"/>
      <c r="BX127" s="251"/>
      <c r="BY127" s="251"/>
      <c r="BZ127" s="251"/>
      <c r="CA127" s="251"/>
      <c r="CB127" s="251"/>
      <c r="CC127" s="251"/>
      <c r="CD127" s="251"/>
      <c r="CE127" s="251"/>
      <c r="CF127" s="251"/>
      <c r="CG127" s="251"/>
      <c r="CH127" s="255"/>
      <c r="CI127" s="251"/>
      <c r="CJ127" s="251"/>
      <c r="CK127" s="251"/>
      <c r="CL127" s="251"/>
      <c r="CM127" s="251"/>
      <c r="CN127" s="251"/>
      <c r="CO127" s="252"/>
      <c r="CP127" s="252"/>
      <c r="CQ127" s="252"/>
      <c r="CR127" s="529"/>
      <c r="CS127" s="529"/>
      <c r="CT127" s="529"/>
      <c r="CU127" s="529"/>
      <c r="CV127" s="529"/>
      <c r="CW127" s="529"/>
      <c r="CX127" s="529"/>
      <c r="CY127" s="530"/>
      <c r="CZ127" s="252"/>
      <c r="DA127" s="252"/>
      <c r="DB127" s="252"/>
      <c r="DC127" s="249"/>
      <c r="DD127" s="637"/>
      <c r="DE127" s="637"/>
      <c r="DF127" s="637"/>
      <c r="DG127" s="637"/>
      <c r="DH127" s="637"/>
      <c r="DI127" s="637"/>
      <c r="DJ127" s="637"/>
      <c r="DK127" s="617"/>
      <c r="DL127" s="495">
        <f t="shared" si="133"/>
        <v>0</v>
      </c>
      <c r="DM127" s="84">
        <f t="shared" si="134"/>
        <v>92</v>
      </c>
      <c r="DN127" s="84">
        <f t="shared" si="135"/>
        <v>0</v>
      </c>
      <c r="DO127" s="125">
        <f t="shared" si="136"/>
        <v>0</v>
      </c>
    </row>
    <row r="128" spans="2:123" ht="32.1" customHeight="1" outlineLevel="1" thickBot="1" x14ac:dyDescent="0.3">
      <c r="B128" s="816"/>
      <c r="C128" s="814"/>
      <c r="D128" s="804"/>
      <c r="E128" s="776"/>
      <c r="F128" s="258" t="s">
        <v>5</v>
      </c>
      <c r="G128" s="415" t="s">
        <v>134</v>
      </c>
      <c r="H128" s="416"/>
      <c r="I128" s="947"/>
      <c r="J128" s="473"/>
      <c r="K128" s="473"/>
      <c r="L128" s="417"/>
      <c r="M128" s="417"/>
      <c r="N128" s="417"/>
      <c r="O128" s="417"/>
      <c r="P128" s="417"/>
      <c r="Q128" s="417"/>
      <c r="R128" s="417"/>
      <c r="S128" s="417"/>
      <c r="T128" s="417"/>
      <c r="U128" s="418"/>
      <c r="V128" s="418"/>
      <c r="W128" s="418"/>
      <c r="X128" s="418"/>
      <c r="Y128" s="418"/>
      <c r="Z128" s="418"/>
      <c r="AA128" s="418"/>
      <c r="AB128" s="418"/>
      <c r="AC128" s="418"/>
      <c r="AD128" s="418"/>
      <c r="AE128" s="418"/>
      <c r="AF128" s="418"/>
      <c r="AG128" s="418"/>
      <c r="AH128" s="418"/>
      <c r="AI128" s="418"/>
      <c r="AJ128" s="418"/>
      <c r="AK128" s="418"/>
      <c r="AL128" s="418"/>
      <c r="AM128" s="418"/>
      <c r="AN128" s="418"/>
      <c r="AO128" s="418"/>
      <c r="AP128" s="474"/>
      <c r="AQ128" s="474"/>
      <c r="AR128" s="449"/>
      <c r="AS128" s="449"/>
      <c r="AT128" s="474"/>
      <c r="AU128" s="420"/>
      <c r="AV128" s="420"/>
      <c r="AW128" s="420"/>
      <c r="AX128" s="420"/>
      <c r="AY128" s="420"/>
      <c r="AZ128" s="420"/>
      <c r="BA128" s="421"/>
      <c r="BB128" s="421"/>
      <c r="BC128" s="421"/>
      <c r="BD128" s="421"/>
      <c r="BE128" s="417"/>
      <c r="BF128" s="417"/>
      <c r="BG128" s="417"/>
      <c r="BH128" s="417"/>
      <c r="BI128" s="417"/>
      <c r="BJ128" s="422"/>
      <c r="BK128" s="418"/>
      <c r="BL128" s="418"/>
      <c r="BM128" s="418"/>
      <c r="BN128" s="418"/>
      <c r="BO128" s="418"/>
      <c r="BP128" s="418"/>
      <c r="BQ128" s="418"/>
      <c r="BR128" s="418"/>
      <c r="BS128" s="418"/>
      <c r="BT128" s="418"/>
      <c r="BU128" s="418"/>
      <c r="BV128" s="418"/>
      <c r="BW128" s="419"/>
      <c r="BX128" s="419"/>
      <c r="BY128" s="419"/>
      <c r="BZ128" s="419"/>
      <c r="CA128" s="419"/>
      <c r="CB128" s="419"/>
      <c r="CC128" s="419"/>
      <c r="CD128" s="419"/>
      <c r="CE128" s="419"/>
      <c r="CF128" s="419"/>
      <c r="CG128" s="419"/>
      <c r="CH128" s="424"/>
      <c r="CI128" s="419"/>
      <c r="CJ128" s="419"/>
      <c r="CK128" s="419"/>
      <c r="CL128" s="419"/>
      <c r="CM128" s="419"/>
      <c r="CN128" s="419"/>
      <c r="CO128" s="420"/>
      <c r="CP128" s="420"/>
      <c r="CQ128" s="420"/>
      <c r="CR128" s="535"/>
      <c r="CS128" s="535"/>
      <c r="CT128" s="535"/>
      <c r="CU128" s="535"/>
      <c r="CV128" s="535"/>
      <c r="CW128" s="535"/>
      <c r="CX128" s="535"/>
      <c r="CY128" s="536"/>
      <c r="CZ128" s="420"/>
      <c r="DA128" s="420"/>
      <c r="DB128" s="420"/>
      <c r="DC128" s="417"/>
      <c r="DD128" s="639"/>
      <c r="DE128" s="639"/>
      <c r="DF128" s="639"/>
      <c r="DG128" s="639"/>
      <c r="DH128" s="639"/>
      <c r="DI128" s="639"/>
      <c r="DJ128" s="639"/>
      <c r="DK128" s="620"/>
      <c r="DL128" s="497">
        <f t="shared" si="133"/>
        <v>0</v>
      </c>
      <c r="DM128" s="126">
        <f t="shared" si="134"/>
        <v>0</v>
      </c>
      <c r="DN128" s="126">
        <f t="shared" si="135"/>
        <v>0</v>
      </c>
      <c r="DO128" s="127">
        <f t="shared" si="136"/>
        <v>0</v>
      </c>
    </row>
    <row r="129" spans="2:123" ht="32.1" customHeight="1" outlineLevel="1" thickBot="1" x14ac:dyDescent="0.3">
      <c r="B129" s="816"/>
      <c r="C129" s="814"/>
      <c r="D129" s="804"/>
      <c r="E129" s="775" t="s">
        <v>138</v>
      </c>
      <c r="F129" s="403" t="s">
        <v>5</v>
      </c>
      <c r="G129" s="404" t="s">
        <v>134</v>
      </c>
      <c r="H129" s="359"/>
      <c r="I129" s="948" t="s">
        <v>186</v>
      </c>
      <c r="J129" s="469"/>
      <c r="K129" s="469"/>
      <c r="L129" s="239"/>
      <c r="M129" s="239"/>
      <c r="N129" s="239"/>
      <c r="O129" s="239"/>
      <c r="P129" s="239"/>
      <c r="Q129" s="239"/>
      <c r="R129" s="239"/>
      <c r="S129" s="239"/>
      <c r="T129" s="239"/>
      <c r="U129" s="240"/>
      <c r="V129" s="240"/>
      <c r="W129" s="240"/>
      <c r="X129" s="240"/>
      <c r="Y129" s="240"/>
      <c r="Z129" s="240"/>
      <c r="AA129" s="240"/>
      <c r="AB129" s="240"/>
      <c r="AC129" s="240"/>
      <c r="AD129" s="240"/>
      <c r="AE129" s="240"/>
      <c r="AF129" s="240"/>
      <c r="AG129" s="240"/>
      <c r="AH129" s="240"/>
      <c r="AI129" s="240"/>
      <c r="AJ129" s="240"/>
      <c r="AK129" s="240"/>
      <c r="AL129" s="240"/>
      <c r="AM129" s="240"/>
      <c r="AN129" s="240"/>
      <c r="AO129" s="240"/>
      <c r="AP129" s="470"/>
      <c r="AQ129" s="470"/>
      <c r="AR129" s="447"/>
      <c r="AS129" s="447"/>
      <c r="AT129" s="470"/>
      <c r="AU129" s="242"/>
      <c r="AV129" s="242"/>
      <c r="AW129" s="242"/>
      <c r="AX129" s="242"/>
      <c r="AY129" s="242"/>
      <c r="AZ129" s="242"/>
      <c r="BA129" s="243"/>
      <c r="BB129" s="243"/>
      <c r="BC129" s="243"/>
      <c r="BD129" s="243"/>
      <c r="BE129" s="239"/>
      <c r="BF129" s="239"/>
      <c r="BG129" s="239"/>
      <c r="BH129" s="239"/>
      <c r="BI129" s="239"/>
      <c r="BJ129" s="244"/>
      <c r="BK129" s="240"/>
      <c r="BL129" s="240"/>
      <c r="BM129" s="240"/>
      <c r="BN129" s="240"/>
      <c r="BO129" s="240"/>
      <c r="BP129" s="240"/>
      <c r="BQ129" s="240"/>
      <c r="BR129" s="240"/>
      <c r="BS129" s="240"/>
      <c r="BT129" s="240"/>
      <c r="BU129" s="240"/>
      <c r="BV129" s="240"/>
      <c r="BW129" s="241"/>
      <c r="BX129" s="241"/>
      <c r="BY129" s="241"/>
      <c r="BZ129" s="241"/>
      <c r="CA129" s="241"/>
      <c r="CB129" s="241"/>
      <c r="CC129" s="241"/>
      <c r="CD129" s="241"/>
      <c r="CE129" s="241">
        <v>20</v>
      </c>
      <c r="CF129" s="241"/>
      <c r="CG129" s="241"/>
      <c r="CH129" s="245"/>
      <c r="CI129" s="241"/>
      <c r="CJ129" s="241">
        <v>8</v>
      </c>
      <c r="CK129" s="241">
        <v>8</v>
      </c>
      <c r="CL129" s="241">
        <v>4</v>
      </c>
      <c r="CM129" s="241"/>
      <c r="CN129" s="241"/>
      <c r="CO129" s="242"/>
      <c r="CP129" s="242"/>
      <c r="CQ129" s="242"/>
      <c r="CR129" s="527"/>
      <c r="CS129" s="527"/>
      <c r="CT129" s="527"/>
      <c r="CU129" s="527"/>
      <c r="CV129" s="527"/>
      <c r="CW129" s="527"/>
      <c r="CX129" s="527"/>
      <c r="CY129" s="528"/>
      <c r="CZ129" s="242"/>
      <c r="DA129" s="242"/>
      <c r="DB129" s="242"/>
      <c r="DC129" s="239"/>
      <c r="DD129" s="640"/>
      <c r="DE129" s="640"/>
      <c r="DF129" s="640"/>
      <c r="DG129" s="640"/>
      <c r="DH129" s="640"/>
      <c r="DI129" s="640"/>
      <c r="DJ129" s="640"/>
      <c r="DK129" s="616"/>
      <c r="DL129" s="498">
        <f t="shared" si="133"/>
        <v>0</v>
      </c>
      <c r="DM129" s="121">
        <f t="shared" si="134"/>
        <v>40</v>
      </c>
      <c r="DN129" s="121">
        <f t="shared" si="135"/>
        <v>0</v>
      </c>
      <c r="DO129" s="357">
        <f t="shared" si="136"/>
        <v>0</v>
      </c>
    </row>
    <row r="130" spans="2:123" ht="32.1" customHeight="1" outlineLevel="1" thickBot="1" x14ac:dyDescent="0.3">
      <c r="B130" s="816"/>
      <c r="C130" s="814"/>
      <c r="D130" s="804"/>
      <c r="E130" s="776"/>
      <c r="F130" s="246" t="s">
        <v>5</v>
      </c>
      <c r="G130" s="248" t="s">
        <v>134</v>
      </c>
      <c r="H130" s="359"/>
      <c r="I130" s="944" t="s">
        <v>94</v>
      </c>
      <c r="J130" s="364"/>
      <c r="K130" s="364"/>
      <c r="L130" s="249"/>
      <c r="M130" s="249"/>
      <c r="N130" s="249"/>
      <c r="O130" s="249"/>
      <c r="P130" s="249"/>
      <c r="Q130" s="249"/>
      <c r="R130" s="249"/>
      <c r="S130" s="249"/>
      <c r="T130" s="249"/>
      <c r="U130" s="250"/>
      <c r="V130" s="250"/>
      <c r="W130" s="250"/>
      <c r="X130" s="250"/>
      <c r="Y130" s="250"/>
      <c r="Z130" s="250"/>
      <c r="AA130" s="250"/>
      <c r="AB130" s="250"/>
      <c r="AC130" s="250"/>
      <c r="AD130" s="250"/>
      <c r="AE130" s="250"/>
      <c r="AF130" s="250"/>
      <c r="AG130" s="250"/>
      <c r="AH130" s="250"/>
      <c r="AI130" s="250"/>
      <c r="AJ130" s="250"/>
      <c r="AK130" s="250"/>
      <c r="AL130" s="250"/>
      <c r="AM130" s="250"/>
      <c r="AN130" s="250"/>
      <c r="AO130" s="250"/>
      <c r="AP130" s="365"/>
      <c r="AQ130" s="365"/>
      <c r="AR130" s="257"/>
      <c r="AS130" s="257"/>
      <c r="AT130" s="365"/>
      <c r="AU130" s="252"/>
      <c r="AV130" s="252"/>
      <c r="AW130" s="252"/>
      <c r="AX130" s="252"/>
      <c r="AY130" s="252"/>
      <c r="AZ130" s="252"/>
      <c r="BA130" s="253"/>
      <c r="BB130" s="253"/>
      <c r="BC130" s="253"/>
      <c r="BD130" s="253"/>
      <c r="BE130" s="249"/>
      <c r="BF130" s="249"/>
      <c r="BG130" s="249"/>
      <c r="BH130" s="249"/>
      <c r="BI130" s="249"/>
      <c r="BJ130" s="254"/>
      <c r="BK130" s="250"/>
      <c r="BL130" s="250"/>
      <c r="BM130" s="250"/>
      <c r="BN130" s="250"/>
      <c r="BO130" s="250"/>
      <c r="BP130" s="250"/>
      <c r="BQ130" s="250"/>
      <c r="BR130" s="250"/>
      <c r="BS130" s="250"/>
      <c r="BT130" s="250"/>
      <c r="BU130" s="250"/>
      <c r="BV130" s="250"/>
      <c r="BW130" s="251"/>
      <c r="BX130" s="251"/>
      <c r="BY130" s="251"/>
      <c r="BZ130" s="251"/>
      <c r="CA130" s="251"/>
      <c r="CB130" s="251"/>
      <c r="CC130" s="251"/>
      <c r="CD130" s="251"/>
      <c r="CE130" s="251"/>
      <c r="CF130" s="251"/>
      <c r="CG130" s="251"/>
      <c r="CH130" s="255"/>
      <c r="CI130" s="251"/>
      <c r="CJ130" s="251"/>
      <c r="CK130" s="251"/>
      <c r="CL130" s="251"/>
      <c r="CM130" s="251"/>
      <c r="CN130" s="251"/>
      <c r="CO130" s="252"/>
      <c r="CP130" s="252"/>
      <c r="CQ130" s="252">
        <v>20</v>
      </c>
      <c r="CR130" s="529"/>
      <c r="CS130" s="529"/>
      <c r="CT130" s="529"/>
      <c r="CU130" s="529"/>
      <c r="CV130" s="529"/>
      <c r="CW130" s="529"/>
      <c r="CX130" s="529"/>
      <c r="CY130" s="530"/>
      <c r="CZ130" s="252"/>
      <c r="DA130" s="252"/>
      <c r="DB130" s="252"/>
      <c r="DC130" s="249"/>
      <c r="DD130" s="637"/>
      <c r="DE130" s="637"/>
      <c r="DF130" s="637"/>
      <c r="DG130" s="637"/>
      <c r="DH130" s="637"/>
      <c r="DI130" s="637"/>
      <c r="DJ130" s="637"/>
      <c r="DK130" s="617"/>
      <c r="DL130" s="495">
        <f t="shared" si="133"/>
        <v>0</v>
      </c>
      <c r="DM130" s="84">
        <f t="shared" si="134"/>
        <v>20</v>
      </c>
      <c r="DN130" s="84">
        <f t="shared" si="135"/>
        <v>0</v>
      </c>
      <c r="DO130" s="125">
        <f t="shared" si="136"/>
        <v>0</v>
      </c>
    </row>
    <row r="131" spans="2:123" ht="32.1" customHeight="1" outlineLevel="1" thickBot="1" x14ac:dyDescent="0.3">
      <c r="B131" s="816"/>
      <c r="C131" s="814"/>
      <c r="D131" s="804"/>
      <c r="E131" s="776"/>
      <c r="F131" s="246" t="s">
        <v>5</v>
      </c>
      <c r="G131" s="248" t="s">
        <v>134</v>
      </c>
      <c r="H131" s="359"/>
      <c r="I131" s="944"/>
      <c r="J131" s="364"/>
      <c r="K131" s="364"/>
      <c r="L131" s="249"/>
      <c r="M131" s="249"/>
      <c r="N131" s="249"/>
      <c r="O131" s="249"/>
      <c r="P131" s="249"/>
      <c r="Q131" s="249"/>
      <c r="R131" s="249"/>
      <c r="S131" s="249"/>
      <c r="T131" s="249"/>
      <c r="U131" s="250"/>
      <c r="V131" s="250"/>
      <c r="W131" s="250"/>
      <c r="X131" s="250"/>
      <c r="Y131" s="250"/>
      <c r="Z131" s="250"/>
      <c r="AA131" s="250"/>
      <c r="AB131" s="250"/>
      <c r="AC131" s="250"/>
      <c r="AD131" s="250"/>
      <c r="AE131" s="250"/>
      <c r="AF131" s="250"/>
      <c r="AG131" s="250"/>
      <c r="AH131" s="250"/>
      <c r="AI131" s="250"/>
      <c r="AJ131" s="250"/>
      <c r="AK131" s="250"/>
      <c r="AL131" s="250"/>
      <c r="AM131" s="250"/>
      <c r="AN131" s="250"/>
      <c r="AO131" s="250"/>
      <c r="AP131" s="365"/>
      <c r="AQ131" s="365"/>
      <c r="AR131" s="257"/>
      <c r="AS131" s="257"/>
      <c r="AT131" s="365"/>
      <c r="AU131" s="252"/>
      <c r="AV131" s="252"/>
      <c r="AW131" s="252"/>
      <c r="AX131" s="252"/>
      <c r="AY131" s="252"/>
      <c r="AZ131" s="252"/>
      <c r="BA131" s="253"/>
      <c r="BB131" s="253"/>
      <c r="BC131" s="253"/>
      <c r="BD131" s="253"/>
      <c r="BE131" s="249"/>
      <c r="BF131" s="249"/>
      <c r="BG131" s="249"/>
      <c r="BH131" s="249"/>
      <c r="BI131" s="249"/>
      <c r="BJ131" s="254"/>
      <c r="BK131" s="250"/>
      <c r="BL131" s="250"/>
      <c r="BM131" s="250"/>
      <c r="BN131" s="250"/>
      <c r="BO131" s="250"/>
      <c r="BP131" s="250"/>
      <c r="BQ131" s="250"/>
      <c r="BR131" s="250"/>
      <c r="BS131" s="250"/>
      <c r="BT131" s="250"/>
      <c r="BU131" s="250"/>
      <c r="BV131" s="250"/>
      <c r="BW131" s="251"/>
      <c r="BX131" s="251"/>
      <c r="BY131" s="251"/>
      <c r="BZ131" s="251"/>
      <c r="CA131" s="251"/>
      <c r="CB131" s="251"/>
      <c r="CC131" s="251"/>
      <c r="CD131" s="251"/>
      <c r="CE131" s="251"/>
      <c r="CF131" s="251"/>
      <c r="CG131" s="251"/>
      <c r="CH131" s="255"/>
      <c r="CI131" s="251"/>
      <c r="CJ131" s="251"/>
      <c r="CK131" s="251"/>
      <c r="CL131" s="251"/>
      <c r="CM131" s="251"/>
      <c r="CN131" s="251"/>
      <c r="CO131" s="252"/>
      <c r="CP131" s="252"/>
      <c r="CQ131" s="252"/>
      <c r="CR131" s="529"/>
      <c r="CS131" s="529"/>
      <c r="CT131" s="529"/>
      <c r="CU131" s="529"/>
      <c r="CV131" s="529"/>
      <c r="CW131" s="529"/>
      <c r="CX131" s="529"/>
      <c r="CY131" s="530"/>
      <c r="CZ131" s="252"/>
      <c r="DA131" s="252"/>
      <c r="DB131" s="252"/>
      <c r="DC131" s="249"/>
      <c r="DD131" s="637"/>
      <c r="DE131" s="637"/>
      <c r="DF131" s="637"/>
      <c r="DG131" s="637"/>
      <c r="DH131" s="637"/>
      <c r="DI131" s="637"/>
      <c r="DJ131" s="637"/>
      <c r="DK131" s="617"/>
      <c r="DL131" s="495">
        <f t="shared" si="133"/>
        <v>0</v>
      </c>
      <c r="DM131" s="84">
        <f t="shared" si="134"/>
        <v>0</v>
      </c>
      <c r="DN131" s="84">
        <f t="shared" si="135"/>
        <v>0</v>
      </c>
      <c r="DO131" s="125">
        <f t="shared" si="136"/>
        <v>0</v>
      </c>
    </row>
    <row r="132" spans="2:123" ht="32.1" customHeight="1" outlineLevel="1" thickBot="1" x14ac:dyDescent="0.3">
      <c r="B132" s="816"/>
      <c r="C132" s="814"/>
      <c r="D132" s="794"/>
      <c r="E132" s="776"/>
      <c r="F132" s="246" t="s">
        <v>5</v>
      </c>
      <c r="G132" s="248" t="s">
        <v>134</v>
      </c>
      <c r="H132" s="359"/>
      <c r="I132" s="929"/>
      <c r="J132" s="364"/>
      <c r="K132" s="364"/>
      <c r="L132" s="249"/>
      <c r="M132" s="249"/>
      <c r="N132" s="249"/>
      <c r="O132" s="249"/>
      <c r="P132" s="249"/>
      <c r="Q132" s="249"/>
      <c r="R132" s="249"/>
      <c r="S132" s="249"/>
      <c r="T132" s="249"/>
      <c r="U132" s="250"/>
      <c r="V132" s="250"/>
      <c r="W132" s="250"/>
      <c r="X132" s="250"/>
      <c r="Y132" s="250"/>
      <c r="Z132" s="250"/>
      <c r="AA132" s="250"/>
      <c r="AB132" s="250"/>
      <c r="AC132" s="250"/>
      <c r="AD132" s="250"/>
      <c r="AE132" s="250"/>
      <c r="AF132" s="250"/>
      <c r="AG132" s="250"/>
      <c r="AH132" s="250"/>
      <c r="AI132" s="250"/>
      <c r="AJ132" s="250"/>
      <c r="AK132" s="250"/>
      <c r="AL132" s="250"/>
      <c r="AM132" s="250"/>
      <c r="AN132" s="250"/>
      <c r="AO132" s="250"/>
      <c r="AP132" s="251"/>
      <c r="AQ132" s="251"/>
      <c r="AR132" s="251"/>
      <c r="AS132" s="251"/>
      <c r="AT132" s="251"/>
      <c r="AU132" s="252"/>
      <c r="AV132" s="252"/>
      <c r="AW132" s="252"/>
      <c r="AX132" s="252"/>
      <c r="AY132" s="252"/>
      <c r="AZ132" s="252"/>
      <c r="BA132" s="253"/>
      <c r="BB132" s="253"/>
      <c r="BC132" s="253"/>
      <c r="BD132" s="253"/>
      <c r="BE132" s="249"/>
      <c r="BF132" s="249"/>
      <c r="BG132" s="249"/>
      <c r="BH132" s="249"/>
      <c r="BI132" s="249"/>
      <c r="BJ132" s="254"/>
      <c r="BK132" s="250"/>
      <c r="BL132" s="250"/>
      <c r="BM132" s="250"/>
      <c r="BN132" s="250"/>
      <c r="BO132" s="250"/>
      <c r="BP132" s="250"/>
      <c r="BQ132" s="250"/>
      <c r="BR132" s="250"/>
      <c r="BS132" s="250"/>
      <c r="BT132" s="250"/>
      <c r="BU132" s="250"/>
      <c r="BV132" s="250"/>
      <c r="BW132" s="251"/>
      <c r="BX132" s="251"/>
      <c r="BY132" s="251"/>
      <c r="BZ132" s="251"/>
      <c r="CA132" s="251"/>
      <c r="CB132" s="251"/>
      <c r="CC132" s="251"/>
      <c r="CD132" s="251"/>
      <c r="CE132" s="251"/>
      <c r="CF132" s="251"/>
      <c r="CG132" s="251"/>
      <c r="CH132" s="255"/>
      <c r="CI132" s="251"/>
      <c r="CJ132" s="251"/>
      <c r="CK132" s="251"/>
      <c r="CL132" s="251"/>
      <c r="CM132" s="251"/>
      <c r="CN132" s="251"/>
      <c r="CO132" s="252"/>
      <c r="CP132" s="252"/>
      <c r="CQ132" s="252"/>
      <c r="CR132" s="529"/>
      <c r="CS132" s="529"/>
      <c r="CT132" s="529"/>
      <c r="CU132" s="529"/>
      <c r="CV132" s="529"/>
      <c r="CW132" s="529"/>
      <c r="CX132" s="529"/>
      <c r="CY132" s="530"/>
      <c r="CZ132" s="252"/>
      <c r="DA132" s="252"/>
      <c r="DB132" s="252"/>
      <c r="DC132" s="249"/>
      <c r="DD132" s="637"/>
      <c r="DE132" s="637"/>
      <c r="DF132" s="637"/>
      <c r="DG132" s="637"/>
      <c r="DH132" s="637"/>
      <c r="DI132" s="637"/>
      <c r="DJ132" s="637"/>
      <c r="DK132" s="617"/>
      <c r="DL132" s="495">
        <f t="shared" si="133"/>
        <v>0</v>
      </c>
      <c r="DM132" s="84">
        <f t="shared" si="134"/>
        <v>0</v>
      </c>
      <c r="DN132" s="84">
        <f t="shared" si="135"/>
        <v>0</v>
      </c>
      <c r="DO132" s="125">
        <f t="shared" si="136"/>
        <v>0</v>
      </c>
    </row>
    <row r="133" spans="2:123" s="834" customFormat="1" ht="16.5" customHeight="1" outlineLevel="1" thickBot="1" x14ac:dyDescent="0.35">
      <c r="B133" s="816"/>
      <c r="C133" s="814"/>
      <c r="D133" s="819"/>
      <c r="E133" s="820" t="s">
        <v>254</v>
      </c>
      <c r="F133" s="821"/>
      <c r="G133" s="822"/>
      <c r="H133" s="823"/>
      <c r="I133" s="903"/>
      <c r="J133" s="824">
        <f>SUM(J119:J132)</f>
        <v>0</v>
      </c>
      <c r="K133" s="824">
        <f t="shared" ref="K133:CL133" si="137">SUM(K119:K132)</f>
        <v>0</v>
      </c>
      <c r="L133" s="824">
        <f t="shared" si="137"/>
        <v>0</v>
      </c>
      <c r="M133" s="824">
        <f t="shared" si="137"/>
        <v>0</v>
      </c>
      <c r="N133" s="824">
        <f t="shared" si="137"/>
        <v>0</v>
      </c>
      <c r="O133" s="824">
        <f t="shared" si="137"/>
        <v>0</v>
      </c>
      <c r="P133" s="824">
        <f t="shared" si="137"/>
        <v>0</v>
      </c>
      <c r="Q133" s="824">
        <f t="shared" si="137"/>
        <v>0</v>
      </c>
      <c r="R133" s="824">
        <f t="shared" si="137"/>
        <v>0</v>
      </c>
      <c r="S133" s="824">
        <f t="shared" si="137"/>
        <v>0</v>
      </c>
      <c r="T133" s="824">
        <f t="shared" si="137"/>
        <v>77</v>
      </c>
      <c r="U133" s="825">
        <f t="shared" si="137"/>
        <v>0</v>
      </c>
      <c r="V133" s="825">
        <f t="shared" si="137"/>
        <v>49</v>
      </c>
      <c r="W133" s="825">
        <f t="shared" si="137"/>
        <v>120</v>
      </c>
      <c r="X133" s="825">
        <f t="shared" si="137"/>
        <v>10</v>
      </c>
      <c r="Y133" s="825">
        <f t="shared" si="137"/>
        <v>15</v>
      </c>
      <c r="Z133" s="825">
        <f t="shared" si="137"/>
        <v>105</v>
      </c>
      <c r="AA133" s="825">
        <f t="shared" si="137"/>
        <v>0</v>
      </c>
      <c r="AB133" s="825">
        <f t="shared" ref="AB133:AD133" si="138">SUM(AB119:AB132)</f>
        <v>0</v>
      </c>
      <c r="AC133" s="825">
        <f t="shared" si="138"/>
        <v>0</v>
      </c>
      <c r="AD133" s="825">
        <f t="shared" si="138"/>
        <v>0</v>
      </c>
      <c r="AE133" s="825">
        <f t="shared" si="137"/>
        <v>70</v>
      </c>
      <c r="AF133" s="825">
        <f t="shared" si="137"/>
        <v>0</v>
      </c>
      <c r="AG133" s="825">
        <f t="shared" si="137"/>
        <v>0</v>
      </c>
      <c r="AH133" s="825">
        <f t="shared" si="137"/>
        <v>0</v>
      </c>
      <c r="AI133" s="825">
        <f t="shared" ref="AI133:AO133" si="139">SUM(AI119:AI132)</f>
        <v>0</v>
      </c>
      <c r="AJ133" s="825">
        <f t="shared" si="139"/>
        <v>0</v>
      </c>
      <c r="AK133" s="825">
        <f t="shared" si="139"/>
        <v>0</v>
      </c>
      <c r="AL133" s="825">
        <f t="shared" si="139"/>
        <v>0</v>
      </c>
      <c r="AM133" s="825">
        <f t="shared" si="139"/>
        <v>0</v>
      </c>
      <c r="AN133" s="825">
        <f t="shared" si="139"/>
        <v>0</v>
      </c>
      <c r="AO133" s="825">
        <f t="shared" si="139"/>
        <v>0</v>
      </c>
      <c r="AP133" s="826">
        <f t="shared" si="137"/>
        <v>2</v>
      </c>
      <c r="AQ133" s="826">
        <f t="shared" ref="AQ133" si="140">SUM(AQ119:AQ132)</f>
        <v>0</v>
      </c>
      <c r="AR133" s="826">
        <f t="shared" si="137"/>
        <v>50</v>
      </c>
      <c r="AS133" s="826">
        <f t="shared" si="137"/>
        <v>100</v>
      </c>
      <c r="AT133" s="826">
        <f t="shared" si="137"/>
        <v>0</v>
      </c>
      <c r="AU133" s="827">
        <f t="shared" si="137"/>
        <v>0</v>
      </c>
      <c r="AV133" s="827">
        <f t="shared" si="137"/>
        <v>0</v>
      </c>
      <c r="AW133" s="827">
        <f t="shared" si="137"/>
        <v>0</v>
      </c>
      <c r="AX133" s="827">
        <f t="shared" ref="AX133:AY133" si="141">SUM(AX119:AX132)</f>
        <v>0</v>
      </c>
      <c r="AY133" s="827">
        <f t="shared" si="141"/>
        <v>0</v>
      </c>
      <c r="AZ133" s="827">
        <f t="shared" si="137"/>
        <v>0</v>
      </c>
      <c r="BA133" s="828">
        <f t="shared" si="137"/>
        <v>0</v>
      </c>
      <c r="BB133" s="828">
        <f t="shared" si="137"/>
        <v>0</v>
      </c>
      <c r="BC133" s="828">
        <f t="shared" si="137"/>
        <v>0</v>
      </c>
      <c r="BD133" s="828">
        <f t="shared" si="137"/>
        <v>0</v>
      </c>
      <c r="BE133" s="824">
        <f t="shared" si="137"/>
        <v>0</v>
      </c>
      <c r="BF133" s="824">
        <f t="shared" si="137"/>
        <v>15</v>
      </c>
      <c r="BG133" s="824">
        <f t="shared" si="137"/>
        <v>15</v>
      </c>
      <c r="BH133" s="824">
        <f t="shared" si="137"/>
        <v>0</v>
      </c>
      <c r="BI133" s="824">
        <f t="shared" si="137"/>
        <v>0</v>
      </c>
      <c r="BJ133" s="824">
        <f t="shared" si="137"/>
        <v>0</v>
      </c>
      <c r="BK133" s="825">
        <f t="shared" si="137"/>
        <v>112.5</v>
      </c>
      <c r="BL133" s="825">
        <f t="shared" si="137"/>
        <v>0</v>
      </c>
      <c r="BM133" s="825">
        <f t="shared" si="137"/>
        <v>0</v>
      </c>
      <c r="BN133" s="825">
        <f t="shared" si="137"/>
        <v>0</v>
      </c>
      <c r="BO133" s="825">
        <f t="shared" si="137"/>
        <v>0</v>
      </c>
      <c r="BP133" s="825">
        <f t="shared" si="137"/>
        <v>0</v>
      </c>
      <c r="BQ133" s="825">
        <f t="shared" si="137"/>
        <v>0</v>
      </c>
      <c r="BR133" s="825">
        <f t="shared" ref="BR133" si="142">SUM(BR119:BR132)</f>
        <v>0</v>
      </c>
      <c r="BS133" s="825">
        <f t="shared" ref="BS133" si="143">SUM(BS119:BS132)</f>
        <v>0</v>
      </c>
      <c r="BT133" s="825">
        <f t="shared" si="137"/>
        <v>0</v>
      </c>
      <c r="BU133" s="825">
        <f t="shared" si="137"/>
        <v>0</v>
      </c>
      <c r="BV133" s="825">
        <f t="shared" si="137"/>
        <v>0</v>
      </c>
      <c r="BW133" s="826">
        <f t="shared" si="137"/>
        <v>0</v>
      </c>
      <c r="BX133" s="826">
        <f t="shared" si="137"/>
        <v>0.5</v>
      </c>
      <c r="BY133" s="826">
        <f t="shared" si="137"/>
        <v>0</v>
      </c>
      <c r="BZ133" s="826">
        <f t="shared" si="137"/>
        <v>0</v>
      </c>
      <c r="CA133" s="826">
        <f t="shared" si="137"/>
        <v>0</v>
      </c>
      <c r="CB133" s="826">
        <f t="shared" ref="CB133" si="144">SUM(CB119:CB132)</f>
        <v>0</v>
      </c>
      <c r="CC133" s="826">
        <f t="shared" si="137"/>
        <v>0</v>
      </c>
      <c r="CD133" s="826">
        <f t="shared" si="137"/>
        <v>0</v>
      </c>
      <c r="CE133" s="826">
        <f t="shared" si="137"/>
        <v>20</v>
      </c>
      <c r="CF133" s="826">
        <f t="shared" si="137"/>
        <v>0</v>
      </c>
      <c r="CG133" s="826">
        <f t="shared" si="137"/>
        <v>0</v>
      </c>
      <c r="CH133" s="826">
        <f t="shared" si="137"/>
        <v>0</v>
      </c>
      <c r="CI133" s="826">
        <f t="shared" si="137"/>
        <v>0</v>
      </c>
      <c r="CJ133" s="826">
        <f t="shared" si="137"/>
        <v>8</v>
      </c>
      <c r="CK133" s="826">
        <f t="shared" si="137"/>
        <v>8</v>
      </c>
      <c r="CL133" s="826">
        <f t="shared" si="137"/>
        <v>4</v>
      </c>
      <c r="CM133" s="826">
        <f t="shared" ref="CM133:DO133" si="145">SUM(CM119:CM132)</f>
        <v>0</v>
      </c>
      <c r="CN133" s="826">
        <f t="shared" si="145"/>
        <v>0</v>
      </c>
      <c r="CO133" s="827">
        <f t="shared" si="145"/>
        <v>0</v>
      </c>
      <c r="CP133" s="827">
        <f t="shared" si="145"/>
        <v>0</v>
      </c>
      <c r="CQ133" s="827">
        <f t="shared" si="145"/>
        <v>20</v>
      </c>
      <c r="CR133" s="827">
        <f t="shared" si="145"/>
        <v>0</v>
      </c>
      <c r="CS133" s="827">
        <f t="shared" si="145"/>
        <v>0</v>
      </c>
      <c r="CT133" s="827">
        <f t="shared" si="145"/>
        <v>0</v>
      </c>
      <c r="CU133" s="827">
        <f t="shared" si="145"/>
        <v>0</v>
      </c>
      <c r="CV133" s="827">
        <f t="shared" si="145"/>
        <v>0</v>
      </c>
      <c r="CW133" s="827">
        <f t="shared" si="145"/>
        <v>0</v>
      </c>
      <c r="CX133" s="827">
        <f t="shared" si="145"/>
        <v>0</v>
      </c>
      <c r="CY133" s="827">
        <f t="shared" si="145"/>
        <v>0</v>
      </c>
      <c r="CZ133" s="827">
        <f t="shared" si="145"/>
        <v>0</v>
      </c>
      <c r="DA133" s="827">
        <f t="shared" si="145"/>
        <v>0</v>
      </c>
      <c r="DB133" s="827">
        <f t="shared" si="145"/>
        <v>0</v>
      </c>
      <c r="DC133" s="824">
        <f t="shared" si="145"/>
        <v>0</v>
      </c>
      <c r="DD133" s="824">
        <f t="shared" si="145"/>
        <v>0</v>
      </c>
      <c r="DE133" s="824">
        <f t="shared" si="145"/>
        <v>0</v>
      </c>
      <c r="DF133" s="824">
        <f t="shared" si="145"/>
        <v>0</v>
      </c>
      <c r="DG133" s="824">
        <f t="shared" si="145"/>
        <v>0</v>
      </c>
      <c r="DH133" s="824">
        <f t="shared" si="145"/>
        <v>0</v>
      </c>
      <c r="DI133" s="824">
        <f t="shared" si="145"/>
        <v>0</v>
      </c>
      <c r="DJ133" s="824">
        <f t="shared" si="145"/>
        <v>0</v>
      </c>
      <c r="DK133" s="829">
        <f t="shared" si="145"/>
        <v>0</v>
      </c>
      <c r="DL133" s="830">
        <f t="shared" si="145"/>
        <v>369</v>
      </c>
      <c r="DM133" s="831">
        <f t="shared" si="145"/>
        <v>801</v>
      </c>
      <c r="DN133" s="831">
        <f t="shared" si="145"/>
        <v>112.5</v>
      </c>
      <c r="DO133" s="832">
        <f t="shared" si="145"/>
        <v>0</v>
      </c>
      <c r="DP133" s="833"/>
      <c r="DQ133" s="833"/>
      <c r="DR133" s="833"/>
      <c r="DS133" s="833"/>
    </row>
    <row r="134" spans="2:123" ht="32.1" customHeight="1" outlineLevel="1" x14ac:dyDescent="0.25">
      <c r="B134" s="816"/>
      <c r="C134" s="814"/>
      <c r="D134" s="799" t="s">
        <v>139</v>
      </c>
      <c r="E134" s="780" t="s">
        <v>136</v>
      </c>
      <c r="F134" s="278" t="s">
        <v>5</v>
      </c>
      <c r="G134" s="280" t="s">
        <v>139</v>
      </c>
      <c r="H134" s="351"/>
      <c r="I134" s="949" t="s">
        <v>144</v>
      </c>
      <c r="J134" s="352"/>
      <c r="K134" s="352"/>
      <c r="L134" s="281"/>
      <c r="M134" s="281"/>
      <c r="N134" s="281"/>
      <c r="O134" s="281"/>
      <c r="P134" s="281"/>
      <c r="Q134" s="281"/>
      <c r="R134" s="281"/>
      <c r="S134" s="281"/>
      <c r="T134" s="281"/>
      <c r="U134" s="282"/>
      <c r="V134" s="282"/>
      <c r="W134" s="282">
        <v>195</v>
      </c>
      <c r="X134" s="282">
        <v>5</v>
      </c>
      <c r="Y134" s="282">
        <v>10</v>
      </c>
      <c r="Z134" s="282">
        <v>40</v>
      </c>
      <c r="AA134" s="282"/>
      <c r="AB134" s="282"/>
      <c r="AC134" s="282"/>
      <c r="AD134" s="282"/>
      <c r="AE134" s="282"/>
      <c r="AF134" s="282"/>
      <c r="AG134" s="282"/>
      <c r="AH134" s="282"/>
      <c r="AI134" s="282"/>
      <c r="AJ134" s="282"/>
      <c r="AK134" s="282"/>
      <c r="AL134" s="282"/>
      <c r="AM134" s="282"/>
      <c r="AN134" s="282"/>
      <c r="AO134" s="282"/>
      <c r="AP134" s="283"/>
      <c r="AQ134" s="283"/>
      <c r="AR134" s="283"/>
      <c r="AS134" s="283"/>
      <c r="AT134" s="283"/>
      <c r="AU134" s="284"/>
      <c r="AV134" s="284"/>
      <c r="AW134" s="284"/>
      <c r="AX134" s="284"/>
      <c r="AY134" s="284"/>
      <c r="AZ134" s="284"/>
      <c r="BA134" s="285"/>
      <c r="BB134" s="285"/>
      <c r="BC134" s="285"/>
      <c r="BD134" s="285"/>
      <c r="BE134" s="281"/>
      <c r="BF134" s="281"/>
      <c r="BG134" s="281"/>
      <c r="BH134" s="281"/>
      <c r="BI134" s="281"/>
      <c r="BJ134" s="286"/>
      <c r="BK134" s="282"/>
      <c r="BL134" s="282"/>
      <c r="BM134" s="282"/>
      <c r="BN134" s="282"/>
      <c r="BO134" s="282"/>
      <c r="BP134" s="282"/>
      <c r="BQ134" s="282"/>
      <c r="BR134" s="282"/>
      <c r="BS134" s="282"/>
      <c r="BT134" s="282"/>
      <c r="BU134" s="282"/>
      <c r="BV134" s="282"/>
      <c r="BW134" s="283"/>
      <c r="BX134" s="283"/>
      <c r="BY134" s="283"/>
      <c r="BZ134" s="283"/>
      <c r="CA134" s="283"/>
      <c r="CB134" s="283"/>
      <c r="CC134" s="283"/>
      <c r="CD134" s="283"/>
      <c r="CE134" s="283"/>
      <c r="CF134" s="283"/>
      <c r="CG134" s="283"/>
      <c r="CH134" s="287"/>
      <c r="CI134" s="283"/>
      <c r="CJ134" s="283"/>
      <c r="CK134" s="283"/>
      <c r="CL134" s="283"/>
      <c r="CM134" s="283"/>
      <c r="CN134" s="283"/>
      <c r="CO134" s="284"/>
      <c r="CP134" s="284"/>
      <c r="CQ134" s="284"/>
      <c r="CR134" s="542"/>
      <c r="CS134" s="542"/>
      <c r="CT134" s="542"/>
      <c r="CU134" s="542"/>
      <c r="CV134" s="578"/>
      <c r="CW134" s="579"/>
      <c r="CX134" s="579"/>
      <c r="CY134" s="543"/>
      <c r="CZ134" s="284"/>
      <c r="DA134" s="284"/>
      <c r="DB134" s="284"/>
      <c r="DC134" s="281"/>
      <c r="DD134" s="281"/>
      <c r="DE134" s="281"/>
      <c r="DF134" s="281"/>
      <c r="DG134" s="281"/>
      <c r="DH134" s="281"/>
      <c r="DI134" s="281"/>
      <c r="DJ134" s="281"/>
      <c r="DK134" s="629"/>
      <c r="DL134" s="495">
        <f t="shared" ref="DL134:DL145" si="146">SUM(J134:S134)*5+SUM(V134:AF134)+AH134*4+U134*2.5+AG134/0.75</f>
        <v>250</v>
      </c>
      <c r="DM134" s="84">
        <f t="shared" ref="DM134:DM145" si="147">SUM(J134:DK134)</f>
        <v>250</v>
      </c>
      <c r="DN134" s="84">
        <f t="shared" ref="DN134:DN145" si="148">SUM(BK134:BV134,)</f>
        <v>0</v>
      </c>
      <c r="DO134" s="125">
        <f t="shared" ref="DO134:DO145" si="149">SUM(AT134:AV134)+SUM(AW134:AZ134)*5</f>
        <v>0</v>
      </c>
    </row>
    <row r="135" spans="2:123" ht="32.1" customHeight="1" outlineLevel="1" x14ac:dyDescent="0.25">
      <c r="B135" s="816"/>
      <c r="C135" s="814"/>
      <c r="D135" s="805"/>
      <c r="E135" s="785"/>
      <c r="F135" s="278" t="s">
        <v>5</v>
      </c>
      <c r="G135" s="280" t="s">
        <v>139</v>
      </c>
      <c r="H135" s="351"/>
      <c r="I135" s="949" t="s">
        <v>56</v>
      </c>
      <c r="J135" s="352"/>
      <c r="K135" s="352"/>
      <c r="L135" s="281"/>
      <c r="M135" s="281"/>
      <c r="N135" s="281"/>
      <c r="O135" s="281"/>
      <c r="P135" s="281"/>
      <c r="Q135" s="281"/>
      <c r="R135" s="281"/>
      <c r="S135" s="281"/>
      <c r="T135" s="281"/>
      <c r="U135" s="282"/>
      <c r="V135" s="282"/>
      <c r="W135" s="282"/>
      <c r="X135" s="282"/>
      <c r="Y135" s="282"/>
      <c r="Z135" s="282"/>
      <c r="AA135" s="282"/>
      <c r="AB135" s="282"/>
      <c r="AC135" s="282"/>
      <c r="AD135" s="282"/>
      <c r="AE135" s="282"/>
      <c r="AF135" s="282"/>
      <c r="AG135" s="282"/>
      <c r="AH135" s="282"/>
      <c r="AI135" s="282"/>
      <c r="AJ135" s="282"/>
      <c r="AK135" s="282"/>
      <c r="AL135" s="282"/>
      <c r="AM135" s="282"/>
      <c r="AN135" s="282"/>
      <c r="AO135" s="282"/>
      <c r="AP135" s="283"/>
      <c r="AQ135" s="283"/>
      <c r="AR135" s="283">
        <v>50</v>
      </c>
      <c r="AS135" s="283">
        <v>100</v>
      </c>
      <c r="AT135" s="283"/>
      <c r="AU135" s="284"/>
      <c r="AV135" s="284"/>
      <c r="AW135" s="284"/>
      <c r="AX135" s="284"/>
      <c r="AY135" s="284"/>
      <c r="AZ135" s="284"/>
      <c r="BA135" s="285"/>
      <c r="BB135" s="285"/>
      <c r="BC135" s="285"/>
      <c r="BD135" s="285"/>
      <c r="BE135" s="281"/>
      <c r="BF135" s="281"/>
      <c r="BG135" s="281"/>
      <c r="BH135" s="281"/>
      <c r="BI135" s="281"/>
      <c r="BJ135" s="286"/>
      <c r="BK135" s="282"/>
      <c r="BL135" s="282"/>
      <c r="BM135" s="282"/>
      <c r="BN135" s="282"/>
      <c r="BO135" s="282"/>
      <c r="BP135" s="282"/>
      <c r="BQ135" s="282"/>
      <c r="BR135" s="282"/>
      <c r="BS135" s="282"/>
      <c r="BT135" s="282"/>
      <c r="BU135" s="282"/>
      <c r="BV135" s="282"/>
      <c r="BW135" s="283"/>
      <c r="BX135" s="283"/>
      <c r="BY135" s="283"/>
      <c r="BZ135" s="283"/>
      <c r="CA135" s="283"/>
      <c r="CB135" s="283"/>
      <c r="CC135" s="283"/>
      <c r="CD135" s="283"/>
      <c r="CE135" s="283"/>
      <c r="CF135" s="283"/>
      <c r="CG135" s="283"/>
      <c r="CH135" s="287"/>
      <c r="CI135" s="283"/>
      <c r="CJ135" s="283"/>
      <c r="CK135" s="283"/>
      <c r="CL135" s="283"/>
      <c r="CM135" s="283"/>
      <c r="CN135" s="283"/>
      <c r="CO135" s="284"/>
      <c r="CP135" s="284"/>
      <c r="CQ135" s="284"/>
      <c r="CR135" s="542"/>
      <c r="CS135" s="542"/>
      <c r="CT135" s="542"/>
      <c r="CU135" s="542"/>
      <c r="CV135" s="542"/>
      <c r="CW135" s="542"/>
      <c r="CX135" s="542"/>
      <c r="CY135" s="543"/>
      <c r="CZ135" s="284"/>
      <c r="DA135" s="284"/>
      <c r="DB135" s="284"/>
      <c r="DC135" s="281"/>
      <c r="DD135" s="641"/>
      <c r="DE135" s="641"/>
      <c r="DF135" s="641"/>
      <c r="DG135" s="641"/>
      <c r="DH135" s="641"/>
      <c r="DI135" s="641"/>
      <c r="DJ135" s="641"/>
      <c r="DK135" s="629"/>
      <c r="DL135" s="495">
        <f t="shared" si="146"/>
        <v>0</v>
      </c>
      <c r="DM135" s="84">
        <f t="shared" si="147"/>
        <v>150</v>
      </c>
      <c r="DN135" s="84">
        <f t="shared" si="148"/>
        <v>0</v>
      </c>
      <c r="DO135" s="125">
        <f t="shared" si="149"/>
        <v>0</v>
      </c>
    </row>
    <row r="136" spans="2:123" ht="32.1" customHeight="1" outlineLevel="1" x14ac:dyDescent="0.25">
      <c r="B136" s="816"/>
      <c r="C136" s="814"/>
      <c r="D136" s="805"/>
      <c r="E136" s="785"/>
      <c r="F136" s="278" t="s">
        <v>5</v>
      </c>
      <c r="G136" s="280" t="s">
        <v>139</v>
      </c>
      <c r="H136" s="353"/>
      <c r="I136" s="950" t="s">
        <v>67</v>
      </c>
      <c r="J136" s="352"/>
      <c r="K136" s="352"/>
      <c r="L136" s="281"/>
      <c r="M136" s="281"/>
      <c r="N136" s="281"/>
      <c r="O136" s="281"/>
      <c r="P136" s="281"/>
      <c r="Q136" s="281"/>
      <c r="R136" s="281"/>
      <c r="S136" s="281"/>
      <c r="T136" s="281"/>
      <c r="U136" s="282"/>
      <c r="V136" s="282"/>
      <c r="W136" s="282"/>
      <c r="X136" s="282"/>
      <c r="Y136" s="282"/>
      <c r="Z136" s="282"/>
      <c r="AA136" s="282"/>
      <c r="AB136" s="282"/>
      <c r="AC136" s="282"/>
      <c r="AD136" s="282"/>
      <c r="AE136" s="282"/>
      <c r="AF136" s="282"/>
      <c r="AG136" s="282"/>
      <c r="AH136" s="282"/>
      <c r="AI136" s="282"/>
      <c r="AJ136" s="282"/>
      <c r="AK136" s="282"/>
      <c r="AL136" s="282"/>
      <c r="AM136" s="282"/>
      <c r="AN136" s="282"/>
      <c r="AO136" s="282"/>
      <c r="AP136" s="283"/>
      <c r="AQ136" s="283"/>
      <c r="AR136" s="283"/>
      <c r="AS136" s="283"/>
      <c r="AT136" s="283"/>
      <c r="AU136" s="284"/>
      <c r="AV136" s="284"/>
      <c r="AW136" s="284"/>
      <c r="AX136" s="284"/>
      <c r="AY136" s="284"/>
      <c r="AZ136" s="284"/>
      <c r="BA136" s="285"/>
      <c r="BB136" s="285"/>
      <c r="BC136" s="285"/>
      <c r="BD136" s="285"/>
      <c r="BE136" s="281"/>
      <c r="BF136" s="281"/>
      <c r="BG136" s="281"/>
      <c r="BH136" s="281"/>
      <c r="BI136" s="281"/>
      <c r="BJ136" s="286"/>
      <c r="BK136" s="282"/>
      <c r="BL136" s="282"/>
      <c r="BM136" s="282"/>
      <c r="BN136" s="282"/>
      <c r="BO136" s="282"/>
      <c r="BP136" s="282"/>
      <c r="BQ136" s="282"/>
      <c r="BR136" s="282"/>
      <c r="BS136" s="282"/>
      <c r="BT136" s="282"/>
      <c r="BU136" s="282"/>
      <c r="BV136" s="282"/>
      <c r="BW136" s="283"/>
      <c r="BX136" s="283"/>
      <c r="BY136" s="283"/>
      <c r="BZ136" s="283"/>
      <c r="CA136" s="283"/>
      <c r="CB136" s="283"/>
      <c r="CC136" s="283"/>
      <c r="CD136" s="283"/>
      <c r="CE136" s="283"/>
      <c r="CF136" s="283"/>
      <c r="CG136" s="283"/>
      <c r="CH136" s="287"/>
      <c r="CI136" s="283"/>
      <c r="CJ136" s="283"/>
      <c r="CK136" s="283"/>
      <c r="CL136" s="283"/>
      <c r="CM136" s="283"/>
      <c r="CN136" s="283"/>
      <c r="CO136" s="284"/>
      <c r="CP136" s="284"/>
      <c r="CQ136" s="284"/>
      <c r="CR136" s="542"/>
      <c r="CS136" s="542"/>
      <c r="CT136" s="542"/>
      <c r="CU136" s="542"/>
      <c r="CV136" s="542"/>
      <c r="CW136" s="542"/>
      <c r="CX136" s="542"/>
      <c r="CY136" s="543"/>
      <c r="CZ136" s="284"/>
      <c r="DA136" s="284"/>
      <c r="DB136" s="284"/>
      <c r="DC136" s="281"/>
      <c r="DD136" s="641"/>
      <c r="DE136" s="641"/>
      <c r="DF136" s="641"/>
      <c r="DG136" s="641"/>
      <c r="DH136" s="641"/>
      <c r="DI136" s="641"/>
      <c r="DJ136" s="641"/>
      <c r="DK136" s="629"/>
      <c r="DL136" s="495">
        <f t="shared" si="146"/>
        <v>0</v>
      </c>
      <c r="DM136" s="84">
        <f t="shared" si="147"/>
        <v>0</v>
      </c>
      <c r="DN136" s="84">
        <f t="shared" si="148"/>
        <v>0</v>
      </c>
      <c r="DO136" s="125">
        <f t="shared" si="149"/>
        <v>0</v>
      </c>
    </row>
    <row r="137" spans="2:123" ht="32.1" customHeight="1" outlineLevel="1" thickBot="1" x14ac:dyDescent="0.3">
      <c r="B137" s="816"/>
      <c r="C137" s="814"/>
      <c r="D137" s="805"/>
      <c r="E137" s="785"/>
      <c r="F137" s="372" t="s">
        <v>5</v>
      </c>
      <c r="G137" s="373" t="s">
        <v>139</v>
      </c>
      <c r="H137" s="351"/>
      <c r="I137" s="951"/>
      <c r="J137" s="464"/>
      <c r="K137" s="464"/>
      <c r="L137" s="291"/>
      <c r="M137" s="291"/>
      <c r="N137" s="291"/>
      <c r="O137" s="291"/>
      <c r="P137" s="291"/>
      <c r="Q137" s="291"/>
      <c r="R137" s="291"/>
      <c r="S137" s="291"/>
      <c r="T137" s="291"/>
      <c r="U137" s="292"/>
      <c r="V137" s="292"/>
      <c r="W137" s="292"/>
      <c r="X137" s="292"/>
      <c r="Y137" s="292"/>
      <c r="Z137" s="292"/>
      <c r="AA137" s="292"/>
      <c r="AB137" s="292"/>
      <c r="AC137" s="292"/>
      <c r="AD137" s="292"/>
      <c r="AE137" s="292"/>
      <c r="AF137" s="292"/>
      <c r="AG137" s="292"/>
      <c r="AH137" s="292"/>
      <c r="AI137" s="292"/>
      <c r="AJ137" s="292"/>
      <c r="AK137" s="292"/>
      <c r="AL137" s="292"/>
      <c r="AM137" s="292"/>
      <c r="AN137" s="292"/>
      <c r="AO137" s="292"/>
      <c r="AP137" s="293"/>
      <c r="AQ137" s="293"/>
      <c r="AR137" s="293"/>
      <c r="AS137" s="293"/>
      <c r="AT137" s="293"/>
      <c r="AU137" s="294"/>
      <c r="AV137" s="294"/>
      <c r="AW137" s="294"/>
      <c r="AX137" s="294"/>
      <c r="AY137" s="294"/>
      <c r="AZ137" s="294"/>
      <c r="BA137" s="295"/>
      <c r="BB137" s="295"/>
      <c r="BC137" s="295"/>
      <c r="BD137" s="295"/>
      <c r="BE137" s="291"/>
      <c r="BF137" s="291"/>
      <c r="BG137" s="291"/>
      <c r="BH137" s="291"/>
      <c r="BI137" s="291"/>
      <c r="BJ137" s="296"/>
      <c r="BK137" s="292"/>
      <c r="BL137" s="292"/>
      <c r="BM137" s="292"/>
      <c r="BN137" s="292"/>
      <c r="BO137" s="292"/>
      <c r="BP137" s="292"/>
      <c r="BQ137" s="292"/>
      <c r="BR137" s="292"/>
      <c r="BS137" s="292"/>
      <c r="BT137" s="292"/>
      <c r="BU137" s="292"/>
      <c r="BV137" s="292"/>
      <c r="BW137" s="293"/>
      <c r="BX137" s="293"/>
      <c r="BY137" s="293"/>
      <c r="BZ137" s="293"/>
      <c r="CA137" s="293"/>
      <c r="CB137" s="293"/>
      <c r="CC137" s="293"/>
      <c r="CD137" s="293"/>
      <c r="CE137" s="293"/>
      <c r="CF137" s="293"/>
      <c r="CG137" s="293"/>
      <c r="CH137" s="297"/>
      <c r="CI137" s="293"/>
      <c r="CJ137" s="293"/>
      <c r="CK137" s="293"/>
      <c r="CL137" s="293"/>
      <c r="CM137" s="293"/>
      <c r="CN137" s="293"/>
      <c r="CO137" s="294"/>
      <c r="CP137" s="294"/>
      <c r="CQ137" s="294"/>
      <c r="CR137" s="544"/>
      <c r="CS137" s="544"/>
      <c r="CT137" s="544"/>
      <c r="CU137" s="544"/>
      <c r="CV137" s="544"/>
      <c r="CW137" s="544"/>
      <c r="CX137" s="544"/>
      <c r="CY137" s="545"/>
      <c r="CZ137" s="294"/>
      <c r="DA137" s="294"/>
      <c r="DB137" s="294"/>
      <c r="DC137" s="291"/>
      <c r="DD137" s="642"/>
      <c r="DE137" s="642"/>
      <c r="DF137" s="642"/>
      <c r="DG137" s="642"/>
      <c r="DH137" s="642"/>
      <c r="DI137" s="642"/>
      <c r="DJ137" s="642"/>
      <c r="DK137" s="630"/>
      <c r="DL137" s="496">
        <f t="shared" si="146"/>
        <v>0</v>
      </c>
      <c r="DM137" s="120">
        <f t="shared" si="147"/>
        <v>0</v>
      </c>
      <c r="DN137" s="120">
        <f t="shared" si="148"/>
        <v>0</v>
      </c>
      <c r="DO137" s="358">
        <f t="shared" si="149"/>
        <v>0</v>
      </c>
    </row>
    <row r="138" spans="2:123" ht="32.1" customHeight="1" outlineLevel="1" thickBot="1" x14ac:dyDescent="0.3">
      <c r="B138" s="816"/>
      <c r="C138" s="814"/>
      <c r="D138" s="805"/>
      <c r="E138" s="779" t="s">
        <v>137</v>
      </c>
      <c r="F138" s="268" t="s">
        <v>5</v>
      </c>
      <c r="G138" s="270" t="s">
        <v>139</v>
      </c>
      <c r="H138" s="443"/>
      <c r="I138" s="952" t="s">
        <v>189</v>
      </c>
      <c r="J138" s="466"/>
      <c r="K138" s="466"/>
      <c r="L138" s="379"/>
      <c r="M138" s="379"/>
      <c r="N138" s="379"/>
      <c r="O138" s="379"/>
      <c r="P138" s="379"/>
      <c r="Q138" s="379"/>
      <c r="R138" s="379"/>
      <c r="S138" s="379"/>
      <c r="T138" s="379"/>
      <c r="U138" s="380"/>
      <c r="V138" s="380"/>
      <c r="W138" s="380"/>
      <c r="X138" s="380">
        <v>5</v>
      </c>
      <c r="Y138" s="380">
        <v>5</v>
      </c>
      <c r="Z138" s="380"/>
      <c r="AA138" s="380"/>
      <c r="AB138" s="380"/>
      <c r="AC138" s="380"/>
      <c r="AD138" s="380"/>
      <c r="AE138" s="380"/>
      <c r="AF138" s="380"/>
      <c r="AG138" s="380"/>
      <c r="AH138" s="380"/>
      <c r="AI138" s="380"/>
      <c r="AJ138" s="380"/>
      <c r="AK138" s="380"/>
      <c r="AL138" s="380"/>
      <c r="AM138" s="380"/>
      <c r="AN138" s="380"/>
      <c r="AO138" s="380"/>
      <c r="AP138" s="381"/>
      <c r="AQ138" s="381"/>
      <c r="AR138" s="381"/>
      <c r="AS138" s="381"/>
      <c r="AT138" s="381"/>
      <c r="AU138" s="382"/>
      <c r="AV138" s="382"/>
      <c r="AW138" s="382"/>
      <c r="AX138" s="382"/>
      <c r="AY138" s="382"/>
      <c r="AZ138" s="382"/>
      <c r="BA138" s="383"/>
      <c r="BB138" s="383"/>
      <c r="BC138" s="383"/>
      <c r="BD138" s="383"/>
      <c r="BE138" s="379"/>
      <c r="BF138" s="379"/>
      <c r="BG138" s="379"/>
      <c r="BH138" s="379"/>
      <c r="BI138" s="379"/>
      <c r="BJ138" s="384"/>
      <c r="BK138" s="380"/>
      <c r="BL138" s="380"/>
      <c r="BM138" s="380"/>
      <c r="BN138" s="380"/>
      <c r="BO138" s="380">
        <v>120</v>
      </c>
      <c r="BP138" s="380"/>
      <c r="BQ138" s="380"/>
      <c r="BR138" s="380"/>
      <c r="BS138" s="380"/>
      <c r="BT138" s="380"/>
      <c r="BU138" s="380"/>
      <c r="BV138" s="380"/>
      <c r="BW138" s="381"/>
      <c r="BX138" s="381"/>
      <c r="BY138" s="381"/>
      <c r="BZ138" s="381"/>
      <c r="CA138" s="381"/>
      <c r="CB138" s="381"/>
      <c r="CC138" s="381"/>
      <c r="CD138" s="381"/>
      <c r="CE138" s="381"/>
      <c r="CF138" s="381"/>
      <c r="CG138" s="381"/>
      <c r="CH138" s="386"/>
      <c r="CI138" s="381"/>
      <c r="CJ138" s="381"/>
      <c r="CK138" s="381"/>
      <c r="CL138" s="381"/>
      <c r="CM138" s="381"/>
      <c r="CN138" s="381"/>
      <c r="CO138" s="382"/>
      <c r="CP138" s="382"/>
      <c r="CQ138" s="382"/>
      <c r="CR138" s="546"/>
      <c r="CS138" s="546"/>
      <c r="CT138" s="546"/>
      <c r="CU138" s="546"/>
      <c r="CV138" s="546"/>
      <c r="CW138" s="546"/>
      <c r="CX138" s="546"/>
      <c r="CY138" s="547"/>
      <c r="CZ138" s="382"/>
      <c r="DA138" s="382"/>
      <c r="DB138" s="382"/>
      <c r="DC138" s="379"/>
      <c r="DD138" s="643"/>
      <c r="DE138" s="643"/>
      <c r="DF138" s="643"/>
      <c r="DG138" s="643"/>
      <c r="DH138" s="643"/>
      <c r="DI138" s="643"/>
      <c r="DJ138" s="643"/>
      <c r="DK138" s="631"/>
      <c r="DL138" s="494">
        <f t="shared" si="146"/>
        <v>10</v>
      </c>
      <c r="DM138" s="122">
        <f t="shared" si="147"/>
        <v>130</v>
      </c>
      <c r="DN138" s="122">
        <f t="shared" si="148"/>
        <v>120</v>
      </c>
      <c r="DO138" s="124">
        <f t="shared" si="149"/>
        <v>0</v>
      </c>
    </row>
    <row r="139" spans="2:123" ht="32.1" customHeight="1" outlineLevel="1" thickBot="1" x14ac:dyDescent="0.3">
      <c r="B139" s="816"/>
      <c r="C139" s="814"/>
      <c r="D139" s="805"/>
      <c r="E139" s="779"/>
      <c r="F139" s="278" t="s">
        <v>5</v>
      </c>
      <c r="G139" s="280" t="s">
        <v>139</v>
      </c>
      <c r="H139" s="351"/>
      <c r="I139" s="949" t="s">
        <v>220</v>
      </c>
      <c r="J139" s="352"/>
      <c r="K139" s="352"/>
      <c r="L139" s="281"/>
      <c r="M139" s="281"/>
      <c r="N139" s="281"/>
      <c r="O139" s="281"/>
      <c r="P139" s="281">
        <v>80</v>
      </c>
      <c r="Q139" s="281"/>
      <c r="R139" s="281"/>
      <c r="S139" s="281"/>
      <c r="T139" s="281"/>
      <c r="U139" s="282"/>
      <c r="V139" s="282"/>
      <c r="W139" s="282"/>
      <c r="X139" s="282"/>
      <c r="Y139" s="282"/>
      <c r="Z139" s="282"/>
      <c r="AA139" s="282"/>
      <c r="AB139" s="282"/>
      <c r="AC139" s="282"/>
      <c r="AD139" s="282"/>
      <c r="AE139" s="282"/>
      <c r="AF139" s="282"/>
      <c r="AG139" s="282"/>
      <c r="AH139" s="282"/>
      <c r="AI139" s="282"/>
      <c r="AJ139" s="282"/>
      <c r="AK139" s="282"/>
      <c r="AL139" s="282"/>
      <c r="AM139" s="282"/>
      <c r="AN139" s="282"/>
      <c r="AO139" s="282"/>
      <c r="AP139" s="283"/>
      <c r="AQ139" s="283"/>
      <c r="AR139" s="283"/>
      <c r="AS139" s="283"/>
      <c r="AT139" s="283"/>
      <c r="AU139" s="284"/>
      <c r="AV139" s="284"/>
      <c r="AW139" s="284"/>
      <c r="AX139" s="284"/>
      <c r="AY139" s="284"/>
      <c r="AZ139" s="284"/>
      <c r="BA139" s="285"/>
      <c r="BB139" s="285"/>
      <c r="BC139" s="285"/>
      <c r="BD139" s="285"/>
      <c r="BE139" s="281">
        <v>15</v>
      </c>
      <c r="BF139" s="281"/>
      <c r="BG139" s="281"/>
      <c r="BH139" s="281"/>
      <c r="BI139" s="281"/>
      <c r="BJ139" s="286"/>
      <c r="BK139" s="282"/>
      <c r="BL139" s="282"/>
      <c r="BM139" s="282"/>
      <c r="BN139" s="282"/>
      <c r="BO139" s="282"/>
      <c r="BP139" s="282"/>
      <c r="BQ139" s="282"/>
      <c r="BR139" s="282"/>
      <c r="BS139" s="282"/>
      <c r="BT139" s="282"/>
      <c r="BU139" s="282"/>
      <c r="BV139" s="282"/>
      <c r="BW139" s="283"/>
      <c r="BX139" s="283"/>
      <c r="BY139" s="283"/>
      <c r="BZ139" s="283"/>
      <c r="CA139" s="283"/>
      <c r="CB139" s="283"/>
      <c r="CC139" s="283"/>
      <c r="CD139" s="283"/>
      <c r="CE139" s="283"/>
      <c r="CF139" s="283"/>
      <c r="CG139" s="283"/>
      <c r="CH139" s="287"/>
      <c r="CI139" s="283"/>
      <c r="CJ139" s="283"/>
      <c r="CK139" s="283"/>
      <c r="CL139" s="283"/>
      <c r="CM139" s="283"/>
      <c r="CN139" s="283"/>
      <c r="CO139" s="284"/>
      <c r="CP139" s="284"/>
      <c r="CQ139" s="284"/>
      <c r="CR139" s="542"/>
      <c r="CS139" s="542"/>
      <c r="CT139" s="542"/>
      <c r="CU139" s="542"/>
      <c r="CV139" s="542"/>
      <c r="CW139" s="542"/>
      <c r="CX139" s="542"/>
      <c r="CY139" s="543"/>
      <c r="CZ139" s="284"/>
      <c r="DA139" s="284"/>
      <c r="DB139" s="284"/>
      <c r="DC139" s="281"/>
      <c r="DD139" s="641"/>
      <c r="DE139" s="641"/>
      <c r="DF139" s="641"/>
      <c r="DG139" s="641"/>
      <c r="DH139" s="641"/>
      <c r="DI139" s="641"/>
      <c r="DJ139" s="641"/>
      <c r="DK139" s="629"/>
      <c r="DL139" s="495">
        <f t="shared" si="146"/>
        <v>400</v>
      </c>
      <c r="DM139" s="84">
        <f t="shared" si="147"/>
        <v>95</v>
      </c>
      <c r="DN139" s="84">
        <f t="shared" si="148"/>
        <v>0</v>
      </c>
      <c r="DO139" s="125">
        <f t="shared" si="149"/>
        <v>0</v>
      </c>
    </row>
    <row r="140" spans="2:123" ht="32.1" customHeight="1" outlineLevel="1" thickBot="1" x14ac:dyDescent="0.3">
      <c r="B140" s="816"/>
      <c r="C140" s="814"/>
      <c r="D140" s="805"/>
      <c r="E140" s="779"/>
      <c r="F140" s="278" t="s">
        <v>5</v>
      </c>
      <c r="G140" s="280" t="s">
        <v>139</v>
      </c>
      <c r="H140" s="351"/>
      <c r="I140" s="949" t="s">
        <v>229</v>
      </c>
      <c r="J140" s="352"/>
      <c r="K140" s="352"/>
      <c r="L140" s="281"/>
      <c r="M140" s="281"/>
      <c r="N140" s="281"/>
      <c r="O140" s="281"/>
      <c r="P140" s="281"/>
      <c r="Q140" s="281"/>
      <c r="R140" s="281"/>
      <c r="S140" s="281"/>
      <c r="T140" s="281"/>
      <c r="U140" s="282"/>
      <c r="V140" s="282"/>
      <c r="W140" s="282"/>
      <c r="X140" s="282"/>
      <c r="Y140" s="282"/>
      <c r="Z140" s="282"/>
      <c r="AA140" s="282"/>
      <c r="AB140" s="282"/>
      <c r="AC140" s="282"/>
      <c r="AD140" s="282"/>
      <c r="AE140" s="282"/>
      <c r="AF140" s="282"/>
      <c r="AG140" s="282">
        <v>17.5</v>
      </c>
      <c r="AH140" s="282"/>
      <c r="AI140" s="282"/>
      <c r="AJ140" s="282"/>
      <c r="AK140" s="282"/>
      <c r="AL140" s="282"/>
      <c r="AM140" s="282"/>
      <c r="AN140" s="282"/>
      <c r="AO140" s="282"/>
      <c r="AP140" s="283"/>
      <c r="AQ140" s="283"/>
      <c r="AR140" s="283"/>
      <c r="AS140" s="283"/>
      <c r="AT140" s="283"/>
      <c r="AU140" s="284"/>
      <c r="AV140" s="284"/>
      <c r="AW140" s="284"/>
      <c r="AX140" s="284"/>
      <c r="AY140" s="284"/>
      <c r="AZ140" s="284"/>
      <c r="BA140" s="285"/>
      <c r="BB140" s="285"/>
      <c r="BC140" s="285"/>
      <c r="BD140" s="285"/>
      <c r="BE140" s="281"/>
      <c r="BF140" s="281"/>
      <c r="BG140" s="281"/>
      <c r="BH140" s="281"/>
      <c r="BI140" s="281"/>
      <c r="BJ140" s="286"/>
      <c r="BK140" s="282"/>
      <c r="BL140" s="282"/>
      <c r="BM140" s="282"/>
      <c r="BN140" s="282"/>
      <c r="BO140" s="282"/>
      <c r="BP140" s="282"/>
      <c r="BQ140" s="282"/>
      <c r="BR140" s="282"/>
      <c r="BS140" s="282"/>
      <c r="BT140" s="282"/>
      <c r="BU140" s="282"/>
      <c r="BV140" s="282"/>
      <c r="BW140" s="283"/>
      <c r="BX140" s="283"/>
      <c r="BY140" s="283"/>
      <c r="BZ140" s="283"/>
      <c r="CA140" s="283"/>
      <c r="CB140" s="283"/>
      <c r="CC140" s="283"/>
      <c r="CD140" s="283"/>
      <c r="CE140" s="283"/>
      <c r="CF140" s="283"/>
      <c r="CG140" s="283"/>
      <c r="CH140" s="287"/>
      <c r="CI140" s="283"/>
      <c r="CJ140" s="283"/>
      <c r="CK140" s="283"/>
      <c r="CL140" s="283"/>
      <c r="CM140" s="283"/>
      <c r="CN140" s="283"/>
      <c r="CO140" s="284"/>
      <c r="CP140" s="284"/>
      <c r="CQ140" s="284"/>
      <c r="CR140" s="542"/>
      <c r="CS140" s="542"/>
      <c r="CT140" s="542"/>
      <c r="CU140" s="542"/>
      <c r="CV140" s="542"/>
      <c r="CW140" s="542"/>
      <c r="CX140" s="542"/>
      <c r="CY140" s="543"/>
      <c r="CZ140" s="284"/>
      <c r="DA140" s="284"/>
      <c r="DB140" s="284"/>
      <c r="DC140" s="281"/>
      <c r="DD140" s="641"/>
      <c r="DE140" s="641"/>
      <c r="DF140" s="641"/>
      <c r="DG140" s="641"/>
      <c r="DH140" s="641"/>
      <c r="DI140" s="641"/>
      <c r="DJ140" s="641"/>
      <c r="DK140" s="629"/>
      <c r="DL140" s="495">
        <f t="shared" si="146"/>
        <v>23.333333333333332</v>
      </c>
      <c r="DM140" s="84">
        <f t="shared" si="147"/>
        <v>17.5</v>
      </c>
      <c r="DN140" s="84">
        <f t="shared" si="148"/>
        <v>0</v>
      </c>
      <c r="DO140" s="125">
        <f t="shared" si="149"/>
        <v>0</v>
      </c>
    </row>
    <row r="141" spans="2:123" ht="32.1" customHeight="1" outlineLevel="1" thickBot="1" x14ac:dyDescent="0.3">
      <c r="B141" s="816"/>
      <c r="C141" s="814"/>
      <c r="D141" s="805"/>
      <c r="E141" s="779"/>
      <c r="F141" s="288" t="s">
        <v>5</v>
      </c>
      <c r="G141" s="290" t="s">
        <v>139</v>
      </c>
      <c r="H141" s="445"/>
      <c r="I141" s="953"/>
      <c r="J141" s="467"/>
      <c r="K141" s="467"/>
      <c r="L141" s="387"/>
      <c r="M141" s="387"/>
      <c r="N141" s="387"/>
      <c r="O141" s="387"/>
      <c r="P141" s="387"/>
      <c r="Q141" s="387"/>
      <c r="R141" s="387"/>
      <c r="S141" s="387"/>
      <c r="T141" s="387"/>
      <c r="U141" s="388"/>
      <c r="V141" s="388"/>
      <c r="W141" s="388"/>
      <c r="X141" s="388"/>
      <c r="Y141" s="388"/>
      <c r="Z141" s="388"/>
      <c r="AA141" s="388"/>
      <c r="AB141" s="388"/>
      <c r="AC141" s="388"/>
      <c r="AD141" s="388"/>
      <c r="AE141" s="388"/>
      <c r="AF141" s="388"/>
      <c r="AG141" s="388"/>
      <c r="AH141" s="388"/>
      <c r="AI141" s="388"/>
      <c r="AJ141" s="388"/>
      <c r="AK141" s="388"/>
      <c r="AL141" s="388"/>
      <c r="AM141" s="388"/>
      <c r="AN141" s="388"/>
      <c r="AO141" s="388"/>
      <c r="AP141" s="389"/>
      <c r="AQ141" s="389"/>
      <c r="AR141" s="389"/>
      <c r="AS141" s="389"/>
      <c r="AT141" s="389"/>
      <c r="AU141" s="390"/>
      <c r="AV141" s="390"/>
      <c r="AW141" s="390"/>
      <c r="AX141" s="390"/>
      <c r="AY141" s="390"/>
      <c r="AZ141" s="390"/>
      <c r="BA141" s="391"/>
      <c r="BB141" s="391"/>
      <c r="BC141" s="391"/>
      <c r="BD141" s="391"/>
      <c r="BE141" s="387"/>
      <c r="BF141" s="387"/>
      <c r="BG141" s="387"/>
      <c r="BH141" s="387"/>
      <c r="BI141" s="387"/>
      <c r="BJ141" s="392"/>
      <c r="BK141" s="388"/>
      <c r="BL141" s="388"/>
      <c r="BM141" s="388"/>
      <c r="BN141" s="388"/>
      <c r="BO141" s="388"/>
      <c r="BP141" s="388"/>
      <c r="BQ141" s="388"/>
      <c r="BR141" s="388"/>
      <c r="BS141" s="388"/>
      <c r="BT141" s="388"/>
      <c r="BU141" s="388"/>
      <c r="BV141" s="388"/>
      <c r="BW141" s="389"/>
      <c r="BX141" s="389"/>
      <c r="BY141" s="389"/>
      <c r="BZ141" s="389"/>
      <c r="CA141" s="389"/>
      <c r="CB141" s="389"/>
      <c r="CC141" s="389"/>
      <c r="CD141" s="389"/>
      <c r="CE141" s="389"/>
      <c r="CF141" s="389"/>
      <c r="CG141" s="389"/>
      <c r="CH141" s="394"/>
      <c r="CI141" s="389"/>
      <c r="CJ141" s="389"/>
      <c r="CK141" s="389"/>
      <c r="CL141" s="389"/>
      <c r="CM141" s="389"/>
      <c r="CN141" s="389"/>
      <c r="CO141" s="390"/>
      <c r="CP141" s="390"/>
      <c r="CQ141" s="390"/>
      <c r="CR141" s="548"/>
      <c r="CS141" s="548"/>
      <c r="CT141" s="548"/>
      <c r="CU141" s="548"/>
      <c r="CV141" s="548"/>
      <c r="CW141" s="548"/>
      <c r="CX141" s="548"/>
      <c r="CY141" s="549"/>
      <c r="CZ141" s="390"/>
      <c r="DA141" s="390"/>
      <c r="DB141" s="390"/>
      <c r="DC141" s="387"/>
      <c r="DD141" s="644"/>
      <c r="DE141" s="644"/>
      <c r="DF141" s="644"/>
      <c r="DG141" s="644"/>
      <c r="DH141" s="644"/>
      <c r="DI141" s="644"/>
      <c r="DJ141" s="644"/>
      <c r="DK141" s="632"/>
      <c r="DL141" s="497">
        <f t="shared" si="146"/>
        <v>0</v>
      </c>
      <c r="DM141" s="126">
        <f t="shared" si="147"/>
        <v>0</v>
      </c>
      <c r="DN141" s="126">
        <f t="shared" si="148"/>
        <v>0</v>
      </c>
      <c r="DO141" s="127">
        <f t="shared" si="149"/>
        <v>0</v>
      </c>
    </row>
    <row r="142" spans="2:123" ht="32.1" customHeight="1" outlineLevel="1" thickBot="1" x14ac:dyDescent="0.3">
      <c r="B142" s="816"/>
      <c r="C142" s="814"/>
      <c r="D142" s="805"/>
      <c r="E142" s="778" t="s">
        <v>138</v>
      </c>
      <c r="F142" s="375" t="s">
        <v>5</v>
      </c>
      <c r="G142" s="376" t="s">
        <v>139</v>
      </c>
      <c r="H142" s="351"/>
      <c r="I142" s="954" t="s">
        <v>86</v>
      </c>
      <c r="J142" s="465"/>
      <c r="K142" s="465"/>
      <c r="L142" s="271"/>
      <c r="M142" s="271"/>
      <c r="N142" s="271"/>
      <c r="O142" s="271"/>
      <c r="P142" s="271"/>
      <c r="Q142" s="271"/>
      <c r="R142" s="271"/>
      <c r="S142" s="271"/>
      <c r="T142" s="271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  <c r="AF142" s="272"/>
      <c r="AG142" s="272"/>
      <c r="AH142" s="272"/>
      <c r="AI142" s="272"/>
      <c r="AJ142" s="272"/>
      <c r="AK142" s="272"/>
      <c r="AL142" s="272"/>
      <c r="AM142" s="272"/>
      <c r="AN142" s="272"/>
      <c r="AO142" s="272"/>
      <c r="AP142" s="273"/>
      <c r="AQ142" s="273"/>
      <c r="AR142" s="273"/>
      <c r="AS142" s="273"/>
      <c r="AT142" s="273"/>
      <c r="AU142" s="274"/>
      <c r="AV142" s="274"/>
      <c r="AW142" s="274"/>
      <c r="AX142" s="274"/>
      <c r="AY142" s="274"/>
      <c r="AZ142" s="274"/>
      <c r="BA142" s="275"/>
      <c r="BB142" s="275"/>
      <c r="BC142" s="275"/>
      <c r="BD142" s="275"/>
      <c r="BE142" s="271"/>
      <c r="BF142" s="271"/>
      <c r="BG142" s="271"/>
      <c r="BH142" s="271"/>
      <c r="BI142" s="271"/>
      <c r="BJ142" s="276"/>
      <c r="BK142" s="272"/>
      <c r="BL142" s="272"/>
      <c r="BM142" s="272"/>
      <c r="BN142" s="272"/>
      <c r="BO142" s="272"/>
      <c r="BP142" s="272"/>
      <c r="BQ142" s="272"/>
      <c r="BR142" s="272"/>
      <c r="BS142" s="272"/>
      <c r="BT142" s="272"/>
      <c r="BU142" s="272"/>
      <c r="BV142" s="272"/>
      <c r="BW142" s="273"/>
      <c r="BX142" s="273"/>
      <c r="BY142" s="273"/>
      <c r="BZ142" s="273"/>
      <c r="CA142" s="273"/>
      <c r="CB142" s="273"/>
      <c r="CC142" s="273"/>
      <c r="CD142" s="273"/>
      <c r="CE142" s="273"/>
      <c r="CF142" s="273"/>
      <c r="CG142" s="273"/>
      <c r="CH142" s="277">
        <v>200</v>
      </c>
      <c r="CI142" s="273"/>
      <c r="CJ142" s="273"/>
      <c r="CK142" s="273"/>
      <c r="CL142" s="273"/>
      <c r="CM142" s="273"/>
      <c r="CN142" s="273"/>
      <c r="CO142" s="274"/>
      <c r="CP142" s="274"/>
      <c r="CQ142" s="274"/>
      <c r="CR142" s="540"/>
      <c r="CS142" s="540"/>
      <c r="CT142" s="540"/>
      <c r="CU142" s="540"/>
      <c r="CV142" s="540"/>
      <c r="CW142" s="540"/>
      <c r="CX142" s="540"/>
      <c r="CY142" s="541"/>
      <c r="CZ142" s="274"/>
      <c r="DA142" s="274"/>
      <c r="DB142" s="274"/>
      <c r="DC142" s="271"/>
      <c r="DD142" s="645"/>
      <c r="DE142" s="645"/>
      <c r="DF142" s="645"/>
      <c r="DG142" s="645"/>
      <c r="DH142" s="645"/>
      <c r="DI142" s="645"/>
      <c r="DJ142" s="645"/>
      <c r="DK142" s="628"/>
      <c r="DL142" s="498">
        <f t="shared" si="146"/>
        <v>0</v>
      </c>
      <c r="DM142" s="121">
        <f t="shared" si="147"/>
        <v>200</v>
      </c>
      <c r="DN142" s="121">
        <f t="shared" si="148"/>
        <v>0</v>
      </c>
      <c r="DO142" s="357">
        <f t="shared" si="149"/>
        <v>0</v>
      </c>
    </row>
    <row r="143" spans="2:123" ht="32.1" customHeight="1" outlineLevel="1" thickBot="1" x14ac:dyDescent="0.3">
      <c r="B143" s="816"/>
      <c r="C143" s="814"/>
      <c r="D143" s="805"/>
      <c r="E143" s="779"/>
      <c r="F143" s="278" t="s">
        <v>5</v>
      </c>
      <c r="G143" s="280" t="s">
        <v>139</v>
      </c>
      <c r="H143" s="351"/>
      <c r="I143" s="949"/>
      <c r="J143" s="352"/>
      <c r="K143" s="352"/>
      <c r="L143" s="281"/>
      <c r="M143" s="281"/>
      <c r="N143" s="281"/>
      <c r="O143" s="281"/>
      <c r="P143" s="281"/>
      <c r="Q143" s="281"/>
      <c r="R143" s="281"/>
      <c r="S143" s="281"/>
      <c r="T143" s="281"/>
      <c r="U143" s="282"/>
      <c r="V143" s="282"/>
      <c r="W143" s="282"/>
      <c r="X143" s="282"/>
      <c r="Y143" s="282"/>
      <c r="Z143" s="282"/>
      <c r="AA143" s="282"/>
      <c r="AB143" s="282"/>
      <c r="AC143" s="282"/>
      <c r="AD143" s="282"/>
      <c r="AE143" s="282"/>
      <c r="AF143" s="282"/>
      <c r="AG143" s="282"/>
      <c r="AH143" s="282"/>
      <c r="AI143" s="282"/>
      <c r="AJ143" s="282"/>
      <c r="AK143" s="282"/>
      <c r="AL143" s="282"/>
      <c r="AM143" s="282"/>
      <c r="AN143" s="282"/>
      <c r="AO143" s="282"/>
      <c r="AP143" s="283"/>
      <c r="AQ143" s="283"/>
      <c r="AR143" s="283"/>
      <c r="AS143" s="283"/>
      <c r="AT143" s="283"/>
      <c r="AU143" s="284"/>
      <c r="AV143" s="284"/>
      <c r="AW143" s="284"/>
      <c r="AX143" s="284"/>
      <c r="AY143" s="284"/>
      <c r="AZ143" s="284"/>
      <c r="BA143" s="285"/>
      <c r="BB143" s="285"/>
      <c r="BC143" s="285"/>
      <c r="BD143" s="285"/>
      <c r="BE143" s="281"/>
      <c r="BF143" s="281"/>
      <c r="BG143" s="281"/>
      <c r="BH143" s="281"/>
      <c r="BI143" s="281"/>
      <c r="BJ143" s="286"/>
      <c r="BK143" s="282"/>
      <c r="BL143" s="282"/>
      <c r="BM143" s="282"/>
      <c r="BN143" s="282"/>
      <c r="BO143" s="282"/>
      <c r="BP143" s="282"/>
      <c r="BQ143" s="282"/>
      <c r="BR143" s="282"/>
      <c r="BS143" s="282"/>
      <c r="BT143" s="282"/>
      <c r="BU143" s="282"/>
      <c r="BV143" s="282"/>
      <c r="BW143" s="283"/>
      <c r="BX143" s="283"/>
      <c r="BY143" s="283"/>
      <c r="BZ143" s="283"/>
      <c r="CA143" s="283"/>
      <c r="CB143" s="283"/>
      <c r="CC143" s="283"/>
      <c r="CD143" s="283"/>
      <c r="CE143" s="283"/>
      <c r="CF143" s="283"/>
      <c r="CG143" s="283"/>
      <c r="CH143" s="287"/>
      <c r="CI143" s="283"/>
      <c r="CJ143" s="283"/>
      <c r="CK143" s="283"/>
      <c r="CL143" s="283"/>
      <c r="CM143" s="283"/>
      <c r="CN143" s="283"/>
      <c r="CO143" s="284"/>
      <c r="CP143" s="284"/>
      <c r="CQ143" s="284"/>
      <c r="CR143" s="542"/>
      <c r="CS143" s="542"/>
      <c r="CT143" s="542"/>
      <c r="CU143" s="542"/>
      <c r="CV143" s="542"/>
      <c r="CW143" s="542"/>
      <c r="CX143" s="542"/>
      <c r="CY143" s="543"/>
      <c r="CZ143" s="284"/>
      <c r="DA143" s="284"/>
      <c r="DB143" s="284"/>
      <c r="DC143" s="281"/>
      <c r="DD143" s="641"/>
      <c r="DE143" s="641"/>
      <c r="DF143" s="641"/>
      <c r="DG143" s="641"/>
      <c r="DH143" s="641"/>
      <c r="DI143" s="641"/>
      <c r="DJ143" s="641"/>
      <c r="DK143" s="629"/>
      <c r="DL143" s="495">
        <f t="shared" si="146"/>
        <v>0</v>
      </c>
      <c r="DM143" s="84">
        <f t="shared" si="147"/>
        <v>0</v>
      </c>
      <c r="DN143" s="84">
        <f t="shared" si="148"/>
        <v>0</v>
      </c>
      <c r="DO143" s="125">
        <f t="shared" si="149"/>
        <v>0</v>
      </c>
    </row>
    <row r="144" spans="2:123" ht="32.1" customHeight="1" outlineLevel="1" thickBot="1" x14ac:dyDescent="0.3">
      <c r="B144" s="816"/>
      <c r="C144" s="814"/>
      <c r="D144" s="805"/>
      <c r="E144" s="779"/>
      <c r="F144" s="278" t="s">
        <v>5</v>
      </c>
      <c r="G144" s="280" t="s">
        <v>139</v>
      </c>
      <c r="H144" s="351"/>
      <c r="I144" s="949"/>
      <c r="J144" s="352"/>
      <c r="K144" s="352"/>
      <c r="L144" s="281"/>
      <c r="M144" s="281"/>
      <c r="N144" s="281"/>
      <c r="O144" s="281"/>
      <c r="P144" s="281"/>
      <c r="Q144" s="281"/>
      <c r="R144" s="281"/>
      <c r="S144" s="281"/>
      <c r="T144" s="281"/>
      <c r="U144" s="282"/>
      <c r="V144" s="282"/>
      <c r="W144" s="282"/>
      <c r="X144" s="282"/>
      <c r="Y144" s="282"/>
      <c r="Z144" s="282"/>
      <c r="AA144" s="282"/>
      <c r="AB144" s="282"/>
      <c r="AC144" s="282"/>
      <c r="AD144" s="282"/>
      <c r="AE144" s="282"/>
      <c r="AF144" s="282"/>
      <c r="AG144" s="282"/>
      <c r="AH144" s="282"/>
      <c r="AI144" s="282"/>
      <c r="AJ144" s="282"/>
      <c r="AK144" s="282"/>
      <c r="AL144" s="282"/>
      <c r="AM144" s="282"/>
      <c r="AN144" s="282"/>
      <c r="AO144" s="282"/>
      <c r="AP144" s="283"/>
      <c r="AQ144" s="283"/>
      <c r="AR144" s="283"/>
      <c r="AS144" s="283"/>
      <c r="AT144" s="283"/>
      <c r="AU144" s="284"/>
      <c r="AV144" s="284"/>
      <c r="AW144" s="284"/>
      <c r="AX144" s="284"/>
      <c r="AY144" s="284"/>
      <c r="AZ144" s="284"/>
      <c r="BA144" s="285"/>
      <c r="BB144" s="285"/>
      <c r="BC144" s="285"/>
      <c r="BD144" s="285"/>
      <c r="BE144" s="281"/>
      <c r="BF144" s="281"/>
      <c r="BG144" s="281"/>
      <c r="BH144" s="281"/>
      <c r="BI144" s="281"/>
      <c r="BJ144" s="286"/>
      <c r="BK144" s="282"/>
      <c r="BL144" s="282"/>
      <c r="BM144" s="282"/>
      <c r="BN144" s="282"/>
      <c r="BO144" s="282"/>
      <c r="BP144" s="282"/>
      <c r="BQ144" s="282"/>
      <c r="BR144" s="282"/>
      <c r="BS144" s="282"/>
      <c r="BT144" s="282"/>
      <c r="BU144" s="282"/>
      <c r="BV144" s="282"/>
      <c r="BW144" s="283"/>
      <c r="BX144" s="283"/>
      <c r="BY144" s="283"/>
      <c r="BZ144" s="283"/>
      <c r="CA144" s="283"/>
      <c r="CB144" s="283"/>
      <c r="CC144" s="283"/>
      <c r="CD144" s="283"/>
      <c r="CE144" s="283"/>
      <c r="CF144" s="283"/>
      <c r="CG144" s="283"/>
      <c r="CH144" s="287"/>
      <c r="CI144" s="283"/>
      <c r="CJ144" s="283"/>
      <c r="CK144" s="283"/>
      <c r="CL144" s="283"/>
      <c r="CM144" s="283"/>
      <c r="CN144" s="283"/>
      <c r="CO144" s="284"/>
      <c r="CP144" s="284"/>
      <c r="CQ144" s="284"/>
      <c r="CR144" s="542"/>
      <c r="CS144" s="542"/>
      <c r="CT144" s="542"/>
      <c r="CU144" s="542"/>
      <c r="CV144" s="542"/>
      <c r="CW144" s="542"/>
      <c r="CX144" s="542"/>
      <c r="CY144" s="543"/>
      <c r="CZ144" s="284"/>
      <c r="DA144" s="284"/>
      <c r="DB144" s="284"/>
      <c r="DC144" s="281"/>
      <c r="DD144" s="641"/>
      <c r="DE144" s="641"/>
      <c r="DF144" s="641"/>
      <c r="DG144" s="641"/>
      <c r="DH144" s="641"/>
      <c r="DI144" s="641"/>
      <c r="DJ144" s="641"/>
      <c r="DK144" s="629"/>
      <c r="DL144" s="495">
        <f t="shared" si="146"/>
        <v>0</v>
      </c>
      <c r="DM144" s="84">
        <f t="shared" si="147"/>
        <v>0</v>
      </c>
      <c r="DN144" s="84">
        <f t="shared" si="148"/>
        <v>0</v>
      </c>
      <c r="DO144" s="125">
        <f t="shared" si="149"/>
        <v>0</v>
      </c>
    </row>
    <row r="145" spans="2:123" ht="32.1" customHeight="1" outlineLevel="1" thickBot="1" x14ac:dyDescent="0.3">
      <c r="B145" s="816"/>
      <c r="C145" s="814"/>
      <c r="D145" s="797"/>
      <c r="E145" s="779"/>
      <c r="F145" s="278" t="s">
        <v>5</v>
      </c>
      <c r="G145" s="280" t="s">
        <v>139</v>
      </c>
      <c r="H145" s="351"/>
      <c r="I145" s="949"/>
      <c r="J145" s="352"/>
      <c r="K145" s="352"/>
      <c r="L145" s="281"/>
      <c r="M145" s="281"/>
      <c r="N145" s="281"/>
      <c r="O145" s="281"/>
      <c r="P145" s="281"/>
      <c r="Q145" s="281"/>
      <c r="R145" s="281"/>
      <c r="S145" s="281"/>
      <c r="T145" s="281"/>
      <c r="U145" s="282"/>
      <c r="V145" s="282"/>
      <c r="W145" s="282"/>
      <c r="X145" s="282"/>
      <c r="Y145" s="282"/>
      <c r="Z145" s="282"/>
      <c r="AA145" s="282"/>
      <c r="AB145" s="282"/>
      <c r="AC145" s="282"/>
      <c r="AD145" s="282"/>
      <c r="AE145" s="282"/>
      <c r="AF145" s="282"/>
      <c r="AG145" s="282"/>
      <c r="AH145" s="282"/>
      <c r="AI145" s="282"/>
      <c r="AJ145" s="282"/>
      <c r="AK145" s="282"/>
      <c r="AL145" s="282"/>
      <c r="AM145" s="282"/>
      <c r="AN145" s="282"/>
      <c r="AO145" s="282"/>
      <c r="AP145" s="283"/>
      <c r="AQ145" s="283"/>
      <c r="AR145" s="283"/>
      <c r="AS145" s="283"/>
      <c r="AT145" s="283"/>
      <c r="AU145" s="284"/>
      <c r="AV145" s="284"/>
      <c r="AW145" s="284"/>
      <c r="AX145" s="284"/>
      <c r="AY145" s="284"/>
      <c r="AZ145" s="284"/>
      <c r="BA145" s="285"/>
      <c r="BB145" s="285"/>
      <c r="BC145" s="285"/>
      <c r="BD145" s="285"/>
      <c r="BE145" s="281"/>
      <c r="BF145" s="281"/>
      <c r="BG145" s="281"/>
      <c r="BH145" s="281"/>
      <c r="BI145" s="281"/>
      <c r="BJ145" s="286"/>
      <c r="BK145" s="282"/>
      <c r="BL145" s="282"/>
      <c r="BM145" s="282"/>
      <c r="BN145" s="282"/>
      <c r="BO145" s="282"/>
      <c r="BP145" s="282"/>
      <c r="BQ145" s="282"/>
      <c r="BR145" s="282"/>
      <c r="BS145" s="282"/>
      <c r="BT145" s="282"/>
      <c r="BU145" s="282"/>
      <c r="BV145" s="282"/>
      <c r="BW145" s="283"/>
      <c r="BX145" s="283"/>
      <c r="BY145" s="283"/>
      <c r="BZ145" s="283"/>
      <c r="CA145" s="283"/>
      <c r="CB145" s="283"/>
      <c r="CC145" s="283"/>
      <c r="CD145" s="283"/>
      <c r="CE145" s="283"/>
      <c r="CF145" s="283"/>
      <c r="CG145" s="283"/>
      <c r="CH145" s="287"/>
      <c r="CI145" s="283"/>
      <c r="CJ145" s="283"/>
      <c r="CK145" s="283"/>
      <c r="CL145" s="283"/>
      <c r="CM145" s="283"/>
      <c r="CN145" s="283"/>
      <c r="CO145" s="284"/>
      <c r="CP145" s="284"/>
      <c r="CQ145" s="284"/>
      <c r="CR145" s="542"/>
      <c r="CS145" s="542"/>
      <c r="CT145" s="542"/>
      <c r="CU145" s="542"/>
      <c r="CV145" s="542"/>
      <c r="CW145" s="542"/>
      <c r="CX145" s="542"/>
      <c r="CY145" s="543"/>
      <c r="CZ145" s="284"/>
      <c r="DA145" s="284"/>
      <c r="DB145" s="284"/>
      <c r="DC145" s="281"/>
      <c r="DD145" s="641"/>
      <c r="DE145" s="641"/>
      <c r="DF145" s="641"/>
      <c r="DG145" s="641"/>
      <c r="DH145" s="641"/>
      <c r="DI145" s="641"/>
      <c r="DJ145" s="641"/>
      <c r="DK145" s="629"/>
      <c r="DL145" s="495">
        <f t="shared" si="146"/>
        <v>0</v>
      </c>
      <c r="DM145" s="84">
        <f t="shared" si="147"/>
        <v>0</v>
      </c>
      <c r="DN145" s="84">
        <f t="shared" si="148"/>
        <v>0</v>
      </c>
      <c r="DO145" s="125">
        <f t="shared" si="149"/>
        <v>0</v>
      </c>
    </row>
    <row r="146" spans="2:123" s="834" customFormat="1" ht="16.5" customHeight="1" outlineLevel="1" thickBot="1" x14ac:dyDescent="0.35">
      <c r="B146" s="816"/>
      <c r="C146" s="814"/>
      <c r="D146" s="819"/>
      <c r="E146" s="820" t="s">
        <v>254</v>
      </c>
      <c r="F146" s="821"/>
      <c r="G146" s="822"/>
      <c r="H146" s="823"/>
      <c r="I146" s="903"/>
      <c r="J146" s="824">
        <f>SUM(J134:J145)</f>
        <v>0</v>
      </c>
      <c r="K146" s="824">
        <f t="shared" ref="K146:CL146" si="150">SUM(K134:K145)</f>
        <v>0</v>
      </c>
      <c r="L146" s="824">
        <f t="shared" si="150"/>
        <v>0</v>
      </c>
      <c r="M146" s="824">
        <f t="shared" si="150"/>
        <v>0</v>
      </c>
      <c r="N146" s="824">
        <f t="shared" si="150"/>
        <v>0</v>
      </c>
      <c r="O146" s="824">
        <f t="shared" si="150"/>
        <v>0</v>
      </c>
      <c r="P146" s="824">
        <f t="shared" si="150"/>
        <v>80</v>
      </c>
      <c r="Q146" s="824">
        <f t="shared" si="150"/>
        <v>0</v>
      </c>
      <c r="R146" s="824">
        <f t="shared" si="150"/>
        <v>0</v>
      </c>
      <c r="S146" s="824">
        <f t="shared" si="150"/>
        <v>0</v>
      </c>
      <c r="T146" s="824">
        <f t="shared" si="150"/>
        <v>0</v>
      </c>
      <c r="U146" s="825">
        <f t="shared" si="150"/>
        <v>0</v>
      </c>
      <c r="V146" s="825">
        <f t="shared" si="150"/>
        <v>0</v>
      </c>
      <c r="W146" s="825">
        <f t="shared" si="150"/>
        <v>195</v>
      </c>
      <c r="X146" s="825">
        <f t="shared" si="150"/>
        <v>10</v>
      </c>
      <c r="Y146" s="825">
        <f t="shared" si="150"/>
        <v>15</v>
      </c>
      <c r="Z146" s="825">
        <f t="shared" si="150"/>
        <v>40</v>
      </c>
      <c r="AA146" s="825">
        <f t="shared" si="150"/>
        <v>0</v>
      </c>
      <c r="AB146" s="825">
        <f t="shared" ref="AB146:AD146" si="151">SUM(AB134:AB145)</f>
        <v>0</v>
      </c>
      <c r="AC146" s="825">
        <f t="shared" si="151"/>
        <v>0</v>
      </c>
      <c r="AD146" s="825">
        <f t="shared" si="151"/>
        <v>0</v>
      </c>
      <c r="AE146" s="825">
        <f t="shared" si="150"/>
        <v>0</v>
      </c>
      <c r="AF146" s="825">
        <f t="shared" si="150"/>
        <v>0</v>
      </c>
      <c r="AG146" s="825">
        <f t="shared" si="150"/>
        <v>17.5</v>
      </c>
      <c r="AH146" s="825">
        <f t="shared" si="150"/>
        <v>0</v>
      </c>
      <c r="AI146" s="825">
        <f t="shared" ref="AI146:AO146" si="152">SUM(AI134:AI145)</f>
        <v>0</v>
      </c>
      <c r="AJ146" s="825">
        <f t="shared" si="152"/>
        <v>0</v>
      </c>
      <c r="AK146" s="825">
        <f t="shared" si="152"/>
        <v>0</v>
      </c>
      <c r="AL146" s="825">
        <f t="shared" si="152"/>
        <v>0</v>
      </c>
      <c r="AM146" s="825">
        <f t="shared" si="152"/>
        <v>0</v>
      </c>
      <c r="AN146" s="825">
        <f t="shared" si="152"/>
        <v>0</v>
      </c>
      <c r="AO146" s="825">
        <f t="shared" si="152"/>
        <v>0</v>
      </c>
      <c r="AP146" s="826">
        <f t="shared" si="150"/>
        <v>0</v>
      </c>
      <c r="AQ146" s="826">
        <f t="shared" ref="AQ146" si="153">SUM(AQ134:AQ145)</f>
        <v>0</v>
      </c>
      <c r="AR146" s="826">
        <f t="shared" si="150"/>
        <v>50</v>
      </c>
      <c r="AS146" s="826">
        <f t="shared" si="150"/>
        <v>100</v>
      </c>
      <c r="AT146" s="826">
        <f t="shared" si="150"/>
        <v>0</v>
      </c>
      <c r="AU146" s="827">
        <f t="shared" si="150"/>
        <v>0</v>
      </c>
      <c r="AV146" s="827">
        <f t="shared" si="150"/>
        <v>0</v>
      </c>
      <c r="AW146" s="827">
        <f t="shared" si="150"/>
        <v>0</v>
      </c>
      <c r="AX146" s="827">
        <f t="shared" ref="AX146:AY146" si="154">SUM(AX134:AX145)</f>
        <v>0</v>
      </c>
      <c r="AY146" s="827">
        <f t="shared" si="154"/>
        <v>0</v>
      </c>
      <c r="AZ146" s="827">
        <f t="shared" si="150"/>
        <v>0</v>
      </c>
      <c r="BA146" s="828">
        <f t="shared" si="150"/>
        <v>0</v>
      </c>
      <c r="BB146" s="828">
        <f t="shared" si="150"/>
        <v>0</v>
      </c>
      <c r="BC146" s="828">
        <f t="shared" si="150"/>
        <v>0</v>
      </c>
      <c r="BD146" s="828">
        <f t="shared" si="150"/>
        <v>0</v>
      </c>
      <c r="BE146" s="824">
        <f t="shared" si="150"/>
        <v>15</v>
      </c>
      <c r="BF146" s="824">
        <f t="shared" si="150"/>
        <v>0</v>
      </c>
      <c r="BG146" s="824">
        <f t="shared" si="150"/>
        <v>0</v>
      </c>
      <c r="BH146" s="824">
        <f t="shared" si="150"/>
        <v>0</v>
      </c>
      <c r="BI146" s="824">
        <f t="shared" si="150"/>
        <v>0</v>
      </c>
      <c r="BJ146" s="824">
        <f t="shared" si="150"/>
        <v>0</v>
      </c>
      <c r="BK146" s="825">
        <f t="shared" si="150"/>
        <v>0</v>
      </c>
      <c r="BL146" s="825">
        <f t="shared" si="150"/>
        <v>0</v>
      </c>
      <c r="BM146" s="825">
        <f t="shared" si="150"/>
        <v>0</v>
      </c>
      <c r="BN146" s="825">
        <f t="shared" si="150"/>
        <v>0</v>
      </c>
      <c r="BO146" s="825">
        <f t="shared" si="150"/>
        <v>120</v>
      </c>
      <c r="BP146" s="825">
        <f t="shared" si="150"/>
        <v>0</v>
      </c>
      <c r="BQ146" s="825">
        <f t="shared" si="150"/>
        <v>0</v>
      </c>
      <c r="BR146" s="825">
        <f t="shared" ref="BR146" si="155">SUM(BR134:BR145)</f>
        <v>0</v>
      </c>
      <c r="BS146" s="825">
        <f t="shared" ref="BS146" si="156">SUM(BS134:BS145)</f>
        <v>0</v>
      </c>
      <c r="BT146" s="825">
        <f t="shared" si="150"/>
        <v>0</v>
      </c>
      <c r="BU146" s="825">
        <f t="shared" si="150"/>
        <v>0</v>
      </c>
      <c r="BV146" s="825">
        <f t="shared" si="150"/>
        <v>0</v>
      </c>
      <c r="BW146" s="826">
        <f t="shared" si="150"/>
        <v>0</v>
      </c>
      <c r="BX146" s="826">
        <f t="shared" si="150"/>
        <v>0</v>
      </c>
      <c r="BY146" s="826">
        <f t="shared" si="150"/>
        <v>0</v>
      </c>
      <c r="BZ146" s="826">
        <f t="shared" si="150"/>
        <v>0</v>
      </c>
      <c r="CA146" s="826">
        <f t="shared" si="150"/>
        <v>0</v>
      </c>
      <c r="CB146" s="826">
        <f t="shared" ref="CB146" si="157">SUM(CB134:CB145)</f>
        <v>0</v>
      </c>
      <c r="CC146" s="826">
        <f t="shared" si="150"/>
        <v>0</v>
      </c>
      <c r="CD146" s="826">
        <f t="shared" si="150"/>
        <v>0</v>
      </c>
      <c r="CE146" s="826">
        <f t="shared" si="150"/>
        <v>0</v>
      </c>
      <c r="CF146" s="826">
        <f t="shared" si="150"/>
        <v>0</v>
      </c>
      <c r="CG146" s="826">
        <f t="shared" si="150"/>
        <v>0</v>
      </c>
      <c r="CH146" s="826">
        <f t="shared" si="150"/>
        <v>200</v>
      </c>
      <c r="CI146" s="826">
        <f t="shared" si="150"/>
        <v>0</v>
      </c>
      <c r="CJ146" s="826">
        <f t="shared" si="150"/>
        <v>0</v>
      </c>
      <c r="CK146" s="826">
        <f t="shared" si="150"/>
        <v>0</v>
      </c>
      <c r="CL146" s="826">
        <f t="shared" si="150"/>
        <v>0</v>
      </c>
      <c r="CM146" s="826">
        <f t="shared" ref="CM146:DO146" si="158">SUM(CM134:CM145)</f>
        <v>0</v>
      </c>
      <c r="CN146" s="826">
        <f t="shared" si="158"/>
        <v>0</v>
      </c>
      <c r="CO146" s="827">
        <f t="shared" si="158"/>
        <v>0</v>
      </c>
      <c r="CP146" s="827">
        <f t="shared" si="158"/>
        <v>0</v>
      </c>
      <c r="CQ146" s="827">
        <f t="shared" si="158"/>
        <v>0</v>
      </c>
      <c r="CR146" s="827">
        <f t="shared" si="158"/>
        <v>0</v>
      </c>
      <c r="CS146" s="827">
        <f t="shared" si="158"/>
        <v>0</v>
      </c>
      <c r="CT146" s="827">
        <f t="shared" si="158"/>
        <v>0</v>
      </c>
      <c r="CU146" s="827">
        <f t="shared" si="158"/>
        <v>0</v>
      </c>
      <c r="CV146" s="827">
        <f t="shared" si="158"/>
        <v>0</v>
      </c>
      <c r="CW146" s="827">
        <f t="shared" si="158"/>
        <v>0</v>
      </c>
      <c r="CX146" s="827">
        <f t="shared" si="158"/>
        <v>0</v>
      </c>
      <c r="CY146" s="827">
        <f t="shared" si="158"/>
        <v>0</v>
      </c>
      <c r="CZ146" s="827">
        <f t="shared" si="158"/>
        <v>0</v>
      </c>
      <c r="DA146" s="827">
        <f t="shared" si="158"/>
        <v>0</v>
      </c>
      <c r="DB146" s="827">
        <f t="shared" si="158"/>
        <v>0</v>
      </c>
      <c r="DC146" s="824">
        <f t="shared" si="158"/>
        <v>0</v>
      </c>
      <c r="DD146" s="824">
        <f t="shared" si="158"/>
        <v>0</v>
      </c>
      <c r="DE146" s="824">
        <f t="shared" si="158"/>
        <v>0</v>
      </c>
      <c r="DF146" s="824">
        <f t="shared" si="158"/>
        <v>0</v>
      </c>
      <c r="DG146" s="824">
        <f t="shared" si="158"/>
        <v>0</v>
      </c>
      <c r="DH146" s="824">
        <f t="shared" si="158"/>
        <v>0</v>
      </c>
      <c r="DI146" s="824">
        <f t="shared" si="158"/>
        <v>0</v>
      </c>
      <c r="DJ146" s="824">
        <f t="shared" si="158"/>
        <v>0</v>
      </c>
      <c r="DK146" s="829">
        <f t="shared" si="158"/>
        <v>0</v>
      </c>
      <c r="DL146" s="830">
        <f t="shared" si="158"/>
        <v>683.33333333333337</v>
      </c>
      <c r="DM146" s="831">
        <f t="shared" si="158"/>
        <v>842.5</v>
      </c>
      <c r="DN146" s="831">
        <f t="shared" si="158"/>
        <v>120</v>
      </c>
      <c r="DO146" s="832">
        <f t="shared" si="158"/>
        <v>0</v>
      </c>
      <c r="DP146" s="833"/>
      <c r="DQ146" s="833"/>
      <c r="DR146" s="833"/>
      <c r="DS146" s="833"/>
    </row>
    <row r="147" spans="2:123" ht="32.1" customHeight="1" outlineLevel="1" thickBot="1" x14ac:dyDescent="0.3">
      <c r="B147" s="816"/>
      <c r="C147" s="814"/>
      <c r="D147" s="801" t="s">
        <v>192</v>
      </c>
      <c r="E147" s="786"/>
      <c r="F147" s="308" t="s">
        <v>5</v>
      </c>
      <c r="G147" s="346" t="s">
        <v>192</v>
      </c>
      <c r="H147" s="347"/>
      <c r="I147" s="936" t="s">
        <v>64</v>
      </c>
      <c r="J147" s="350"/>
      <c r="K147" s="350"/>
      <c r="L147" s="311"/>
      <c r="M147" s="311"/>
      <c r="N147" s="311"/>
      <c r="O147" s="311"/>
      <c r="P147" s="311"/>
      <c r="Q147" s="311"/>
      <c r="R147" s="311"/>
      <c r="S147" s="311"/>
      <c r="T147" s="311"/>
      <c r="U147" s="312"/>
      <c r="V147" s="312"/>
      <c r="W147" s="312"/>
      <c r="X147" s="312"/>
      <c r="Y147" s="312"/>
      <c r="Z147" s="312"/>
      <c r="AA147" s="312"/>
      <c r="AB147" s="312"/>
      <c r="AC147" s="312"/>
      <c r="AD147" s="312"/>
      <c r="AE147" s="312"/>
      <c r="AF147" s="312"/>
      <c r="AG147" s="312"/>
      <c r="AH147" s="312"/>
      <c r="AI147" s="312"/>
      <c r="AJ147" s="312"/>
      <c r="AK147" s="312"/>
      <c r="AL147" s="312"/>
      <c r="AM147" s="312"/>
      <c r="AN147" s="312"/>
      <c r="AO147" s="312"/>
      <c r="AP147" s="313"/>
      <c r="AQ147" s="313"/>
      <c r="AR147" s="313"/>
      <c r="AS147" s="313"/>
      <c r="AT147" s="313"/>
      <c r="AU147" s="314"/>
      <c r="AV147" s="314"/>
      <c r="AW147" s="314"/>
      <c r="AX147" s="314"/>
      <c r="AY147" s="314"/>
      <c r="AZ147" s="314"/>
      <c r="BA147" s="315"/>
      <c r="BB147" s="315"/>
      <c r="BC147" s="315"/>
      <c r="BD147" s="315"/>
      <c r="BE147" s="311"/>
      <c r="BF147" s="311"/>
      <c r="BG147" s="311"/>
      <c r="BH147" s="311"/>
      <c r="BI147" s="311"/>
      <c r="BJ147" s="316"/>
      <c r="BK147" s="312"/>
      <c r="BL147" s="312"/>
      <c r="BM147" s="312"/>
      <c r="BN147" s="312"/>
      <c r="BO147" s="312"/>
      <c r="BP147" s="312"/>
      <c r="BQ147" s="312"/>
      <c r="BR147" s="312"/>
      <c r="BS147" s="312"/>
      <c r="BT147" s="312"/>
      <c r="BU147" s="312"/>
      <c r="BV147" s="312"/>
      <c r="BW147" s="313"/>
      <c r="BX147" s="313"/>
      <c r="BY147" s="313"/>
      <c r="BZ147" s="313"/>
      <c r="CA147" s="313"/>
      <c r="CB147" s="313"/>
      <c r="CC147" s="313"/>
      <c r="CD147" s="313"/>
      <c r="CE147" s="313"/>
      <c r="CF147" s="313">
        <v>1</v>
      </c>
      <c r="CG147" s="313"/>
      <c r="CH147" s="317"/>
      <c r="CI147" s="313"/>
      <c r="CJ147" s="313"/>
      <c r="CK147" s="313"/>
      <c r="CL147" s="313"/>
      <c r="CM147" s="313"/>
      <c r="CN147" s="313"/>
      <c r="CO147" s="314"/>
      <c r="CP147" s="314"/>
      <c r="CQ147" s="314"/>
      <c r="CR147" s="552"/>
      <c r="CS147" s="552"/>
      <c r="CT147" s="552"/>
      <c r="CU147" s="552"/>
      <c r="CV147" s="552"/>
      <c r="CW147" s="552"/>
      <c r="CX147" s="552"/>
      <c r="CY147" s="553"/>
      <c r="CZ147" s="314"/>
      <c r="DA147" s="314"/>
      <c r="DB147" s="314"/>
      <c r="DC147" s="311"/>
      <c r="DD147" s="646"/>
      <c r="DE147" s="646"/>
      <c r="DF147" s="646"/>
      <c r="DG147" s="646"/>
      <c r="DH147" s="646"/>
      <c r="DI147" s="646"/>
      <c r="DJ147" s="646"/>
      <c r="DK147" s="634"/>
      <c r="DL147" s="495">
        <f>SUM(J147:S147)*5+SUM(V147:AF147)+AH147*4+U147*2.5+AG147/0.75</f>
        <v>0</v>
      </c>
      <c r="DM147" s="84">
        <f>SUM(J147:DK147)</f>
        <v>1</v>
      </c>
      <c r="DN147" s="84">
        <f>SUM(BK147:BV147,)</f>
        <v>0</v>
      </c>
      <c r="DO147" s="125">
        <f>SUM(AT147:AV147)+SUM(AW147:AZ147)*5</f>
        <v>0</v>
      </c>
    </row>
    <row r="148" spans="2:123" ht="32.1" customHeight="1" outlineLevel="1" thickBot="1" x14ac:dyDescent="0.3">
      <c r="B148" s="816"/>
      <c r="C148" s="814"/>
      <c r="D148" s="801"/>
      <c r="E148" s="786"/>
      <c r="F148" s="308" t="s">
        <v>5</v>
      </c>
      <c r="G148" s="346" t="s">
        <v>192</v>
      </c>
      <c r="H148" s="347"/>
      <c r="I148" s="936" t="s">
        <v>60</v>
      </c>
      <c r="J148" s="350"/>
      <c r="K148" s="350"/>
      <c r="L148" s="311"/>
      <c r="M148" s="311"/>
      <c r="N148" s="311"/>
      <c r="O148" s="311"/>
      <c r="P148" s="311"/>
      <c r="Q148" s="311"/>
      <c r="R148" s="311"/>
      <c r="S148" s="311"/>
      <c r="T148" s="311"/>
      <c r="U148" s="312"/>
      <c r="V148" s="312"/>
      <c r="W148" s="312"/>
      <c r="X148" s="312"/>
      <c r="Y148" s="312"/>
      <c r="Z148" s="312"/>
      <c r="AA148" s="312"/>
      <c r="AB148" s="312"/>
      <c r="AC148" s="312"/>
      <c r="AD148" s="312"/>
      <c r="AE148" s="312"/>
      <c r="AF148" s="312"/>
      <c r="AG148" s="312"/>
      <c r="AH148" s="312"/>
      <c r="AI148" s="312"/>
      <c r="AJ148" s="312"/>
      <c r="AK148" s="312"/>
      <c r="AL148" s="312"/>
      <c r="AM148" s="312"/>
      <c r="AN148" s="312"/>
      <c r="AO148" s="312"/>
      <c r="AP148" s="313"/>
      <c r="AQ148" s="313"/>
      <c r="AR148" s="313"/>
      <c r="AS148" s="313"/>
      <c r="AT148" s="313"/>
      <c r="AU148" s="314"/>
      <c r="AV148" s="314"/>
      <c r="AW148" s="314"/>
      <c r="AX148" s="314"/>
      <c r="AY148" s="314"/>
      <c r="AZ148" s="314"/>
      <c r="BA148" s="315"/>
      <c r="BB148" s="315"/>
      <c r="BC148" s="315"/>
      <c r="BD148" s="315"/>
      <c r="BE148" s="311"/>
      <c r="BF148" s="311"/>
      <c r="BG148" s="311"/>
      <c r="BH148" s="311"/>
      <c r="BI148" s="311"/>
      <c r="BJ148" s="316"/>
      <c r="BK148" s="312"/>
      <c r="BL148" s="312"/>
      <c r="BM148" s="312"/>
      <c r="BN148" s="312"/>
      <c r="BO148" s="312"/>
      <c r="BP148" s="312"/>
      <c r="BQ148" s="312"/>
      <c r="BR148" s="312"/>
      <c r="BS148" s="312"/>
      <c r="BT148" s="312"/>
      <c r="BU148" s="312"/>
      <c r="BV148" s="312"/>
      <c r="BW148" s="313"/>
      <c r="BX148" s="313"/>
      <c r="BY148" s="313"/>
      <c r="BZ148" s="313"/>
      <c r="CA148" s="313"/>
      <c r="CB148" s="313"/>
      <c r="CC148" s="313"/>
      <c r="CD148" s="313"/>
      <c r="CE148" s="313">
        <v>25</v>
      </c>
      <c r="CF148" s="313"/>
      <c r="CG148" s="313"/>
      <c r="CH148" s="317"/>
      <c r="CI148" s="313"/>
      <c r="CJ148" s="313"/>
      <c r="CK148" s="313"/>
      <c r="CL148" s="313"/>
      <c r="CM148" s="313"/>
      <c r="CN148" s="313"/>
      <c r="CO148" s="314"/>
      <c r="CP148" s="314"/>
      <c r="CQ148" s="314"/>
      <c r="CR148" s="552"/>
      <c r="CS148" s="552"/>
      <c r="CT148" s="552"/>
      <c r="CU148" s="552"/>
      <c r="CV148" s="552"/>
      <c r="CW148" s="552"/>
      <c r="CX148" s="552"/>
      <c r="CY148" s="553"/>
      <c r="CZ148" s="314"/>
      <c r="DA148" s="314"/>
      <c r="DB148" s="314"/>
      <c r="DC148" s="311"/>
      <c r="DD148" s="646"/>
      <c r="DE148" s="646"/>
      <c r="DF148" s="646"/>
      <c r="DG148" s="646"/>
      <c r="DH148" s="646"/>
      <c r="DI148" s="646"/>
      <c r="DJ148" s="646"/>
      <c r="DK148" s="634"/>
      <c r="DL148" s="495">
        <f>SUM(J148:S148)*5+SUM(V148:AF148)+AH148*4+U148*2.5+AG148/0.75</f>
        <v>0</v>
      </c>
      <c r="DM148" s="84">
        <f>SUM(J148:DK148)</f>
        <v>25</v>
      </c>
      <c r="DN148" s="84">
        <f>SUM(BK148:BV148,)</f>
        <v>0</v>
      </c>
      <c r="DO148" s="125">
        <f>SUM(AT148:AV148)+SUM(AW148:AZ148)*5</f>
        <v>0</v>
      </c>
    </row>
    <row r="149" spans="2:123" ht="32.1" customHeight="1" outlineLevel="1" thickBot="1" x14ac:dyDescent="0.3">
      <c r="B149" s="816"/>
      <c r="C149" s="814"/>
      <c r="D149" s="801"/>
      <c r="E149" s="786"/>
      <c r="F149" s="308" t="s">
        <v>5</v>
      </c>
      <c r="G149" s="346" t="s">
        <v>192</v>
      </c>
      <c r="H149" s="347"/>
      <c r="I149" s="936" t="s">
        <v>98</v>
      </c>
      <c r="J149" s="350"/>
      <c r="K149" s="350"/>
      <c r="L149" s="311"/>
      <c r="M149" s="311"/>
      <c r="N149" s="311"/>
      <c r="O149" s="311"/>
      <c r="P149" s="311"/>
      <c r="Q149" s="311"/>
      <c r="R149" s="311"/>
      <c r="S149" s="311"/>
      <c r="T149" s="311"/>
      <c r="U149" s="312"/>
      <c r="V149" s="312"/>
      <c r="W149" s="312"/>
      <c r="X149" s="312"/>
      <c r="Y149" s="312"/>
      <c r="Z149" s="312"/>
      <c r="AA149" s="312"/>
      <c r="AB149" s="312"/>
      <c r="AC149" s="312"/>
      <c r="AD149" s="312"/>
      <c r="AE149" s="312"/>
      <c r="AF149" s="312"/>
      <c r="AG149" s="312"/>
      <c r="AH149" s="312"/>
      <c r="AI149" s="312"/>
      <c r="AJ149" s="312"/>
      <c r="AK149" s="312"/>
      <c r="AL149" s="312"/>
      <c r="AM149" s="312"/>
      <c r="AN149" s="312"/>
      <c r="AO149" s="312"/>
      <c r="AP149" s="313"/>
      <c r="AQ149" s="313"/>
      <c r="AR149" s="313"/>
      <c r="AS149" s="313"/>
      <c r="AT149" s="313"/>
      <c r="AU149" s="314"/>
      <c r="AV149" s="314"/>
      <c r="AW149" s="314"/>
      <c r="AX149" s="314"/>
      <c r="AY149" s="314"/>
      <c r="AZ149" s="314"/>
      <c r="BA149" s="315"/>
      <c r="BB149" s="315"/>
      <c r="BC149" s="315"/>
      <c r="BD149" s="315"/>
      <c r="BE149" s="311"/>
      <c r="BF149" s="311"/>
      <c r="BG149" s="311"/>
      <c r="BH149" s="311"/>
      <c r="BI149" s="311"/>
      <c r="BJ149" s="316"/>
      <c r="BK149" s="312"/>
      <c r="BL149" s="312"/>
      <c r="BM149" s="312"/>
      <c r="BN149" s="312"/>
      <c r="BO149" s="312"/>
      <c r="BP149" s="312"/>
      <c r="BQ149" s="312"/>
      <c r="BR149" s="312"/>
      <c r="BS149" s="312"/>
      <c r="BT149" s="312"/>
      <c r="BU149" s="312"/>
      <c r="BV149" s="312"/>
      <c r="BW149" s="313"/>
      <c r="BX149" s="313"/>
      <c r="BY149" s="313"/>
      <c r="BZ149" s="313"/>
      <c r="CA149" s="313"/>
      <c r="CB149" s="313"/>
      <c r="CC149" s="313"/>
      <c r="CD149" s="313"/>
      <c r="CE149" s="313"/>
      <c r="CF149" s="313"/>
      <c r="CG149" s="313"/>
      <c r="CH149" s="317"/>
      <c r="CI149" s="313"/>
      <c r="CJ149" s="313"/>
      <c r="CK149" s="313"/>
      <c r="CL149" s="313"/>
      <c r="CM149" s="313"/>
      <c r="CN149" s="313"/>
      <c r="CO149" s="314"/>
      <c r="CP149" s="314"/>
      <c r="CQ149" s="314"/>
      <c r="CR149" s="552"/>
      <c r="CS149" s="552"/>
      <c r="CT149" s="552">
        <v>60</v>
      </c>
      <c r="CU149" s="552"/>
      <c r="CV149" s="552"/>
      <c r="CW149" s="552"/>
      <c r="CX149" s="552"/>
      <c r="CY149" s="553"/>
      <c r="CZ149" s="314"/>
      <c r="DA149" s="314"/>
      <c r="DB149" s="314"/>
      <c r="DC149" s="311"/>
      <c r="DD149" s="646"/>
      <c r="DE149" s="646"/>
      <c r="DF149" s="646"/>
      <c r="DG149" s="646"/>
      <c r="DH149" s="646"/>
      <c r="DI149" s="646"/>
      <c r="DJ149" s="646"/>
      <c r="DK149" s="634"/>
      <c r="DL149" s="495">
        <f>SUM(J149:S149)*5+SUM(V149:AF149)+AH149*4+U149*2.5+AG149/0.75</f>
        <v>0</v>
      </c>
      <c r="DM149" s="84">
        <f>SUM(J149:DK149)</f>
        <v>60</v>
      </c>
      <c r="DN149" s="84">
        <f>SUM(BK149:BV149,)</f>
        <v>0</v>
      </c>
      <c r="DO149" s="125">
        <f>SUM(AT149:AV149)+SUM(AW149:AZ149)*5</f>
        <v>0</v>
      </c>
    </row>
    <row r="150" spans="2:123" ht="32.1" customHeight="1" outlineLevel="1" thickBot="1" x14ac:dyDescent="0.3">
      <c r="B150" s="816"/>
      <c r="C150" s="814"/>
      <c r="D150" s="801"/>
      <c r="E150" s="786"/>
      <c r="F150" s="308" t="s">
        <v>5</v>
      </c>
      <c r="G150" s="346" t="s">
        <v>192</v>
      </c>
      <c r="H150" s="347"/>
      <c r="I150" s="937" t="s">
        <v>67</v>
      </c>
      <c r="J150" s="350"/>
      <c r="K150" s="350"/>
      <c r="L150" s="311"/>
      <c r="M150" s="311"/>
      <c r="N150" s="311"/>
      <c r="O150" s="311"/>
      <c r="P150" s="311"/>
      <c r="Q150" s="311"/>
      <c r="R150" s="311"/>
      <c r="S150" s="311"/>
      <c r="T150" s="311"/>
      <c r="U150" s="312"/>
      <c r="V150" s="312"/>
      <c r="W150" s="312"/>
      <c r="X150" s="312"/>
      <c r="Y150" s="312"/>
      <c r="Z150" s="312"/>
      <c r="AA150" s="312"/>
      <c r="AB150" s="312"/>
      <c r="AC150" s="312"/>
      <c r="AD150" s="312"/>
      <c r="AE150" s="312"/>
      <c r="AF150" s="312"/>
      <c r="AG150" s="312"/>
      <c r="AH150" s="312"/>
      <c r="AI150" s="312"/>
      <c r="AJ150" s="312"/>
      <c r="AK150" s="312"/>
      <c r="AL150" s="312"/>
      <c r="AM150" s="312"/>
      <c r="AN150" s="312"/>
      <c r="AO150" s="312"/>
      <c r="AP150" s="313"/>
      <c r="AQ150" s="313"/>
      <c r="AR150" s="313"/>
      <c r="AS150" s="313"/>
      <c r="AT150" s="313"/>
      <c r="AU150" s="314"/>
      <c r="AV150" s="314"/>
      <c r="AW150" s="314"/>
      <c r="AX150" s="314"/>
      <c r="AY150" s="314"/>
      <c r="AZ150" s="314"/>
      <c r="BA150" s="315"/>
      <c r="BB150" s="315"/>
      <c r="BC150" s="315"/>
      <c r="BD150" s="315"/>
      <c r="BE150" s="311"/>
      <c r="BF150" s="311">
        <v>15</v>
      </c>
      <c r="BG150" s="311"/>
      <c r="BH150" s="311"/>
      <c r="BI150" s="311"/>
      <c r="BJ150" s="316"/>
      <c r="BK150" s="312"/>
      <c r="BL150" s="312"/>
      <c r="BM150" s="312"/>
      <c r="BN150" s="312"/>
      <c r="BO150" s="312"/>
      <c r="BP150" s="312"/>
      <c r="BQ150" s="312"/>
      <c r="BR150" s="312"/>
      <c r="BS150" s="312"/>
      <c r="BT150" s="312"/>
      <c r="BU150" s="312"/>
      <c r="BV150" s="312"/>
      <c r="BW150" s="313"/>
      <c r="BX150" s="313"/>
      <c r="BY150" s="313"/>
      <c r="BZ150" s="313"/>
      <c r="CA150" s="313"/>
      <c r="CB150" s="313"/>
      <c r="CC150" s="313"/>
      <c r="CD150" s="313"/>
      <c r="CE150" s="313"/>
      <c r="CF150" s="313"/>
      <c r="CG150" s="313"/>
      <c r="CH150" s="317"/>
      <c r="CI150" s="313"/>
      <c r="CJ150" s="313"/>
      <c r="CK150" s="313"/>
      <c r="CL150" s="313"/>
      <c r="CM150" s="313"/>
      <c r="CN150" s="313"/>
      <c r="CO150" s="314"/>
      <c r="CP150" s="314"/>
      <c r="CQ150" s="314"/>
      <c r="CR150" s="552"/>
      <c r="CS150" s="552"/>
      <c r="CT150" s="552"/>
      <c r="CU150" s="552"/>
      <c r="CV150" s="552"/>
      <c r="CW150" s="552"/>
      <c r="CX150" s="552"/>
      <c r="CY150" s="553"/>
      <c r="CZ150" s="314"/>
      <c r="DA150" s="314"/>
      <c r="DB150" s="314"/>
      <c r="DC150" s="311"/>
      <c r="DD150" s="646"/>
      <c r="DE150" s="646"/>
      <c r="DF150" s="646"/>
      <c r="DG150" s="646"/>
      <c r="DH150" s="646"/>
      <c r="DI150" s="646"/>
      <c r="DJ150" s="646"/>
      <c r="DK150" s="634"/>
      <c r="DL150" s="495">
        <f>SUM(J150:S150)*5+SUM(V150:AF150)+AH150*4+U150*2.5+AG150/0.75</f>
        <v>0</v>
      </c>
      <c r="DM150" s="84">
        <f>SUM(J150:DK150)</f>
        <v>15</v>
      </c>
      <c r="DN150" s="84">
        <f>SUM(BK150:BV150,)</f>
        <v>0</v>
      </c>
      <c r="DO150" s="125">
        <f>SUM(AT150:AV150)+SUM(AW150:AZ150)*5</f>
        <v>0</v>
      </c>
    </row>
    <row r="151" spans="2:123" s="834" customFormat="1" ht="16.5" customHeight="1" outlineLevel="1" thickBot="1" x14ac:dyDescent="0.35">
      <c r="B151" s="816"/>
      <c r="C151" s="814"/>
      <c r="D151" s="835"/>
      <c r="E151" s="836" t="s">
        <v>254</v>
      </c>
      <c r="F151" s="837"/>
      <c r="G151" s="838"/>
      <c r="H151" s="839"/>
      <c r="I151" s="918"/>
      <c r="J151" s="824">
        <f>SUM(J147:J150)</f>
        <v>0</v>
      </c>
      <c r="K151" s="824">
        <f t="shared" ref="K151:CL151" si="159">SUM(K147:K150)</f>
        <v>0</v>
      </c>
      <c r="L151" s="824">
        <f t="shared" si="159"/>
        <v>0</v>
      </c>
      <c r="M151" s="824">
        <f t="shared" si="159"/>
        <v>0</v>
      </c>
      <c r="N151" s="824">
        <f t="shared" si="159"/>
        <v>0</v>
      </c>
      <c r="O151" s="824">
        <f t="shared" si="159"/>
        <v>0</v>
      </c>
      <c r="P151" s="824">
        <f t="shared" si="159"/>
        <v>0</v>
      </c>
      <c r="Q151" s="824">
        <f t="shared" si="159"/>
        <v>0</v>
      </c>
      <c r="R151" s="824">
        <f t="shared" si="159"/>
        <v>0</v>
      </c>
      <c r="S151" s="824">
        <f t="shared" si="159"/>
        <v>0</v>
      </c>
      <c r="T151" s="824">
        <f t="shared" si="159"/>
        <v>0</v>
      </c>
      <c r="U151" s="825">
        <f t="shared" si="159"/>
        <v>0</v>
      </c>
      <c r="V151" s="825">
        <f t="shared" si="159"/>
        <v>0</v>
      </c>
      <c r="W151" s="825">
        <f t="shared" si="159"/>
        <v>0</v>
      </c>
      <c r="X151" s="825">
        <f t="shared" si="159"/>
        <v>0</v>
      </c>
      <c r="Y151" s="825">
        <f t="shared" si="159"/>
        <v>0</v>
      </c>
      <c r="Z151" s="825">
        <f t="shared" si="159"/>
        <v>0</v>
      </c>
      <c r="AA151" s="825">
        <f t="shared" si="159"/>
        <v>0</v>
      </c>
      <c r="AB151" s="825">
        <f t="shared" ref="AB151:AD151" si="160">SUM(AB147:AB150)</f>
        <v>0</v>
      </c>
      <c r="AC151" s="825">
        <f t="shared" si="160"/>
        <v>0</v>
      </c>
      <c r="AD151" s="825">
        <f t="shared" si="160"/>
        <v>0</v>
      </c>
      <c r="AE151" s="825">
        <f t="shared" si="159"/>
        <v>0</v>
      </c>
      <c r="AF151" s="825">
        <f t="shared" si="159"/>
        <v>0</v>
      </c>
      <c r="AG151" s="825">
        <f t="shared" si="159"/>
        <v>0</v>
      </c>
      <c r="AH151" s="825">
        <f t="shared" si="159"/>
        <v>0</v>
      </c>
      <c r="AI151" s="825">
        <f t="shared" ref="AI151:AO151" si="161">SUM(AI147:AI150)</f>
        <v>0</v>
      </c>
      <c r="AJ151" s="825">
        <f t="shared" si="161"/>
        <v>0</v>
      </c>
      <c r="AK151" s="825">
        <f t="shared" si="161"/>
        <v>0</v>
      </c>
      <c r="AL151" s="825">
        <f t="shared" si="161"/>
        <v>0</v>
      </c>
      <c r="AM151" s="825">
        <f t="shared" si="161"/>
        <v>0</v>
      </c>
      <c r="AN151" s="825">
        <f t="shared" si="161"/>
        <v>0</v>
      </c>
      <c r="AO151" s="825">
        <f t="shared" si="161"/>
        <v>0</v>
      </c>
      <c r="AP151" s="826">
        <f t="shared" si="159"/>
        <v>0</v>
      </c>
      <c r="AQ151" s="826">
        <f t="shared" ref="AQ151" si="162">SUM(AQ147:AQ150)</f>
        <v>0</v>
      </c>
      <c r="AR151" s="826">
        <f t="shared" si="159"/>
        <v>0</v>
      </c>
      <c r="AS151" s="826">
        <f t="shared" si="159"/>
        <v>0</v>
      </c>
      <c r="AT151" s="826">
        <f t="shared" si="159"/>
        <v>0</v>
      </c>
      <c r="AU151" s="827">
        <f t="shared" si="159"/>
        <v>0</v>
      </c>
      <c r="AV151" s="827">
        <f t="shared" si="159"/>
        <v>0</v>
      </c>
      <c r="AW151" s="827">
        <f t="shared" si="159"/>
        <v>0</v>
      </c>
      <c r="AX151" s="827">
        <f t="shared" ref="AX151:AY151" si="163">SUM(AX147:AX150)</f>
        <v>0</v>
      </c>
      <c r="AY151" s="827">
        <f t="shared" si="163"/>
        <v>0</v>
      </c>
      <c r="AZ151" s="827">
        <f t="shared" si="159"/>
        <v>0</v>
      </c>
      <c r="BA151" s="828">
        <f t="shared" si="159"/>
        <v>0</v>
      </c>
      <c r="BB151" s="828">
        <f t="shared" si="159"/>
        <v>0</v>
      </c>
      <c r="BC151" s="828">
        <f t="shared" si="159"/>
        <v>0</v>
      </c>
      <c r="BD151" s="828">
        <f t="shared" si="159"/>
        <v>0</v>
      </c>
      <c r="BE151" s="824">
        <f t="shared" si="159"/>
        <v>0</v>
      </c>
      <c r="BF151" s="824">
        <f t="shared" si="159"/>
        <v>15</v>
      </c>
      <c r="BG151" s="824">
        <f t="shared" si="159"/>
        <v>0</v>
      </c>
      <c r="BH151" s="824">
        <f t="shared" si="159"/>
        <v>0</v>
      </c>
      <c r="BI151" s="824">
        <f t="shared" si="159"/>
        <v>0</v>
      </c>
      <c r="BJ151" s="824">
        <f t="shared" si="159"/>
        <v>0</v>
      </c>
      <c r="BK151" s="825">
        <f t="shared" si="159"/>
        <v>0</v>
      </c>
      <c r="BL151" s="825">
        <f t="shared" si="159"/>
        <v>0</v>
      </c>
      <c r="BM151" s="825">
        <f t="shared" si="159"/>
        <v>0</v>
      </c>
      <c r="BN151" s="825">
        <f t="shared" si="159"/>
        <v>0</v>
      </c>
      <c r="BO151" s="825">
        <f t="shared" si="159"/>
        <v>0</v>
      </c>
      <c r="BP151" s="825">
        <f t="shared" si="159"/>
        <v>0</v>
      </c>
      <c r="BQ151" s="825">
        <f t="shared" si="159"/>
        <v>0</v>
      </c>
      <c r="BR151" s="825">
        <f t="shared" ref="BR151" si="164">SUM(BR147:BR150)</f>
        <v>0</v>
      </c>
      <c r="BS151" s="825">
        <f t="shared" ref="BS151" si="165">SUM(BS147:BS150)</f>
        <v>0</v>
      </c>
      <c r="BT151" s="825">
        <f t="shared" si="159"/>
        <v>0</v>
      </c>
      <c r="BU151" s="825">
        <f t="shared" si="159"/>
        <v>0</v>
      </c>
      <c r="BV151" s="825">
        <f t="shared" si="159"/>
        <v>0</v>
      </c>
      <c r="BW151" s="826">
        <f t="shared" si="159"/>
        <v>0</v>
      </c>
      <c r="BX151" s="826">
        <f t="shared" si="159"/>
        <v>0</v>
      </c>
      <c r="BY151" s="826">
        <f t="shared" si="159"/>
        <v>0</v>
      </c>
      <c r="BZ151" s="826">
        <f t="shared" si="159"/>
        <v>0</v>
      </c>
      <c r="CA151" s="826">
        <f t="shared" si="159"/>
        <v>0</v>
      </c>
      <c r="CB151" s="826">
        <f t="shared" ref="CB151" si="166">SUM(CB147:CB150)</f>
        <v>0</v>
      </c>
      <c r="CC151" s="826">
        <f t="shared" si="159"/>
        <v>0</v>
      </c>
      <c r="CD151" s="826">
        <f t="shared" si="159"/>
        <v>0</v>
      </c>
      <c r="CE151" s="826">
        <f t="shared" si="159"/>
        <v>25</v>
      </c>
      <c r="CF151" s="826">
        <f t="shared" si="159"/>
        <v>1</v>
      </c>
      <c r="CG151" s="826">
        <f t="shared" si="159"/>
        <v>0</v>
      </c>
      <c r="CH151" s="826">
        <f t="shared" si="159"/>
        <v>0</v>
      </c>
      <c r="CI151" s="826">
        <f t="shared" si="159"/>
        <v>0</v>
      </c>
      <c r="CJ151" s="826">
        <f t="shared" si="159"/>
        <v>0</v>
      </c>
      <c r="CK151" s="826">
        <f t="shared" si="159"/>
        <v>0</v>
      </c>
      <c r="CL151" s="826">
        <f t="shared" si="159"/>
        <v>0</v>
      </c>
      <c r="CM151" s="826">
        <f t="shared" ref="CM151:DO151" si="167">SUM(CM147:CM150)</f>
        <v>0</v>
      </c>
      <c r="CN151" s="826">
        <f t="shared" si="167"/>
        <v>0</v>
      </c>
      <c r="CO151" s="827">
        <f t="shared" si="167"/>
        <v>0</v>
      </c>
      <c r="CP151" s="827">
        <f t="shared" si="167"/>
        <v>0</v>
      </c>
      <c r="CQ151" s="827">
        <f t="shared" si="167"/>
        <v>0</v>
      </c>
      <c r="CR151" s="827">
        <f t="shared" si="167"/>
        <v>0</v>
      </c>
      <c r="CS151" s="827">
        <f t="shared" si="167"/>
        <v>0</v>
      </c>
      <c r="CT151" s="827">
        <f t="shared" si="167"/>
        <v>60</v>
      </c>
      <c r="CU151" s="827">
        <f t="shared" si="167"/>
        <v>0</v>
      </c>
      <c r="CV151" s="827">
        <f t="shared" si="167"/>
        <v>0</v>
      </c>
      <c r="CW151" s="827">
        <f t="shared" si="167"/>
        <v>0</v>
      </c>
      <c r="CX151" s="827">
        <f t="shared" si="167"/>
        <v>0</v>
      </c>
      <c r="CY151" s="827">
        <f t="shared" si="167"/>
        <v>0</v>
      </c>
      <c r="CZ151" s="827">
        <f t="shared" si="167"/>
        <v>0</v>
      </c>
      <c r="DA151" s="827">
        <f t="shared" si="167"/>
        <v>0</v>
      </c>
      <c r="DB151" s="827">
        <f t="shared" si="167"/>
        <v>0</v>
      </c>
      <c r="DC151" s="824">
        <f t="shared" si="167"/>
        <v>0</v>
      </c>
      <c r="DD151" s="824">
        <f t="shared" si="167"/>
        <v>0</v>
      </c>
      <c r="DE151" s="824">
        <f t="shared" si="167"/>
        <v>0</v>
      </c>
      <c r="DF151" s="824">
        <f t="shared" si="167"/>
        <v>0</v>
      </c>
      <c r="DG151" s="824">
        <f t="shared" si="167"/>
        <v>0</v>
      </c>
      <c r="DH151" s="824">
        <f t="shared" si="167"/>
        <v>0</v>
      </c>
      <c r="DI151" s="824">
        <f t="shared" si="167"/>
        <v>0</v>
      </c>
      <c r="DJ151" s="824">
        <f t="shared" si="167"/>
        <v>0</v>
      </c>
      <c r="DK151" s="829">
        <f t="shared" si="167"/>
        <v>0</v>
      </c>
      <c r="DL151" s="830">
        <f t="shared" si="167"/>
        <v>0</v>
      </c>
      <c r="DM151" s="831">
        <f t="shared" si="167"/>
        <v>101</v>
      </c>
      <c r="DN151" s="831">
        <f t="shared" si="167"/>
        <v>0</v>
      </c>
      <c r="DO151" s="832">
        <f t="shared" si="167"/>
        <v>0</v>
      </c>
      <c r="DP151" s="833"/>
      <c r="DQ151" s="833"/>
      <c r="DR151" s="833"/>
      <c r="DS151" s="833"/>
    </row>
    <row r="152" spans="2:123" s="789" customFormat="1" ht="32.1" customHeight="1" thickBot="1" x14ac:dyDescent="0.4">
      <c r="B152" s="985" t="s">
        <v>255</v>
      </c>
      <c r="C152" s="840"/>
      <c r="D152" s="841"/>
      <c r="E152" s="784" t="s">
        <v>256</v>
      </c>
      <c r="F152" s="842"/>
      <c r="G152" s="843"/>
      <c r="H152" s="784"/>
      <c r="I152" s="842" t="s">
        <v>289</v>
      </c>
      <c r="J152" s="130">
        <f>SUMIF($E108:$E151,$E152,J108:J151)</f>
        <v>0</v>
      </c>
      <c r="K152" s="130">
        <f t="shared" ref="K152:CL152" si="168">SUMIF($E108:$E151,$E152,K108:K151)</f>
        <v>0</v>
      </c>
      <c r="L152" s="130">
        <f t="shared" si="168"/>
        <v>0</v>
      </c>
      <c r="M152" s="130">
        <f t="shared" si="168"/>
        <v>0</v>
      </c>
      <c r="N152" s="130">
        <f t="shared" si="168"/>
        <v>0</v>
      </c>
      <c r="O152" s="130">
        <f t="shared" si="168"/>
        <v>0</v>
      </c>
      <c r="P152" s="130">
        <f t="shared" si="168"/>
        <v>80</v>
      </c>
      <c r="Q152" s="130">
        <f t="shared" si="168"/>
        <v>75</v>
      </c>
      <c r="R152" s="130">
        <f t="shared" si="168"/>
        <v>0</v>
      </c>
      <c r="S152" s="130">
        <f t="shared" si="168"/>
        <v>0</v>
      </c>
      <c r="T152" s="130">
        <f t="shared" si="168"/>
        <v>77</v>
      </c>
      <c r="U152" s="135">
        <f t="shared" si="168"/>
        <v>20</v>
      </c>
      <c r="V152" s="135">
        <f t="shared" si="168"/>
        <v>49</v>
      </c>
      <c r="W152" s="135">
        <f t="shared" si="168"/>
        <v>315</v>
      </c>
      <c r="X152" s="135">
        <f t="shared" si="168"/>
        <v>20</v>
      </c>
      <c r="Y152" s="135">
        <f t="shared" si="168"/>
        <v>30</v>
      </c>
      <c r="Z152" s="135">
        <f t="shared" si="168"/>
        <v>145</v>
      </c>
      <c r="AA152" s="135">
        <f t="shared" si="168"/>
        <v>0</v>
      </c>
      <c r="AB152" s="135">
        <f t="shared" ref="AB152:AD152" si="169">SUMIF($E108:$E151,$E152,AB108:AB151)</f>
        <v>0</v>
      </c>
      <c r="AC152" s="135">
        <f t="shared" si="169"/>
        <v>0</v>
      </c>
      <c r="AD152" s="135">
        <f t="shared" si="169"/>
        <v>0</v>
      </c>
      <c r="AE152" s="135">
        <f t="shared" si="168"/>
        <v>70</v>
      </c>
      <c r="AF152" s="135">
        <f t="shared" si="168"/>
        <v>0</v>
      </c>
      <c r="AG152" s="135">
        <f t="shared" si="168"/>
        <v>17.5</v>
      </c>
      <c r="AH152" s="135">
        <f t="shared" si="168"/>
        <v>0</v>
      </c>
      <c r="AI152" s="135">
        <f t="shared" ref="AI152:AO152" si="170">SUMIF($E108:$E151,$E152,AI108:AI151)</f>
        <v>0</v>
      </c>
      <c r="AJ152" s="135">
        <f t="shared" si="170"/>
        <v>0</v>
      </c>
      <c r="AK152" s="135">
        <f t="shared" si="170"/>
        <v>0</v>
      </c>
      <c r="AL152" s="135">
        <f t="shared" si="170"/>
        <v>0</v>
      </c>
      <c r="AM152" s="135">
        <f t="shared" si="170"/>
        <v>0</v>
      </c>
      <c r="AN152" s="135">
        <f t="shared" si="170"/>
        <v>0</v>
      </c>
      <c r="AO152" s="135">
        <f t="shared" si="170"/>
        <v>0</v>
      </c>
      <c r="AP152" s="138">
        <f t="shared" si="168"/>
        <v>2</v>
      </c>
      <c r="AQ152" s="138">
        <f t="shared" ref="AQ152" si="171">SUMIF($E108:$E151,$E152,AQ108:AQ151)</f>
        <v>0</v>
      </c>
      <c r="AR152" s="138">
        <f t="shared" si="168"/>
        <v>150</v>
      </c>
      <c r="AS152" s="138">
        <f t="shared" si="168"/>
        <v>300</v>
      </c>
      <c r="AT152" s="138">
        <f t="shared" si="168"/>
        <v>0</v>
      </c>
      <c r="AU152" s="146">
        <f t="shared" si="168"/>
        <v>200</v>
      </c>
      <c r="AV152" s="146">
        <f t="shared" si="168"/>
        <v>0</v>
      </c>
      <c r="AW152" s="146">
        <f t="shared" si="168"/>
        <v>0</v>
      </c>
      <c r="AX152" s="146">
        <f t="shared" ref="AX152:AY152" si="172">SUMIF($E108:$E151,$E152,AX108:AX151)</f>
        <v>0</v>
      </c>
      <c r="AY152" s="146">
        <f t="shared" si="172"/>
        <v>0</v>
      </c>
      <c r="AZ152" s="146">
        <f t="shared" si="168"/>
        <v>0</v>
      </c>
      <c r="BA152" s="142">
        <f t="shared" si="168"/>
        <v>17.5</v>
      </c>
      <c r="BB152" s="142">
        <f t="shared" si="168"/>
        <v>1</v>
      </c>
      <c r="BC152" s="142">
        <f t="shared" si="168"/>
        <v>0</v>
      </c>
      <c r="BD152" s="142">
        <f t="shared" si="168"/>
        <v>0</v>
      </c>
      <c r="BE152" s="130">
        <f t="shared" si="168"/>
        <v>15</v>
      </c>
      <c r="BF152" s="130">
        <f t="shared" si="168"/>
        <v>40</v>
      </c>
      <c r="BG152" s="130">
        <f t="shared" si="168"/>
        <v>15</v>
      </c>
      <c r="BH152" s="130">
        <f t="shared" si="168"/>
        <v>0</v>
      </c>
      <c r="BI152" s="130">
        <f t="shared" si="168"/>
        <v>0</v>
      </c>
      <c r="BJ152" s="130">
        <f t="shared" si="168"/>
        <v>0</v>
      </c>
      <c r="BK152" s="135">
        <f t="shared" si="168"/>
        <v>112.5</v>
      </c>
      <c r="BL152" s="135">
        <f t="shared" si="168"/>
        <v>25</v>
      </c>
      <c r="BM152" s="135">
        <f t="shared" si="168"/>
        <v>0</v>
      </c>
      <c r="BN152" s="135">
        <f t="shared" si="168"/>
        <v>0</v>
      </c>
      <c r="BO152" s="135">
        <f t="shared" si="168"/>
        <v>120</v>
      </c>
      <c r="BP152" s="135">
        <f t="shared" si="168"/>
        <v>80</v>
      </c>
      <c r="BQ152" s="135">
        <f t="shared" si="168"/>
        <v>0</v>
      </c>
      <c r="BR152" s="135">
        <f t="shared" ref="BR152" si="173">SUMIF($E108:$E151,$E152,BR108:BR151)</f>
        <v>0</v>
      </c>
      <c r="BS152" s="135">
        <f t="shared" ref="BS152" si="174">SUMIF($E108:$E151,$E152,BS108:BS151)</f>
        <v>0</v>
      </c>
      <c r="BT152" s="135">
        <f t="shared" si="168"/>
        <v>0</v>
      </c>
      <c r="BU152" s="135">
        <f t="shared" si="168"/>
        <v>0</v>
      </c>
      <c r="BV152" s="135">
        <f t="shared" si="168"/>
        <v>0</v>
      </c>
      <c r="BW152" s="138">
        <f t="shared" si="168"/>
        <v>0</v>
      </c>
      <c r="BX152" s="138">
        <f t="shared" si="168"/>
        <v>0.5</v>
      </c>
      <c r="BY152" s="138">
        <f t="shared" si="168"/>
        <v>0</v>
      </c>
      <c r="BZ152" s="138">
        <f t="shared" si="168"/>
        <v>0</v>
      </c>
      <c r="CA152" s="138">
        <f t="shared" si="168"/>
        <v>0</v>
      </c>
      <c r="CB152" s="138">
        <f t="shared" ref="CB152" si="175">SUMIF($E108:$E151,$E152,CB108:CB151)</f>
        <v>0</v>
      </c>
      <c r="CC152" s="138">
        <f t="shared" si="168"/>
        <v>0</v>
      </c>
      <c r="CD152" s="138">
        <f t="shared" si="168"/>
        <v>0</v>
      </c>
      <c r="CE152" s="138">
        <f t="shared" si="168"/>
        <v>70</v>
      </c>
      <c r="CF152" s="138">
        <f t="shared" si="168"/>
        <v>1</v>
      </c>
      <c r="CG152" s="138">
        <f t="shared" si="168"/>
        <v>1.5</v>
      </c>
      <c r="CH152" s="138">
        <f t="shared" si="168"/>
        <v>200</v>
      </c>
      <c r="CI152" s="138">
        <f t="shared" si="168"/>
        <v>0</v>
      </c>
      <c r="CJ152" s="138">
        <f t="shared" si="168"/>
        <v>8</v>
      </c>
      <c r="CK152" s="138">
        <f t="shared" si="168"/>
        <v>8</v>
      </c>
      <c r="CL152" s="138">
        <f t="shared" si="168"/>
        <v>4</v>
      </c>
      <c r="CM152" s="138">
        <f t="shared" ref="CM152:DO152" si="176">SUMIF($E108:$E151,$E152,CM108:CM151)</f>
        <v>0</v>
      </c>
      <c r="CN152" s="138">
        <f t="shared" si="176"/>
        <v>0</v>
      </c>
      <c r="CO152" s="146">
        <f t="shared" si="176"/>
        <v>0</v>
      </c>
      <c r="CP152" s="146">
        <f t="shared" si="176"/>
        <v>0</v>
      </c>
      <c r="CQ152" s="146">
        <f t="shared" si="176"/>
        <v>20</v>
      </c>
      <c r="CR152" s="146">
        <f t="shared" si="176"/>
        <v>0</v>
      </c>
      <c r="CS152" s="146">
        <f t="shared" si="176"/>
        <v>0</v>
      </c>
      <c r="CT152" s="146">
        <f t="shared" si="176"/>
        <v>60</v>
      </c>
      <c r="CU152" s="146">
        <f t="shared" si="176"/>
        <v>0</v>
      </c>
      <c r="CV152" s="146">
        <f t="shared" si="176"/>
        <v>0</v>
      </c>
      <c r="CW152" s="146">
        <f t="shared" si="176"/>
        <v>0</v>
      </c>
      <c r="CX152" s="146">
        <f t="shared" si="176"/>
        <v>0</v>
      </c>
      <c r="CY152" s="146">
        <f t="shared" si="176"/>
        <v>0</v>
      </c>
      <c r="CZ152" s="146">
        <f t="shared" si="176"/>
        <v>0</v>
      </c>
      <c r="DA152" s="146">
        <f t="shared" si="176"/>
        <v>0</v>
      </c>
      <c r="DB152" s="146">
        <f t="shared" si="176"/>
        <v>0</v>
      </c>
      <c r="DC152" s="130">
        <f t="shared" si="176"/>
        <v>0</v>
      </c>
      <c r="DD152" s="130">
        <f t="shared" si="176"/>
        <v>0</v>
      </c>
      <c r="DE152" s="130">
        <f t="shared" si="176"/>
        <v>0</v>
      </c>
      <c r="DF152" s="130">
        <f t="shared" si="176"/>
        <v>0</v>
      </c>
      <c r="DG152" s="130">
        <f t="shared" si="176"/>
        <v>0</v>
      </c>
      <c r="DH152" s="130">
        <f t="shared" si="176"/>
        <v>0</v>
      </c>
      <c r="DI152" s="130">
        <f t="shared" si="176"/>
        <v>0</v>
      </c>
      <c r="DJ152" s="130">
        <f t="shared" si="176"/>
        <v>0</v>
      </c>
      <c r="DK152" s="636">
        <f t="shared" si="176"/>
        <v>0</v>
      </c>
      <c r="DL152" s="492">
        <f t="shared" si="176"/>
        <v>1477.3333333333335</v>
      </c>
      <c r="DM152" s="492">
        <f t="shared" si="176"/>
        <v>2349.5</v>
      </c>
      <c r="DN152" s="492">
        <f t="shared" si="176"/>
        <v>337.5</v>
      </c>
      <c r="DO152" s="683">
        <f t="shared" si="176"/>
        <v>200</v>
      </c>
      <c r="DP152" s="844"/>
      <c r="DQ152" s="844"/>
      <c r="DR152" s="844"/>
      <c r="DS152" s="844"/>
    </row>
    <row r="153" spans="2:123" ht="32.1" hidden="1" customHeight="1" outlineLevel="1" thickBot="1" x14ac:dyDescent="0.3">
      <c r="B153" s="815" t="s">
        <v>145</v>
      </c>
      <c r="C153" s="812">
        <f>C108+1</f>
        <v>45120</v>
      </c>
      <c r="D153" s="803" t="s">
        <v>133</v>
      </c>
      <c r="E153" s="774" t="s">
        <v>136</v>
      </c>
      <c r="F153" s="213" t="s">
        <v>6</v>
      </c>
      <c r="G153" s="205" t="s">
        <v>133</v>
      </c>
      <c r="H153" s="341"/>
      <c r="I153" s="939" t="s">
        <v>174</v>
      </c>
      <c r="J153" s="216"/>
      <c r="K153" s="216"/>
      <c r="L153" s="216"/>
      <c r="M153" s="216"/>
      <c r="N153" s="216"/>
      <c r="O153" s="216"/>
      <c r="P153" s="216"/>
      <c r="Q153" s="216"/>
      <c r="R153" s="216"/>
      <c r="S153" s="216"/>
      <c r="T153" s="216"/>
      <c r="U153" s="217"/>
      <c r="V153" s="217"/>
      <c r="W153" s="217"/>
      <c r="X153" s="217"/>
      <c r="Y153" s="217"/>
      <c r="Z153" s="217"/>
      <c r="AA153" s="217"/>
      <c r="AB153" s="217"/>
      <c r="AC153" s="217"/>
      <c r="AD153" s="217"/>
      <c r="AE153" s="217"/>
      <c r="AF153" s="217"/>
      <c r="AG153" s="217"/>
      <c r="AH153" s="217"/>
      <c r="AI153" s="217"/>
      <c r="AJ153" s="217"/>
      <c r="AK153" s="217"/>
      <c r="AL153" s="217"/>
      <c r="AM153" s="217"/>
      <c r="AN153" s="217"/>
      <c r="AO153" s="217"/>
      <c r="AP153" s="218"/>
      <c r="AQ153" s="218"/>
      <c r="AR153" s="218"/>
      <c r="AS153" s="344"/>
      <c r="AT153" s="218"/>
      <c r="AU153" s="219"/>
      <c r="AV153" s="219"/>
      <c r="AW153" s="219"/>
      <c r="AX153" s="219"/>
      <c r="AY153" s="219"/>
      <c r="AZ153" s="219"/>
      <c r="BA153" s="220"/>
      <c r="BB153" s="220"/>
      <c r="BC153" s="220"/>
      <c r="BD153" s="220"/>
      <c r="BE153" s="216"/>
      <c r="BF153" s="216"/>
      <c r="BG153" s="216"/>
      <c r="BH153" s="216"/>
      <c r="BI153" s="216"/>
      <c r="BJ153" s="221"/>
      <c r="BK153" s="217"/>
      <c r="BL153" s="217"/>
      <c r="BM153" s="217"/>
      <c r="BN153" s="217"/>
      <c r="BO153" s="217"/>
      <c r="BP153" s="217"/>
      <c r="BQ153" s="217"/>
      <c r="BR153" s="217"/>
      <c r="BS153" s="217"/>
      <c r="BT153" s="217"/>
      <c r="BU153" s="217"/>
      <c r="BV153" s="217"/>
      <c r="BW153" s="218"/>
      <c r="BX153" s="218"/>
      <c r="BY153" s="218"/>
      <c r="BZ153" s="218"/>
      <c r="CA153" s="218"/>
      <c r="CB153" s="218"/>
      <c r="CC153" s="218"/>
      <c r="CD153" s="218"/>
      <c r="CE153" s="218"/>
      <c r="CF153" s="218"/>
      <c r="CG153" s="218"/>
      <c r="CH153" s="222"/>
      <c r="CI153" s="218"/>
      <c r="CJ153" s="218"/>
      <c r="CK153" s="218"/>
      <c r="CL153" s="218"/>
      <c r="CM153" s="218"/>
      <c r="CN153" s="218"/>
      <c r="CO153" s="219"/>
      <c r="CP153" s="219"/>
      <c r="CQ153" s="219"/>
      <c r="CR153" s="514"/>
      <c r="CS153" s="514"/>
      <c r="CT153" s="514"/>
      <c r="CU153" s="514"/>
      <c r="CV153" s="514"/>
      <c r="CW153" s="514"/>
      <c r="CX153" s="514"/>
      <c r="CY153" s="515"/>
      <c r="CZ153" s="219"/>
      <c r="DA153" s="219"/>
      <c r="DB153" s="219"/>
      <c r="DC153" s="216"/>
      <c r="DD153" s="216"/>
      <c r="DE153" s="216"/>
      <c r="DF153" s="216"/>
      <c r="DG153" s="216"/>
      <c r="DH153" s="216"/>
      <c r="DI153" s="216"/>
      <c r="DJ153" s="216"/>
      <c r="DK153" s="612"/>
      <c r="DL153" s="494">
        <f t="shared" ref="DL153:DL162" si="177">SUM(J153:S153)*5+SUM(V153:AF153)+AH153*4+U153*2.5+AG153/0.75</f>
        <v>0</v>
      </c>
      <c r="DM153" s="122">
        <f t="shared" ref="DM153:DM162" si="178">SUM(J153:DK153)</f>
        <v>0</v>
      </c>
      <c r="DN153" s="122">
        <f t="shared" ref="DN153:DN162" si="179">SUM(BK153:BV153,)</f>
        <v>0</v>
      </c>
      <c r="DO153" s="124">
        <f t="shared" ref="DO153:DO162" si="180">SUM(AT153:AV153)+SUM(AW153:AZ153)*5</f>
        <v>0</v>
      </c>
    </row>
    <row r="154" spans="2:123" ht="32.1" hidden="1" customHeight="1" outlineLevel="1" thickBot="1" x14ac:dyDescent="0.3">
      <c r="B154" s="816"/>
      <c r="C154" s="814"/>
      <c r="D154" s="792"/>
      <c r="E154" s="772"/>
      <c r="F154" s="213" t="s">
        <v>6</v>
      </c>
      <c r="G154" s="339" t="s">
        <v>133</v>
      </c>
      <c r="H154" s="341"/>
      <c r="I154" s="955" t="s">
        <v>56</v>
      </c>
      <c r="J154" s="216"/>
      <c r="K154" s="216"/>
      <c r="L154" s="216"/>
      <c r="M154" s="216"/>
      <c r="N154" s="216"/>
      <c r="O154" s="216"/>
      <c r="P154" s="216"/>
      <c r="Q154" s="216"/>
      <c r="R154" s="216"/>
      <c r="S154" s="216"/>
      <c r="T154" s="216"/>
      <c r="U154" s="217"/>
      <c r="V154" s="217"/>
      <c r="W154" s="217"/>
      <c r="X154" s="217"/>
      <c r="Y154" s="217"/>
      <c r="Z154" s="217"/>
      <c r="AA154" s="217"/>
      <c r="AB154" s="217"/>
      <c r="AC154" s="217"/>
      <c r="AD154" s="217"/>
      <c r="AE154" s="217"/>
      <c r="AF154" s="217"/>
      <c r="AG154" s="217"/>
      <c r="AH154" s="217"/>
      <c r="AI154" s="217"/>
      <c r="AJ154" s="217"/>
      <c r="AK154" s="217"/>
      <c r="AL154" s="217"/>
      <c r="AM154" s="217"/>
      <c r="AN154" s="217"/>
      <c r="AO154" s="217"/>
      <c r="AP154" s="218"/>
      <c r="AQ154" s="218"/>
      <c r="AR154" s="218"/>
      <c r="AS154" s="218"/>
      <c r="AT154" s="218"/>
      <c r="AU154" s="219"/>
      <c r="AV154" s="219"/>
      <c r="AW154" s="219"/>
      <c r="AX154" s="219"/>
      <c r="AY154" s="219"/>
      <c r="AZ154" s="219"/>
      <c r="BA154" s="220"/>
      <c r="BB154" s="220"/>
      <c r="BC154" s="220"/>
      <c r="BD154" s="220"/>
      <c r="BE154" s="216"/>
      <c r="BF154" s="216"/>
      <c r="BG154" s="216"/>
      <c r="BH154" s="216"/>
      <c r="BI154" s="216"/>
      <c r="BJ154" s="221"/>
      <c r="BK154" s="217"/>
      <c r="BL154" s="217"/>
      <c r="BM154" s="217"/>
      <c r="BN154" s="217"/>
      <c r="BO154" s="217"/>
      <c r="BP154" s="217"/>
      <c r="BQ154" s="217"/>
      <c r="BR154" s="217"/>
      <c r="BS154" s="217"/>
      <c r="BT154" s="217"/>
      <c r="BU154" s="217"/>
      <c r="BV154" s="217"/>
      <c r="BW154" s="218"/>
      <c r="BX154" s="218"/>
      <c r="BY154" s="218"/>
      <c r="BZ154" s="218"/>
      <c r="CA154" s="218"/>
      <c r="CB154" s="218"/>
      <c r="CC154" s="218"/>
      <c r="CD154" s="218"/>
      <c r="CE154" s="218"/>
      <c r="CF154" s="218"/>
      <c r="CG154" s="218"/>
      <c r="CH154" s="222"/>
      <c r="CI154" s="218"/>
      <c r="CJ154" s="218"/>
      <c r="CK154" s="218"/>
      <c r="CL154" s="218"/>
      <c r="CM154" s="218"/>
      <c r="CN154" s="218"/>
      <c r="CO154" s="219"/>
      <c r="CP154" s="219"/>
      <c r="CQ154" s="219"/>
      <c r="CR154" s="514"/>
      <c r="CS154" s="219"/>
      <c r="CT154" s="514"/>
      <c r="CU154" s="514"/>
      <c r="CV154" s="521"/>
      <c r="CW154" s="514"/>
      <c r="CX154" s="514"/>
      <c r="CY154" s="515"/>
      <c r="CZ154" s="219"/>
      <c r="DA154" s="219"/>
      <c r="DB154" s="219"/>
      <c r="DC154" s="216"/>
      <c r="DD154" s="216"/>
      <c r="DE154" s="216"/>
      <c r="DF154" s="216"/>
      <c r="DG154" s="216"/>
      <c r="DH154" s="216"/>
      <c r="DI154" s="216"/>
      <c r="DJ154" s="216"/>
      <c r="DK154" s="612"/>
      <c r="DL154" s="495">
        <f t="shared" si="177"/>
        <v>0</v>
      </c>
      <c r="DM154" s="84">
        <f t="shared" si="178"/>
        <v>0</v>
      </c>
      <c r="DN154" s="84">
        <f t="shared" si="179"/>
        <v>0</v>
      </c>
      <c r="DO154" s="125">
        <f t="shared" si="180"/>
        <v>0</v>
      </c>
    </row>
    <row r="155" spans="2:123" ht="32.1" hidden="1" customHeight="1" outlineLevel="1" thickBot="1" x14ac:dyDescent="0.3">
      <c r="B155" s="816"/>
      <c r="C155" s="814"/>
      <c r="D155" s="792"/>
      <c r="E155" s="773"/>
      <c r="F155" s="426" t="s">
        <v>6</v>
      </c>
      <c r="G155" s="427" t="s">
        <v>133</v>
      </c>
      <c r="H155" s="341"/>
      <c r="I155" s="956" t="s">
        <v>67</v>
      </c>
      <c r="J155" s="227"/>
      <c r="K155" s="227"/>
      <c r="L155" s="227"/>
      <c r="M155" s="227"/>
      <c r="N155" s="227"/>
      <c r="O155" s="227"/>
      <c r="P155" s="227"/>
      <c r="Q155" s="227"/>
      <c r="R155" s="227"/>
      <c r="S155" s="227"/>
      <c r="T155" s="227"/>
      <c r="U155" s="228"/>
      <c r="V155" s="228"/>
      <c r="W155" s="228"/>
      <c r="X155" s="228"/>
      <c r="Y155" s="228"/>
      <c r="Z155" s="228"/>
      <c r="AA155" s="228"/>
      <c r="AB155" s="228"/>
      <c r="AC155" s="228"/>
      <c r="AD155" s="228"/>
      <c r="AE155" s="228"/>
      <c r="AF155" s="228"/>
      <c r="AG155" s="228"/>
      <c r="AH155" s="228"/>
      <c r="AI155" s="228"/>
      <c r="AJ155" s="228"/>
      <c r="AK155" s="228"/>
      <c r="AL155" s="228"/>
      <c r="AM155" s="228"/>
      <c r="AN155" s="228"/>
      <c r="AO155" s="228"/>
      <c r="AP155" s="229"/>
      <c r="AQ155" s="229"/>
      <c r="AR155" s="229"/>
      <c r="AS155" s="229"/>
      <c r="AT155" s="229"/>
      <c r="AU155" s="230"/>
      <c r="AV155" s="230"/>
      <c r="AW155" s="230"/>
      <c r="AX155" s="230"/>
      <c r="AY155" s="230"/>
      <c r="AZ155" s="230"/>
      <c r="BA155" s="232"/>
      <c r="BB155" s="232"/>
      <c r="BC155" s="232"/>
      <c r="BD155" s="232"/>
      <c r="BE155" s="227"/>
      <c r="BF155" s="227"/>
      <c r="BG155" s="227"/>
      <c r="BH155" s="227"/>
      <c r="BI155" s="227"/>
      <c r="BJ155" s="233"/>
      <c r="BK155" s="228"/>
      <c r="BL155" s="228"/>
      <c r="BM155" s="228"/>
      <c r="BN155" s="228"/>
      <c r="BO155" s="228"/>
      <c r="BP155" s="228"/>
      <c r="BQ155" s="228"/>
      <c r="BR155" s="228"/>
      <c r="BS155" s="228"/>
      <c r="BT155" s="228"/>
      <c r="BU155" s="228"/>
      <c r="BV155" s="228"/>
      <c r="BW155" s="229"/>
      <c r="BX155" s="229"/>
      <c r="BY155" s="229"/>
      <c r="BZ155" s="229"/>
      <c r="CA155" s="229"/>
      <c r="CB155" s="229"/>
      <c r="CC155" s="229"/>
      <c r="CD155" s="229"/>
      <c r="CE155" s="229"/>
      <c r="CF155" s="229"/>
      <c r="CG155" s="229"/>
      <c r="CH155" s="235"/>
      <c r="CI155" s="229"/>
      <c r="CJ155" s="229"/>
      <c r="CK155" s="229"/>
      <c r="CL155" s="229"/>
      <c r="CM155" s="229"/>
      <c r="CN155" s="229"/>
      <c r="CO155" s="230"/>
      <c r="CP155" s="230"/>
      <c r="CQ155" s="230"/>
      <c r="CR155" s="516"/>
      <c r="CS155" s="516"/>
      <c r="CT155" s="526"/>
      <c r="CU155" s="558"/>
      <c r="CV155" s="516"/>
      <c r="CW155" s="516"/>
      <c r="CX155" s="516"/>
      <c r="CY155" s="517"/>
      <c r="CZ155" s="230"/>
      <c r="DA155" s="230"/>
      <c r="DB155" s="230"/>
      <c r="DC155" s="227"/>
      <c r="DD155" s="227"/>
      <c r="DE155" s="227"/>
      <c r="DF155" s="227"/>
      <c r="DG155" s="227"/>
      <c r="DH155" s="227"/>
      <c r="DI155" s="227"/>
      <c r="DJ155" s="227"/>
      <c r="DK155" s="613"/>
      <c r="DL155" s="496">
        <f t="shared" si="177"/>
        <v>0</v>
      </c>
      <c r="DM155" s="120">
        <f t="shared" si="178"/>
        <v>0</v>
      </c>
      <c r="DN155" s="120">
        <f t="shared" si="179"/>
        <v>0</v>
      </c>
      <c r="DO155" s="358">
        <f t="shared" si="180"/>
        <v>0</v>
      </c>
    </row>
    <row r="156" spans="2:123" ht="32.1" hidden="1" customHeight="1" outlineLevel="1" thickBot="1" x14ac:dyDescent="0.3">
      <c r="B156" s="816"/>
      <c r="C156" s="814"/>
      <c r="D156" s="792"/>
      <c r="E156" s="772" t="s">
        <v>137</v>
      </c>
      <c r="F156" s="429" t="s">
        <v>6</v>
      </c>
      <c r="G156" s="430" t="s">
        <v>133</v>
      </c>
      <c r="H156" s="463"/>
      <c r="I156" s="957" t="s">
        <v>230</v>
      </c>
      <c r="J156" s="206"/>
      <c r="K156" s="206"/>
      <c r="L156" s="206"/>
      <c r="M156" s="206"/>
      <c r="N156" s="206"/>
      <c r="O156" s="206"/>
      <c r="P156" s="206"/>
      <c r="Q156" s="206"/>
      <c r="R156" s="206"/>
      <c r="S156" s="206"/>
      <c r="T156" s="206"/>
      <c r="U156" s="207"/>
      <c r="V156" s="207"/>
      <c r="W156" s="207"/>
      <c r="X156" s="207"/>
      <c r="Y156" s="207"/>
      <c r="Z156" s="207"/>
      <c r="AA156" s="207"/>
      <c r="AB156" s="207"/>
      <c r="AC156" s="207"/>
      <c r="AD156" s="207"/>
      <c r="AE156" s="207"/>
      <c r="AF156" s="207"/>
      <c r="AG156" s="207"/>
      <c r="AH156" s="207"/>
      <c r="AI156" s="207"/>
      <c r="AJ156" s="207"/>
      <c r="AK156" s="207"/>
      <c r="AL156" s="207"/>
      <c r="AM156" s="207"/>
      <c r="AN156" s="207"/>
      <c r="AO156" s="207"/>
      <c r="AP156" s="208"/>
      <c r="AQ156" s="208"/>
      <c r="AR156" s="208"/>
      <c r="AS156" s="208"/>
      <c r="AT156" s="208"/>
      <c r="AU156" s="209"/>
      <c r="AV156" s="209"/>
      <c r="AW156" s="209"/>
      <c r="AX156" s="209"/>
      <c r="AY156" s="209"/>
      <c r="AZ156" s="209"/>
      <c r="BA156" s="210"/>
      <c r="BB156" s="210"/>
      <c r="BC156" s="210"/>
      <c r="BD156" s="210"/>
      <c r="BE156" s="206"/>
      <c r="BF156" s="206"/>
      <c r="BG156" s="206"/>
      <c r="BH156" s="206"/>
      <c r="BI156" s="206"/>
      <c r="BJ156" s="211"/>
      <c r="BK156" s="207"/>
      <c r="BL156" s="207"/>
      <c r="BM156" s="207"/>
      <c r="BN156" s="207"/>
      <c r="BO156" s="207"/>
      <c r="BP156" s="207"/>
      <c r="BQ156" s="207"/>
      <c r="BR156" s="207"/>
      <c r="BS156" s="207"/>
      <c r="BT156" s="207"/>
      <c r="BU156" s="207"/>
      <c r="BV156" s="207"/>
      <c r="BW156" s="208"/>
      <c r="BX156" s="208"/>
      <c r="BY156" s="208"/>
      <c r="BZ156" s="208"/>
      <c r="CA156" s="208"/>
      <c r="CB156" s="208"/>
      <c r="CC156" s="208"/>
      <c r="CD156" s="208"/>
      <c r="CE156" s="208"/>
      <c r="CF156" s="208"/>
      <c r="CG156" s="208"/>
      <c r="CH156" s="212"/>
      <c r="CI156" s="208"/>
      <c r="CJ156" s="208"/>
      <c r="CK156" s="208"/>
      <c r="CL156" s="208"/>
      <c r="CM156" s="208"/>
      <c r="CN156" s="208"/>
      <c r="CO156" s="209"/>
      <c r="CP156" s="209"/>
      <c r="CQ156" s="209"/>
      <c r="CR156" s="512"/>
      <c r="CS156" s="512"/>
      <c r="CT156" s="519"/>
      <c r="CU156" s="559"/>
      <c r="CV156" s="512"/>
      <c r="CW156" s="512"/>
      <c r="CX156" s="512"/>
      <c r="CY156" s="513"/>
      <c r="CZ156" s="209"/>
      <c r="DA156" s="209"/>
      <c r="DB156" s="209"/>
      <c r="DC156" s="206"/>
      <c r="DD156" s="206"/>
      <c r="DE156" s="206"/>
      <c r="DF156" s="206"/>
      <c r="DG156" s="206"/>
      <c r="DH156" s="206"/>
      <c r="DI156" s="206"/>
      <c r="DJ156" s="206"/>
      <c r="DK156" s="611"/>
      <c r="DL156" s="494">
        <f t="shared" si="177"/>
        <v>0</v>
      </c>
      <c r="DM156" s="122">
        <f t="shared" si="178"/>
        <v>0</v>
      </c>
      <c r="DN156" s="122">
        <f t="shared" si="179"/>
        <v>0</v>
      </c>
      <c r="DO156" s="124">
        <f t="shared" si="180"/>
        <v>0</v>
      </c>
    </row>
    <row r="157" spans="2:123" ht="32.1" hidden="1" customHeight="1" outlineLevel="1" thickBot="1" x14ac:dyDescent="0.3">
      <c r="B157" s="816"/>
      <c r="C157" s="814"/>
      <c r="D157" s="792"/>
      <c r="E157" s="772"/>
      <c r="F157" s="213" t="s">
        <v>6</v>
      </c>
      <c r="G157" s="339" t="s">
        <v>133</v>
      </c>
      <c r="H157" s="341"/>
      <c r="I157" s="955" t="s">
        <v>222</v>
      </c>
      <c r="J157" s="216"/>
      <c r="K157" s="216"/>
      <c r="L157" s="216"/>
      <c r="M157" s="216"/>
      <c r="N157" s="216"/>
      <c r="O157" s="216"/>
      <c r="P157" s="216"/>
      <c r="Q157" s="216"/>
      <c r="R157" s="216"/>
      <c r="S157" s="216"/>
      <c r="T157" s="216"/>
      <c r="U157" s="217"/>
      <c r="V157" s="217"/>
      <c r="W157" s="217"/>
      <c r="X157" s="217"/>
      <c r="Y157" s="217"/>
      <c r="Z157" s="217"/>
      <c r="AA157" s="217"/>
      <c r="AB157" s="217"/>
      <c r="AC157" s="217"/>
      <c r="AD157" s="217"/>
      <c r="AE157" s="217"/>
      <c r="AF157" s="217"/>
      <c r="AG157" s="217"/>
      <c r="AH157" s="217"/>
      <c r="AI157" s="217"/>
      <c r="AJ157" s="217"/>
      <c r="AK157" s="217"/>
      <c r="AL157" s="217"/>
      <c r="AM157" s="217"/>
      <c r="AN157" s="217"/>
      <c r="AO157" s="217"/>
      <c r="AP157" s="218"/>
      <c r="AQ157" s="218"/>
      <c r="AR157" s="218"/>
      <c r="AS157" s="218"/>
      <c r="AT157" s="218"/>
      <c r="AU157" s="219"/>
      <c r="AV157" s="219"/>
      <c r="AW157" s="219"/>
      <c r="AX157" s="219"/>
      <c r="AY157" s="219"/>
      <c r="AZ157" s="219"/>
      <c r="BA157" s="220"/>
      <c r="BB157" s="220"/>
      <c r="BC157" s="220"/>
      <c r="BD157" s="220"/>
      <c r="BE157" s="216"/>
      <c r="BF157" s="216"/>
      <c r="BG157" s="216"/>
      <c r="BH157" s="216"/>
      <c r="BI157" s="216"/>
      <c r="BJ157" s="221"/>
      <c r="BK157" s="217"/>
      <c r="BL157" s="217"/>
      <c r="BM157" s="217"/>
      <c r="BN157" s="217"/>
      <c r="BO157" s="217"/>
      <c r="BP157" s="217"/>
      <c r="BQ157" s="217"/>
      <c r="BR157" s="217"/>
      <c r="BS157" s="217"/>
      <c r="BT157" s="217"/>
      <c r="BU157" s="217"/>
      <c r="BV157" s="217"/>
      <c r="BW157" s="218"/>
      <c r="BX157" s="218"/>
      <c r="BY157" s="218"/>
      <c r="BZ157" s="218"/>
      <c r="CA157" s="218"/>
      <c r="CB157" s="218"/>
      <c r="CC157" s="218"/>
      <c r="CD157" s="218"/>
      <c r="CE157" s="218"/>
      <c r="CF157" s="218"/>
      <c r="CG157" s="218"/>
      <c r="CH157" s="222"/>
      <c r="CI157" s="218"/>
      <c r="CJ157" s="218"/>
      <c r="CK157" s="218"/>
      <c r="CL157" s="218"/>
      <c r="CM157" s="218"/>
      <c r="CN157" s="218"/>
      <c r="CO157" s="219"/>
      <c r="CP157" s="219"/>
      <c r="CQ157" s="219"/>
      <c r="CR157" s="514"/>
      <c r="CS157" s="514"/>
      <c r="CT157" s="521"/>
      <c r="CU157" s="557"/>
      <c r="CV157" s="514"/>
      <c r="CW157" s="514"/>
      <c r="CX157" s="514"/>
      <c r="CY157" s="515"/>
      <c r="CZ157" s="219"/>
      <c r="DA157" s="219"/>
      <c r="DB157" s="219"/>
      <c r="DC157" s="216"/>
      <c r="DD157" s="216"/>
      <c r="DE157" s="216"/>
      <c r="DF157" s="216"/>
      <c r="DG157" s="216"/>
      <c r="DH157" s="216"/>
      <c r="DI157" s="216"/>
      <c r="DJ157" s="216"/>
      <c r="DK157" s="612"/>
      <c r="DL157" s="495">
        <f t="shared" si="177"/>
        <v>0</v>
      </c>
      <c r="DM157" s="84">
        <f t="shared" si="178"/>
        <v>0</v>
      </c>
      <c r="DN157" s="84">
        <f t="shared" si="179"/>
        <v>0</v>
      </c>
      <c r="DO157" s="125">
        <f t="shared" si="180"/>
        <v>0</v>
      </c>
    </row>
    <row r="158" spans="2:123" ht="32.1" hidden="1" customHeight="1" outlineLevel="1" thickBot="1" x14ac:dyDescent="0.3">
      <c r="B158" s="816"/>
      <c r="C158" s="814"/>
      <c r="D158" s="792"/>
      <c r="E158" s="772"/>
      <c r="F158" s="224" t="s">
        <v>6</v>
      </c>
      <c r="G158" s="432" t="s">
        <v>133</v>
      </c>
      <c r="H158" s="456"/>
      <c r="I158" s="958" t="s">
        <v>90</v>
      </c>
      <c r="J158" s="434"/>
      <c r="K158" s="434"/>
      <c r="L158" s="434"/>
      <c r="M158" s="434"/>
      <c r="N158" s="434"/>
      <c r="O158" s="434"/>
      <c r="P158" s="434"/>
      <c r="Q158" s="434"/>
      <c r="R158" s="434"/>
      <c r="S158" s="434"/>
      <c r="T158" s="434"/>
      <c r="U158" s="435"/>
      <c r="V158" s="435"/>
      <c r="W158" s="435"/>
      <c r="X158" s="435"/>
      <c r="Y158" s="435"/>
      <c r="Z158" s="435"/>
      <c r="AA158" s="435"/>
      <c r="AB158" s="435"/>
      <c r="AC158" s="435"/>
      <c r="AD158" s="435"/>
      <c r="AE158" s="435"/>
      <c r="AF158" s="435"/>
      <c r="AG158" s="435"/>
      <c r="AH158" s="435"/>
      <c r="AI158" s="435"/>
      <c r="AJ158" s="435"/>
      <c r="AK158" s="435"/>
      <c r="AL158" s="435"/>
      <c r="AM158" s="435"/>
      <c r="AN158" s="435"/>
      <c r="AO158" s="435"/>
      <c r="AP158" s="436"/>
      <c r="AQ158" s="436"/>
      <c r="AR158" s="436"/>
      <c r="AS158" s="436"/>
      <c r="AT158" s="436"/>
      <c r="AU158" s="437"/>
      <c r="AV158" s="437"/>
      <c r="AW158" s="437"/>
      <c r="AX158" s="437"/>
      <c r="AY158" s="437"/>
      <c r="AZ158" s="437"/>
      <c r="BA158" s="438"/>
      <c r="BB158" s="438"/>
      <c r="BC158" s="438"/>
      <c r="BD158" s="438"/>
      <c r="BE158" s="434"/>
      <c r="BF158" s="434"/>
      <c r="BG158" s="434"/>
      <c r="BH158" s="434"/>
      <c r="BI158" s="434"/>
      <c r="BJ158" s="439"/>
      <c r="BK158" s="435"/>
      <c r="BL158" s="435"/>
      <c r="BM158" s="435"/>
      <c r="BN158" s="435"/>
      <c r="BO158" s="435"/>
      <c r="BP158" s="435"/>
      <c r="BQ158" s="435"/>
      <c r="BR158" s="435"/>
      <c r="BS158" s="435"/>
      <c r="BT158" s="435"/>
      <c r="BU158" s="435"/>
      <c r="BV158" s="435"/>
      <c r="BW158" s="436"/>
      <c r="BX158" s="436"/>
      <c r="BY158" s="436"/>
      <c r="BZ158" s="436"/>
      <c r="CA158" s="436"/>
      <c r="CB158" s="436"/>
      <c r="CC158" s="436"/>
      <c r="CD158" s="436"/>
      <c r="CE158" s="436"/>
      <c r="CF158" s="436"/>
      <c r="CG158" s="436"/>
      <c r="CH158" s="440"/>
      <c r="CI158" s="436"/>
      <c r="CJ158" s="436"/>
      <c r="CK158" s="436"/>
      <c r="CL158" s="436"/>
      <c r="CM158" s="436"/>
      <c r="CN158" s="436"/>
      <c r="CO158" s="437"/>
      <c r="CP158" s="437"/>
      <c r="CQ158" s="437"/>
      <c r="CR158" s="522"/>
      <c r="CS158" s="522"/>
      <c r="CT158" s="560"/>
      <c r="CU158" s="561"/>
      <c r="CV158" s="522"/>
      <c r="CW158" s="522"/>
      <c r="CX158" s="522"/>
      <c r="CY158" s="523"/>
      <c r="CZ158" s="437"/>
      <c r="DA158" s="437"/>
      <c r="DB158" s="437"/>
      <c r="DC158" s="434"/>
      <c r="DD158" s="434"/>
      <c r="DE158" s="434"/>
      <c r="DF158" s="434"/>
      <c r="DG158" s="434"/>
      <c r="DH158" s="434"/>
      <c r="DI158" s="434"/>
      <c r="DJ158" s="434"/>
      <c r="DK158" s="614"/>
      <c r="DL158" s="497">
        <f t="shared" si="177"/>
        <v>0</v>
      </c>
      <c r="DM158" s="126">
        <f t="shared" si="178"/>
        <v>0</v>
      </c>
      <c r="DN158" s="126">
        <f t="shared" si="179"/>
        <v>0</v>
      </c>
      <c r="DO158" s="127">
        <f t="shared" si="180"/>
        <v>0</v>
      </c>
    </row>
    <row r="159" spans="2:123" ht="32.1" hidden="1" customHeight="1" outlineLevel="1" thickBot="1" x14ac:dyDescent="0.3">
      <c r="B159" s="816"/>
      <c r="C159" s="814"/>
      <c r="D159" s="792"/>
      <c r="E159" s="774" t="s">
        <v>138</v>
      </c>
      <c r="F159" s="328" t="s">
        <v>6</v>
      </c>
      <c r="G159" s="428" t="s">
        <v>133</v>
      </c>
      <c r="H159" s="341"/>
      <c r="I159" s="959" t="s">
        <v>179</v>
      </c>
      <c r="J159" s="331"/>
      <c r="K159" s="331"/>
      <c r="L159" s="331"/>
      <c r="M159" s="331"/>
      <c r="N159" s="331"/>
      <c r="O159" s="331"/>
      <c r="P159" s="331"/>
      <c r="Q159" s="331"/>
      <c r="R159" s="331"/>
      <c r="S159" s="331"/>
      <c r="T159" s="331"/>
      <c r="U159" s="332"/>
      <c r="V159" s="332"/>
      <c r="W159" s="332"/>
      <c r="X159" s="332"/>
      <c r="Y159" s="332"/>
      <c r="Z159" s="332"/>
      <c r="AA159" s="332"/>
      <c r="AB159" s="332"/>
      <c r="AC159" s="332"/>
      <c r="AD159" s="332"/>
      <c r="AE159" s="332"/>
      <c r="AF159" s="332"/>
      <c r="AG159" s="332"/>
      <c r="AH159" s="332"/>
      <c r="AI159" s="332"/>
      <c r="AJ159" s="332"/>
      <c r="AK159" s="332"/>
      <c r="AL159" s="332"/>
      <c r="AM159" s="332"/>
      <c r="AN159" s="332"/>
      <c r="AO159" s="332"/>
      <c r="AP159" s="333"/>
      <c r="AQ159" s="333"/>
      <c r="AR159" s="333"/>
      <c r="AS159" s="333"/>
      <c r="AT159" s="333"/>
      <c r="AU159" s="334"/>
      <c r="AV159" s="334"/>
      <c r="AW159" s="334"/>
      <c r="AX159" s="334"/>
      <c r="AY159" s="334"/>
      <c r="AZ159" s="334"/>
      <c r="BA159" s="335"/>
      <c r="BB159" s="335"/>
      <c r="BC159" s="335"/>
      <c r="BD159" s="335"/>
      <c r="BE159" s="331"/>
      <c r="BF159" s="331"/>
      <c r="BG159" s="331"/>
      <c r="BH159" s="331"/>
      <c r="BI159" s="331"/>
      <c r="BJ159" s="336"/>
      <c r="BK159" s="332"/>
      <c r="BL159" s="332"/>
      <c r="BM159" s="332"/>
      <c r="BN159" s="332"/>
      <c r="BO159" s="332"/>
      <c r="BP159" s="332"/>
      <c r="BQ159" s="332"/>
      <c r="BR159" s="332"/>
      <c r="BS159" s="332"/>
      <c r="BT159" s="332"/>
      <c r="BU159" s="332"/>
      <c r="BV159" s="332"/>
      <c r="BW159" s="333"/>
      <c r="BX159" s="333"/>
      <c r="BY159" s="333"/>
      <c r="BZ159" s="333"/>
      <c r="CA159" s="333"/>
      <c r="CB159" s="333"/>
      <c r="CC159" s="333"/>
      <c r="CD159" s="333"/>
      <c r="CE159" s="333"/>
      <c r="CF159" s="333"/>
      <c r="CG159" s="333"/>
      <c r="CH159" s="338"/>
      <c r="CI159" s="333"/>
      <c r="CJ159" s="333"/>
      <c r="CK159" s="333"/>
      <c r="CL159" s="333"/>
      <c r="CM159" s="333"/>
      <c r="CN159" s="333"/>
      <c r="CO159" s="334"/>
      <c r="CP159" s="334"/>
      <c r="CQ159" s="334"/>
      <c r="CR159" s="524"/>
      <c r="CS159" s="524"/>
      <c r="CT159" s="562"/>
      <c r="CU159" s="556"/>
      <c r="CV159" s="524"/>
      <c r="CW159" s="524"/>
      <c r="CX159" s="524"/>
      <c r="CY159" s="525"/>
      <c r="CZ159" s="334"/>
      <c r="DA159" s="334"/>
      <c r="DB159" s="334"/>
      <c r="DC159" s="331"/>
      <c r="DD159" s="331"/>
      <c r="DE159" s="331"/>
      <c r="DF159" s="331"/>
      <c r="DG159" s="331"/>
      <c r="DH159" s="331"/>
      <c r="DI159" s="331"/>
      <c r="DJ159" s="331"/>
      <c r="DK159" s="615"/>
      <c r="DL159" s="498">
        <f t="shared" si="177"/>
        <v>0</v>
      </c>
      <c r="DM159" s="121">
        <f t="shared" si="178"/>
        <v>0</v>
      </c>
      <c r="DN159" s="121">
        <f t="shared" si="179"/>
        <v>0</v>
      </c>
      <c r="DO159" s="357">
        <f t="shared" si="180"/>
        <v>0</v>
      </c>
    </row>
    <row r="160" spans="2:123" ht="32.1" hidden="1" customHeight="1" outlineLevel="1" thickBot="1" x14ac:dyDescent="0.3">
      <c r="B160" s="816"/>
      <c r="C160" s="814"/>
      <c r="D160" s="792"/>
      <c r="E160" s="772"/>
      <c r="F160" s="213" t="s">
        <v>6</v>
      </c>
      <c r="G160" s="339" t="s">
        <v>133</v>
      </c>
      <c r="H160" s="341"/>
      <c r="I160" s="955" t="s">
        <v>60</v>
      </c>
      <c r="J160" s="216"/>
      <c r="K160" s="216"/>
      <c r="L160" s="216"/>
      <c r="M160" s="216"/>
      <c r="N160" s="216"/>
      <c r="O160" s="216"/>
      <c r="P160" s="216"/>
      <c r="Q160" s="216"/>
      <c r="R160" s="216"/>
      <c r="S160" s="216"/>
      <c r="T160" s="216"/>
      <c r="U160" s="217"/>
      <c r="V160" s="217"/>
      <c r="W160" s="217"/>
      <c r="X160" s="217"/>
      <c r="Y160" s="217"/>
      <c r="Z160" s="217"/>
      <c r="AA160" s="217"/>
      <c r="AB160" s="217"/>
      <c r="AC160" s="217"/>
      <c r="AD160" s="217"/>
      <c r="AE160" s="217"/>
      <c r="AF160" s="217"/>
      <c r="AG160" s="217"/>
      <c r="AH160" s="217"/>
      <c r="AI160" s="217"/>
      <c r="AJ160" s="217"/>
      <c r="AK160" s="217"/>
      <c r="AL160" s="217"/>
      <c r="AM160" s="217"/>
      <c r="AN160" s="217"/>
      <c r="AO160" s="217"/>
      <c r="AP160" s="218"/>
      <c r="AQ160" s="218"/>
      <c r="AR160" s="218"/>
      <c r="AS160" s="218"/>
      <c r="AT160" s="218"/>
      <c r="AU160" s="219"/>
      <c r="AV160" s="219"/>
      <c r="AW160" s="219"/>
      <c r="AX160" s="219"/>
      <c r="AY160" s="219"/>
      <c r="AZ160" s="219"/>
      <c r="BA160" s="220"/>
      <c r="BB160" s="220"/>
      <c r="BC160" s="220"/>
      <c r="BD160" s="220"/>
      <c r="BE160" s="216"/>
      <c r="BF160" s="216"/>
      <c r="BG160" s="216"/>
      <c r="BH160" s="216"/>
      <c r="BI160" s="216"/>
      <c r="BJ160" s="221"/>
      <c r="BK160" s="217"/>
      <c r="BL160" s="217"/>
      <c r="BM160" s="217"/>
      <c r="BN160" s="217"/>
      <c r="BO160" s="217"/>
      <c r="BP160" s="217"/>
      <c r="BQ160" s="217"/>
      <c r="BR160" s="217"/>
      <c r="BS160" s="217"/>
      <c r="BT160" s="217"/>
      <c r="BU160" s="217"/>
      <c r="BV160" s="217"/>
      <c r="BW160" s="218"/>
      <c r="BX160" s="218"/>
      <c r="BY160" s="218"/>
      <c r="BZ160" s="218"/>
      <c r="CA160" s="218"/>
      <c r="CB160" s="218"/>
      <c r="CC160" s="218"/>
      <c r="CD160" s="218"/>
      <c r="CE160" s="218"/>
      <c r="CF160" s="218"/>
      <c r="CG160" s="218"/>
      <c r="CH160" s="222"/>
      <c r="CI160" s="218"/>
      <c r="CJ160" s="218"/>
      <c r="CK160" s="218"/>
      <c r="CL160" s="218"/>
      <c r="CM160" s="218"/>
      <c r="CN160" s="218"/>
      <c r="CO160" s="219"/>
      <c r="CP160" s="219"/>
      <c r="CQ160" s="219"/>
      <c r="CR160" s="514"/>
      <c r="CS160" s="514"/>
      <c r="CT160" s="521"/>
      <c r="CU160" s="557"/>
      <c r="CV160" s="514"/>
      <c r="CW160" s="514"/>
      <c r="CX160" s="514"/>
      <c r="CY160" s="515"/>
      <c r="CZ160" s="219"/>
      <c r="DA160" s="219"/>
      <c r="DB160" s="219"/>
      <c r="DC160" s="216"/>
      <c r="DD160" s="216"/>
      <c r="DE160" s="216"/>
      <c r="DF160" s="216"/>
      <c r="DG160" s="216"/>
      <c r="DH160" s="216"/>
      <c r="DI160" s="216"/>
      <c r="DJ160" s="216"/>
      <c r="DK160" s="612"/>
      <c r="DL160" s="495">
        <f t="shared" si="177"/>
        <v>0</v>
      </c>
      <c r="DM160" s="84">
        <f t="shared" si="178"/>
        <v>0</v>
      </c>
      <c r="DN160" s="84">
        <f t="shared" si="179"/>
        <v>0</v>
      </c>
      <c r="DO160" s="125">
        <f t="shared" si="180"/>
        <v>0</v>
      </c>
    </row>
    <row r="161" spans="2:123" ht="32.1" hidden="1" customHeight="1" outlineLevel="1" thickBot="1" x14ac:dyDescent="0.3">
      <c r="B161" s="816"/>
      <c r="C161" s="814"/>
      <c r="D161" s="792"/>
      <c r="E161" s="772"/>
      <c r="F161" s="213" t="s">
        <v>6</v>
      </c>
      <c r="G161" s="339" t="s">
        <v>133</v>
      </c>
      <c r="H161" s="341"/>
      <c r="I161" s="955" t="s">
        <v>71</v>
      </c>
      <c r="J161" s="216"/>
      <c r="K161" s="216"/>
      <c r="L161" s="216"/>
      <c r="M161" s="216"/>
      <c r="N161" s="216"/>
      <c r="O161" s="216"/>
      <c r="P161" s="216"/>
      <c r="Q161" s="216"/>
      <c r="R161" s="216"/>
      <c r="S161" s="216"/>
      <c r="T161" s="216"/>
      <c r="U161" s="217"/>
      <c r="V161" s="217"/>
      <c r="W161" s="217"/>
      <c r="X161" s="217"/>
      <c r="Y161" s="217"/>
      <c r="Z161" s="217"/>
      <c r="AA161" s="217"/>
      <c r="AB161" s="217"/>
      <c r="AC161" s="217"/>
      <c r="AD161" s="217"/>
      <c r="AE161" s="217"/>
      <c r="AF161" s="217"/>
      <c r="AG161" s="217"/>
      <c r="AH161" s="217"/>
      <c r="AI161" s="217"/>
      <c r="AJ161" s="217"/>
      <c r="AK161" s="217"/>
      <c r="AL161" s="217"/>
      <c r="AM161" s="217"/>
      <c r="AN161" s="217"/>
      <c r="AO161" s="217"/>
      <c r="AP161" s="218"/>
      <c r="AQ161" s="218"/>
      <c r="AR161" s="218"/>
      <c r="AS161" s="218"/>
      <c r="AT161" s="218"/>
      <c r="AU161" s="219"/>
      <c r="AV161" s="219"/>
      <c r="AW161" s="219"/>
      <c r="AX161" s="219"/>
      <c r="AY161" s="219"/>
      <c r="AZ161" s="219"/>
      <c r="BA161" s="220"/>
      <c r="BB161" s="220"/>
      <c r="BC161" s="220"/>
      <c r="BD161" s="220"/>
      <c r="BE161" s="216"/>
      <c r="BF161" s="216"/>
      <c r="BG161" s="216"/>
      <c r="BH161" s="216"/>
      <c r="BI161" s="216"/>
      <c r="BJ161" s="221"/>
      <c r="BK161" s="217"/>
      <c r="BL161" s="217"/>
      <c r="BM161" s="217"/>
      <c r="BN161" s="217"/>
      <c r="BO161" s="217"/>
      <c r="BP161" s="217"/>
      <c r="BQ161" s="217"/>
      <c r="BR161" s="217"/>
      <c r="BS161" s="217"/>
      <c r="BT161" s="217"/>
      <c r="BU161" s="217"/>
      <c r="BV161" s="217"/>
      <c r="BW161" s="218"/>
      <c r="BX161" s="218"/>
      <c r="BY161" s="218"/>
      <c r="BZ161" s="218"/>
      <c r="CA161" s="218"/>
      <c r="CB161" s="218"/>
      <c r="CC161" s="218"/>
      <c r="CD161" s="218"/>
      <c r="CE161" s="218"/>
      <c r="CF161" s="218"/>
      <c r="CG161" s="218"/>
      <c r="CH161" s="222"/>
      <c r="CI161" s="218"/>
      <c r="CJ161" s="218"/>
      <c r="CK161" s="218"/>
      <c r="CL161" s="218"/>
      <c r="CM161" s="218"/>
      <c r="CN161" s="218"/>
      <c r="CO161" s="219"/>
      <c r="CP161" s="219"/>
      <c r="CQ161" s="219"/>
      <c r="CR161" s="514"/>
      <c r="CS161" s="514"/>
      <c r="CT161" s="521"/>
      <c r="CU161" s="557"/>
      <c r="CV161" s="514"/>
      <c r="CW161" s="514"/>
      <c r="CX161" s="514"/>
      <c r="CY161" s="515"/>
      <c r="CZ161" s="219"/>
      <c r="DA161" s="219"/>
      <c r="DB161" s="219"/>
      <c r="DC161" s="216"/>
      <c r="DD161" s="216"/>
      <c r="DE161" s="216"/>
      <c r="DF161" s="216"/>
      <c r="DG161" s="216"/>
      <c r="DH161" s="216"/>
      <c r="DI161" s="216"/>
      <c r="DJ161" s="216"/>
      <c r="DK161" s="612"/>
      <c r="DL161" s="495">
        <f t="shared" si="177"/>
        <v>0</v>
      </c>
      <c r="DM161" s="84">
        <f t="shared" si="178"/>
        <v>0</v>
      </c>
      <c r="DN161" s="84">
        <f t="shared" si="179"/>
        <v>0</v>
      </c>
      <c r="DO161" s="125">
        <f t="shared" si="180"/>
        <v>0</v>
      </c>
    </row>
    <row r="162" spans="2:123" ht="32.1" hidden="1" customHeight="1" outlineLevel="1" thickBot="1" x14ac:dyDescent="0.3">
      <c r="B162" s="816"/>
      <c r="C162" s="814"/>
      <c r="D162" s="792"/>
      <c r="E162" s="772"/>
      <c r="F162" s="213" t="s">
        <v>6</v>
      </c>
      <c r="G162" s="339" t="s">
        <v>133</v>
      </c>
      <c r="H162" s="341"/>
      <c r="I162" s="955" t="s">
        <v>63</v>
      </c>
      <c r="J162" s="216"/>
      <c r="K162" s="216"/>
      <c r="L162" s="216"/>
      <c r="M162" s="216"/>
      <c r="N162" s="216"/>
      <c r="O162" s="216"/>
      <c r="P162" s="216"/>
      <c r="Q162" s="216"/>
      <c r="R162" s="216"/>
      <c r="S162" s="216"/>
      <c r="T162" s="216"/>
      <c r="U162" s="217"/>
      <c r="V162" s="217"/>
      <c r="W162" s="217"/>
      <c r="X162" s="217"/>
      <c r="Y162" s="217"/>
      <c r="Z162" s="217"/>
      <c r="AA162" s="217"/>
      <c r="AB162" s="217"/>
      <c r="AC162" s="217"/>
      <c r="AD162" s="217"/>
      <c r="AE162" s="217"/>
      <c r="AF162" s="217"/>
      <c r="AG162" s="217"/>
      <c r="AH162" s="217"/>
      <c r="AI162" s="217"/>
      <c r="AJ162" s="217"/>
      <c r="AK162" s="217"/>
      <c r="AL162" s="217"/>
      <c r="AM162" s="217"/>
      <c r="AN162" s="217"/>
      <c r="AO162" s="217"/>
      <c r="AP162" s="218"/>
      <c r="AQ162" s="218"/>
      <c r="AR162" s="218"/>
      <c r="AS162" s="218"/>
      <c r="AT162" s="218"/>
      <c r="AU162" s="219"/>
      <c r="AV162" s="219"/>
      <c r="AW162" s="219"/>
      <c r="AX162" s="219"/>
      <c r="AY162" s="219"/>
      <c r="AZ162" s="219"/>
      <c r="BA162" s="220"/>
      <c r="BB162" s="220"/>
      <c r="BC162" s="220"/>
      <c r="BD162" s="220"/>
      <c r="BE162" s="216"/>
      <c r="BF162" s="216"/>
      <c r="BG162" s="216"/>
      <c r="BH162" s="216"/>
      <c r="BI162" s="216"/>
      <c r="BJ162" s="221"/>
      <c r="BK162" s="342"/>
      <c r="BL162" s="217"/>
      <c r="BM162" s="217"/>
      <c r="BN162" s="217"/>
      <c r="BO162" s="217"/>
      <c r="BP162" s="217"/>
      <c r="BQ162" s="217"/>
      <c r="BR162" s="217"/>
      <c r="BS162" s="217"/>
      <c r="BT162" s="217"/>
      <c r="BU162" s="217"/>
      <c r="BV162" s="217"/>
      <c r="BW162" s="218"/>
      <c r="BX162" s="218"/>
      <c r="BY162" s="218"/>
      <c r="BZ162" s="218"/>
      <c r="CA162" s="218"/>
      <c r="CB162" s="218"/>
      <c r="CC162" s="218"/>
      <c r="CD162" s="218"/>
      <c r="CE162" s="218"/>
      <c r="CF162" s="218"/>
      <c r="CG162" s="218"/>
      <c r="CH162" s="222"/>
      <c r="CI162" s="218"/>
      <c r="CJ162" s="218"/>
      <c r="CK162" s="218"/>
      <c r="CL162" s="218"/>
      <c r="CM162" s="218"/>
      <c r="CN162" s="218"/>
      <c r="CO162" s="219"/>
      <c r="CP162" s="219"/>
      <c r="CQ162" s="219"/>
      <c r="CR162" s="514"/>
      <c r="CS162" s="514"/>
      <c r="CT162" s="514"/>
      <c r="CU162" s="514"/>
      <c r="CV162" s="514"/>
      <c r="CW162" s="514"/>
      <c r="CX162" s="514"/>
      <c r="CY162" s="515"/>
      <c r="CZ162" s="219"/>
      <c r="DA162" s="219"/>
      <c r="DB162" s="219"/>
      <c r="DC162" s="216"/>
      <c r="DD162" s="216"/>
      <c r="DE162" s="216"/>
      <c r="DF162" s="216"/>
      <c r="DG162" s="216"/>
      <c r="DH162" s="216"/>
      <c r="DI162" s="216"/>
      <c r="DJ162" s="216"/>
      <c r="DK162" s="612"/>
      <c r="DL162" s="497">
        <f t="shared" si="177"/>
        <v>0</v>
      </c>
      <c r="DM162" s="126">
        <f t="shared" si="178"/>
        <v>0</v>
      </c>
      <c r="DN162" s="126">
        <f t="shared" si="179"/>
        <v>0</v>
      </c>
      <c r="DO162" s="127">
        <f t="shared" si="180"/>
        <v>0</v>
      </c>
    </row>
    <row r="163" spans="2:123" s="834" customFormat="1" ht="16.5" hidden="1" customHeight="1" outlineLevel="1" thickBot="1" x14ac:dyDescent="0.35">
      <c r="B163" s="816"/>
      <c r="C163" s="814"/>
      <c r="D163" s="819"/>
      <c r="E163" s="820" t="s">
        <v>254</v>
      </c>
      <c r="F163" s="821"/>
      <c r="G163" s="822"/>
      <c r="H163" s="823"/>
      <c r="I163" s="903"/>
      <c r="J163" s="824">
        <f>SUM(J153:J162)</f>
        <v>0</v>
      </c>
      <c r="K163" s="824">
        <f t="shared" ref="K163:CL163" si="181">SUM(K153:K162)</f>
        <v>0</v>
      </c>
      <c r="L163" s="824">
        <f t="shared" si="181"/>
        <v>0</v>
      </c>
      <c r="M163" s="824">
        <f t="shared" si="181"/>
        <v>0</v>
      </c>
      <c r="N163" s="824">
        <f t="shared" si="181"/>
        <v>0</v>
      </c>
      <c r="O163" s="824">
        <f t="shared" si="181"/>
        <v>0</v>
      </c>
      <c r="P163" s="824">
        <f t="shared" si="181"/>
        <v>0</v>
      </c>
      <c r="Q163" s="824">
        <f t="shared" si="181"/>
        <v>0</v>
      </c>
      <c r="R163" s="824">
        <f t="shared" si="181"/>
        <v>0</v>
      </c>
      <c r="S163" s="824">
        <f t="shared" si="181"/>
        <v>0</v>
      </c>
      <c r="T163" s="824">
        <f t="shared" si="181"/>
        <v>0</v>
      </c>
      <c r="U163" s="825">
        <f t="shared" si="181"/>
        <v>0</v>
      </c>
      <c r="V163" s="825">
        <f t="shared" si="181"/>
        <v>0</v>
      </c>
      <c r="W163" s="825">
        <f t="shared" si="181"/>
        <v>0</v>
      </c>
      <c r="X163" s="825">
        <f t="shared" si="181"/>
        <v>0</v>
      </c>
      <c r="Y163" s="825">
        <f t="shared" si="181"/>
        <v>0</v>
      </c>
      <c r="Z163" s="825">
        <f t="shared" si="181"/>
        <v>0</v>
      </c>
      <c r="AA163" s="825">
        <f t="shared" si="181"/>
        <v>0</v>
      </c>
      <c r="AB163" s="825">
        <f t="shared" ref="AB163:AD163" si="182">SUM(AB153:AB162)</f>
        <v>0</v>
      </c>
      <c r="AC163" s="825">
        <f t="shared" si="182"/>
        <v>0</v>
      </c>
      <c r="AD163" s="825">
        <f t="shared" si="182"/>
        <v>0</v>
      </c>
      <c r="AE163" s="825">
        <f t="shared" si="181"/>
        <v>0</v>
      </c>
      <c r="AF163" s="825">
        <f t="shared" si="181"/>
        <v>0</v>
      </c>
      <c r="AG163" s="825">
        <f t="shared" si="181"/>
        <v>0</v>
      </c>
      <c r="AH163" s="825">
        <f t="shared" si="181"/>
        <v>0</v>
      </c>
      <c r="AI163" s="825">
        <f t="shared" ref="AI163:AO163" si="183">SUM(AI153:AI162)</f>
        <v>0</v>
      </c>
      <c r="AJ163" s="825">
        <f t="shared" si="183"/>
        <v>0</v>
      </c>
      <c r="AK163" s="825">
        <f t="shared" si="183"/>
        <v>0</v>
      </c>
      <c r="AL163" s="825">
        <f t="shared" si="183"/>
        <v>0</v>
      </c>
      <c r="AM163" s="825">
        <f t="shared" si="183"/>
        <v>0</v>
      </c>
      <c r="AN163" s="825">
        <f t="shared" si="183"/>
        <v>0</v>
      </c>
      <c r="AO163" s="825">
        <f t="shared" si="183"/>
        <v>0</v>
      </c>
      <c r="AP163" s="826">
        <f t="shared" si="181"/>
        <v>0</v>
      </c>
      <c r="AQ163" s="826">
        <f t="shared" ref="AQ163" si="184">SUM(AQ153:AQ162)</f>
        <v>0</v>
      </c>
      <c r="AR163" s="826">
        <f t="shared" si="181"/>
        <v>0</v>
      </c>
      <c r="AS163" s="826">
        <f t="shared" si="181"/>
        <v>0</v>
      </c>
      <c r="AT163" s="826">
        <f t="shared" si="181"/>
        <v>0</v>
      </c>
      <c r="AU163" s="827">
        <f t="shared" si="181"/>
        <v>0</v>
      </c>
      <c r="AV163" s="827">
        <f t="shared" si="181"/>
        <v>0</v>
      </c>
      <c r="AW163" s="827">
        <f t="shared" si="181"/>
        <v>0</v>
      </c>
      <c r="AX163" s="827">
        <f t="shared" ref="AX163:AY163" si="185">SUM(AX153:AX162)</f>
        <v>0</v>
      </c>
      <c r="AY163" s="827">
        <f t="shared" si="185"/>
        <v>0</v>
      </c>
      <c r="AZ163" s="827">
        <f t="shared" si="181"/>
        <v>0</v>
      </c>
      <c r="BA163" s="828">
        <f t="shared" si="181"/>
        <v>0</v>
      </c>
      <c r="BB163" s="828">
        <f t="shared" si="181"/>
        <v>0</v>
      </c>
      <c r="BC163" s="828">
        <f t="shared" si="181"/>
        <v>0</v>
      </c>
      <c r="BD163" s="828">
        <f t="shared" si="181"/>
        <v>0</v>
      </c>
      <c r="BE163" s="824">
        <f t="shared" si="181"/>
        <v>0</v>
      </c>
      <c r="BF163" s="824">
        <f t="shared" si="181"/>
        <v>0</v>
      </c>
      <c r="BG163" s="824">
        <f t="shared" si="181"/>
        <v>0</v>
      </c>
      <c r="BH163" s="824">
        <f t="shared" si="181"/>
        <v>0</v>
      </c>
      <c r="BI163" s="824">
        <f t="shared" si="181"/>
        <v>0</v>
      </c>
      <c r="BJ163" s="824">
        <f t="shared" si="181"/>
        <v>0</v>
      </c>
      <c r="BK163" s="825">
        <f t="shared" si="181"/>
        <v>0</v>
      </c>
      <c r="BL163" s="825">
        <f t="shared" si="181"/>
        <v>0</v>
      </c>
      <c r="BM163" s="825">
        <f t="shared" si="181"/>
        <v>0</v>
      </c>
      <c r="BN163" s="825">
        <f t="shared" si="181"/>
        <v>0</v>
      </c>
      <c r="BO163" s="825">
        <f t="shared" si="181"/>
        <v>0</v>
      </c>
      <c r="BP163" s="825">
        <f t="shared" si="181"/>
        <v>0</v>
      </c>
      <c r="BQ163" s="825">
        <f t="shared" si="181"/>
        <v>0</v>
      </c>
      <c r="BR163" s="825">
        <f t="shared" ref="BR163" si="186">SUM(BR153:BR162)</f>
        <v>0</v>
      </c>
      <c r="BS163" s="825">
        <f t="shared" ref="BS163" si="187">SUM(BS153:BS162)</f>
        <v>0</v>
      </c>
      <c r="BT163" s="825">
        <f t="shared" si="181"/>
        <v>0</v>
      </c>
      <c r="BU163" s="825">
        <f t="shared" si="181"/>
        <v>0</v>
      </c>
      <c r="BV163" s="825">
        <f t="shared" si="181"/>
        <v>0</v>
      </c>
      <c r="BW163" s="826">
        <f t="shared" si="181"/>
        <v>0</v>
      </c>
      <c r="BX163" s="826">
        <f t="shared" si="181"/>
        <v>0</v>
      </c>
      <c r="BY163" s="826">
        <f t="shared" si="181"/>
        <v>0</v>
      </c>
      <c r="BZ163" s="826">
        <f t="shared" si="181"/>
        <v>0</v>
      </c>
      <c r="CA163" s="826">
        <f t="shared" si="181"/>
        <v>0</v>
      </c>
      <c r="CB163" s="826">
        <f t="shared" ref="CB163" si="188">SUM(CB153:CB162)</f>
        <v>0</v>
      </c>
      <c r="CC163" s="826">
        <f t="shared" si="181"/>
        <v>0</v>
      </c>
      <c r="CD163" s="826">
        <f t="shared" si="181"/>
        <v>0</v>
      </c>
      <c r="CE163" s="826">
        <f t="shared" si="181"/>
        <v>0</v>
      </c>
      <c r="CF163" s="826">
        <f t="shared" si="181"/>
        <v>0</v>
      </c>
      <c r="CG163" s="826">
        <f t="shared" si="181"/>
        <v>0</v>
      </c>
      <c r="CH163" s="826">
        <f t="shared" si="181"/>
        <v>0</v>
      </c>
      <c r="CI163" s="826">
        <f t="shared" si="181"/>
        <v>0</v>
      </c>
      <c r="CJ163" s="826">
        <f t="shared" si="181"/>
        <v>0</v>
      </c>
      <c r="CK163" s="826">
        <f t="shared" si="181"/>
        <v>0</v>
      </c>
      <c r="CL163" s="826">
        <f t="shared" si="181"/>
        <v>0</v>
      </c>
      <c r="CM163" s="826">
        <f t="shared" ref="CM163:DO163" si="189">SUM(CM153:CM162)</f>
        <v>0</v>
      </c>
      <c r="CN163" s="826">
        <f t="shared" si="189"/>
        <v>0</v>
      </c>
      <c r="CO163" s="827">
        <f t="shared" si="189"/>
        <v>0</v>
      </c>
      <c r="CP163" s="827">
        <f t="shared" si="189"/>
        <v>0</v>
      </c>
      <c r="CQ163" s="827">
        <f t="shared" si="189"/>
        <v>0</v>
      </c>
      <c r="CR163" s="827">
        <f t="shared" si="189"/>
        <v>0</v>
      </c>
      <c r="CS163" s="827">
        <f t="shared" si="189"/>
        <v>0</v>
      </c>
      <c r="CT163" s="827">
        <f t="shared" si="189"/>
        <v>0</v>
      </c>
      <c r="CU163" s="827">
        <f t="shared" si="189"/>
        <v>0</v>
      </c>
      <c r="CV163" s="827">
        <f t="shared" si="189"/>
        <v>0</v>
      </c>
      <c r="CW163" s="827">
        <f t="shared" si="189"/>
        <v>0</v>
      </c>
      <c r="CX163" s="827">
        <f t="shared" si="189"/>
        <v>0</v>
      </c>
      <c r="CY163" s="827">
        <f t="shared" si="189"/>
        <v>0</v>
      </c>
      <c r="CZ163" s="827">
        <f t="shared" si="189"/>
        <v>0</v>
      </c>
      <c r="DA163" s="827">
        <f t="shared" si="189"/>
        <v>0</v>
      </c>
      <c r="DB163" s="827">
        <f t="shared" si="189"/>
        <v>0</v>
      </c>
      <c r="DC163" s="824">
        <f t="shared" si="189"/>
        <v>0</v>
      </c>
      <c r="DD163" s="824">
        <f t="shared" si="189"/>
        <v>0</v>
      </c>
      <c r="DE163" s="824">
        <f t="shared" si="189"/>
        <v>0</v>
      </c>
      <c r="DF163" s="824">
        <f t="shared" si="189"/>
        <v>0</v>
      </c>
      <c r="DG163" s="824">
        <f t="shared" si="189"/>
        <v>0</v>
      </c>
      <c r="DH163" s="824">
        <f t="shared" si="189"/>
        <v>0</v>
      </c>
      <c r="DI163" s="824">
        <f t="shared" si="189"/>
        <v>0</v>
      </c>
      <c r="DJ163" s="824">
        <f t="shared" si="189"/>
        <v>0</v>
      </c>
      <c r="DK163" s="829">
        <f t="shared" si="189"/>
        <v>0</v>
      </c>
      <c r="DL163" s="830">
        <f t="shared" si="189"/>
        <v>0</v>
      </c>
      <c r="DM163" s="831">
        <f t="shared" si="189"/>
        <v>0</v>
      </c>
      <c r="DN163" s="831">
        <f t="shared" si="189"/>
        <v>0</v>
      </c>
      <c r="DO163" s="832">
        <f t="shared" si="189"/>
        <v>0</v>
      </c>
      <c r="DP163" s="833"/>
      <c r="DQ163" s="833"/>
      <c r="DR163" s="833"/>
      <c r="DS163" s="833"/>
    </row>
    <row r="164" spans="2:123" ht="32.1" hidden="1" customHeight="1" outlineLevel="1" thickBot="1" x14ac:dyDescent="0.3">
      <c r="B164" s="816"/>
      <c r="C164" s="814"/>
      <c r="D164" s="796" t="s">
        <v>134</v>
      </c>
      <c r="E164" s="776" t="s">
        <v>135</v>
      </c>
      <c r="F164" s="246" t="s">
        <v>6</v>
      </c>
      <c r="G164" s="248" t="s">
        <v>134</v>
      </c>
      <c r="H164" s="361"/>
      <c r="I164" s="926" t="s">
        <v>223</v>
      </c>
      <c r="J164" s="249"/>
      <c r="K164" s="249"/>
      <c r="L164" s="249"/>
      <c r="M164" s="249"/>
      <c r="N164" s="249"/>
      <c r="O164" s="249"/>
      <c r="P164" s="249"/>
      <c r="Q164" s="249"/>
      <c r="R164" s="249"/>
      <c r="S164" s="249"/>
      <c r="T164" s="249"/>
      <c r="U164" s="250"/>
      <c r="V164" s="250"/>
      <c r="W164" s="366"/>
      <c r="X164" s="250"/>
      <c r="Y164" s="250"/>
      <c r="Z164" s="250"/>
      <c r="AA164" s="250"/>
      <c r="AB164" s="250"/>
      <c r="AC164" s="250"/>
      <c r="AD164" s="250"/>
      <c r="AE164" s="250"/>
      <c r="AF164" s="250"/>
      <c r="AG164" s="250"/>
      <c r="AH164" s="250"/>
      <c r="AI164" s="250"/>
      <c r="AJ164" s="250"/>
      <c r="AK164" s="250"/>
      <c r="AL164" s="250"/>
      <c r="AM164" s="250"/>
      <c r="AN164" s="250"/>
      <c r="AO164" s="250"/>
      <c r="AP164" s="251"/>
      <c r="AQ164" s="251"/>
      <c r="AR164" s="251"/>
      <c r="AS164" s="251"/>
      <c r="AT164" s="251"/>
      <c r="AU164" s="252"/>
      <c r="AV164" s="252"/>
      <c r="AW164" s="252"/>
      <c r="AX164" s="252"/>
      <c r="AY164" s="252"/>
      <c r="AZ164" s="252"/>
      <c r="BA164" s="253"/>
      <c r="BB164" s="253"/>
      <c r="BC164" s="253"/>
      <c r="BD164" s="253"/>
      <c r="BE164" s="367"/>
      <c r="BF164" s="249"/>
      <c r="BG164" s="249"/>
      <c r="BH164" s="249"/>
      <c r="BI164" s="249"/>
      <c r="BJ164" s="254"/>
      <c r="BK164" s="250"/>
      <c r="BL164" s="250"/>
      <c r="BM164" s="250"/>
      <c r="BN164" s="250"/>
      <c r="BO164" s="250"/>
      <c r="BP164" s="250"/>
      <c r="BQ164" s="250"/>
      <c r="BR164" s="250"/>
      <c r="BS164" s="250"/>
      <c r="BT164" s="250"/>
      <c r="BU164" s="250"/>
      <c r="BV164" s="250"/>
      <c r="BW164" s="368"/>
      <c r="BX164" s="368"/>
      <c r="BY164" s="251"/>
      <c r="BZ164" s="251"/>
      <c r="CA164" s="251"/>
      <c r="CB164" s="251"/>
      <c r="CC164" s="251"/>
      <c r="CD164" s="251"/>
      <c r="CE164" s="251"/>
      <c r="CF164" s="251"/>
      <c r="CG164" s="251"/>
      <c r="CH164" s="255"/>
      <c r="CI164" s="251"/>
      <c r="CJ164" s="251"/>
      <c r="CK164" s="251"/>
      <c r="CL164" s="251"/>
      <c r="CM164" s="251"/>
      <c r="CN164" s="251"/>
      <c r="CO164" s="252"/>
      <c r="CP164" s="252"/>
      <c r="CQ164" s="252"/>
      <c r="CR164" s="529"/>
      <c r="CS164" s="529"/>
      <c r="CT164" s="529"/>
      <c r="CU164" s="529"/>
      <c r="CV164" s="529"/>
      <c r="CW164" s="529"/>
      <c r="CX164" s="529"/>
      <c r="CY164" s="530"/>
      <c r="CZ164" s="252"/>
      <c r="DA164" s="252"/>
      <c r="DB164" s="252"/>
      <c r="DC164" s="249"/>
      <c r="DD164" s="637"/>
      <c r="DE164" s="637"/>
      <c r="DF164" s="637"/>
      <c r="DG164" s="637"/>
      <c r="DH164" s="637"/>
      <c r="DI164" s="637"/>
      <c r="DJ164" s="637"/>
      <c r="DK164" s="617"/>
      <c r="DL164" s="495">
        <f t="shared" ref="DL164:DL177" si="190">SUM(J164:S164)*5+SUM(V164:AF164)+AH164*4+U164*2.5+AG164/0.75</f>
        <v>0</v>
      </c>
      <c r="DM164" s="84">
        <f t="shared" ref="DM164:DM177" si="191">SUM(J164:DK164)</f>
        <v>0</v>
      </c>
      <c r="DN164" s="84">
        <f t="shared" ref="DN164:DN177" si="192">SUM(BK164:BV164,)</f>
        <v>0</v>
      </c>
      <c r="DO164" s="125">
        <f t="shared" ref="DO164:DO177" si="193">SUM(AT164:AV164)+SUM(AW164:AZ164)*5</f>
        <v>0</v>
      </c>
    </row>
    <row r="165" spans="2:123" ht="32.1" hidden="1" customHeight="1" outlineLevel="1" thickBot="1" x14ac:dyDescent="0.3">
      <c r="B165" s="816"/>
      <c r="C165" s="814"/>
      <c r="D165" s="804"/>
      <c r="E165" s="776"/>
      <c r="F165" s="246" t="s">
        <v>6</v>
      </c>
      <c r="G165" s="248" t="s">
        <v>134</v>
      </c>
      <c r="H165" s="359"/>
      <c r="I165" s="929"/>
      <c r="J165" s="249"/>
      <c r="K165" s="249"/>
      <c r="L165" s="249"/>
      <c r="M165" s="249"/>
      <c r="N165" s="249"/>
      <c r="O165" s="249"/>
      <c r="P165" s="249"/>
      <c r="Q165" s="249"/>
      <c r="R165" s="249"/>
      <c r="S165" s="249"/>
      <c r="T165" s="249"/>
      <c r="U165" s="250"/>
      <c r="V165" s="250"/>
      <c r="W165" s="250"/>
      <c r="X165" s="250"/>
      <c r="Y165" s="250"/>
      <c r="Z165" s="250"/>
      <c r="AA165" s="250"/>
      <c r="AB165" s="250"/>
      <c r="AC165" s="250"/>
      <c r="AD165" s="250"/>
      <c r="AE165" s="250"/>
      <c r="AF165" s="250"/>
      <c r="AG165" s="250"/>
      <c r="AH165" s="250"/>
      <c r="AI165" s="250"/>
      <c r="AJ165" s="250"/>
      <c r="AK165" s="250"/>
      <c r="AL165" s="250"/>
      <c r="AM165" s="250"/>
      <c r="AN165" s="250"/>
      <c r="AO165" s="250"/>
      <c r="AP165" s="251"/>
      <c r="AQ165" s="251"/>
      <c r="AR165" s="251"/>
      <c r="AS165" s="251"/>
      <c r="AT165" s="251"/>
      <c r="AU165" s="252"/>
      <c r="AV165" s="252"/>
      <c r="AW165" s="252"/>
      <c r="AX165" s="252"/>
      <c r="AY165" s="252"/>
      <c r="AZ165" s="252"/>
      <c r="BA165" s="253"/>
      <c r="BB165" s="253"/>
      <c r="BC165" s="253"/>
      <c r="BD165" s="253"/>
      <c r="BE165" s="367"/>
      <c r="BF165" s="249"/>
      <c r="BG165" s="249"/>
      <c r="BH165" s="249"/>
      <c r="BI165" s="249"/>
      <c r="BJ165" s="254"/>
      <c r="BK165" s="250"/>
      <c r="BL165" s="250"/>
      <c r="BM165" s="250"/>
      <c r="BN165" s="250"/>
      <c r="BO165" s="250"/>
      <c r="BP165" s="250"/>
      <c r="BQ165" s="250"/>
      <c r="BR165" s="250"/>
      <c r="BS165" s="250"/>
      <c r="BT165" s="250"/>
      <c r="BU165" s="250"/>
      <c r="BV165" s="250"/>
      <c r="BW165" s="251"/>
      <c r="BX165" s="251"/>
      <c r="BY165" s="251"/>
      <c r="BZ165" s="251"/>
      <c r="CA165" s="251"/>
      <c r="CB165" s="251"/>
      <c r="CC165" s="251"/>
      <c r="CD165" s="251"/>
      <c r="CE165" s="251"/>
      <c r="CF165" s="251"/>
      <c r="CG165" s="251"/>
      <c r="CH165" s="255"/>
      <c r="CI165" s="251"/>
      <c r="CJ165" s="251"/>
      <c r="CK165" s="251"/>
      <c r="CL165" s="251"/>
      <c r="CM165" s="251"/>
      <c r="CN165" s="251"/>
      <c r="CO165" s="252"/>
      <c r="CP165" s="252"/>
      <c r="CQ165" s="252"/>
      <c r="CR165" s="529"/>
      <c r="CS165" s="529"/>
      <c r="CT165" s="529"/>
      <c r="CU165" s="529"/>
      <c r="CV165" s="529"/>
      <c r="CW165" s="529"/>
      <c r="CX165" s="529"/>
      <c r="CY165" s="530"/>
      <c r="CZ165" s="252"/>
      <c r="DA165" s="252"/>
      <c r="DB165" s="252"/>
      <c r="DC165" s="249"/>
      <c r="DD165" s="637"/>
      <c r="DE165" s="637"/>
      <c r="DF165" s="637"/>
      <c r="DG165" s="637"/>
      <c r="DH165" s="637"/>
      <c r="DI165" s="637"/>
      <c r="DJ165" s="637"/>
      <c r="DK165" s="617"/>
      <c r="DL165" s="495">
        <f t="shared" si="190"/>
        <v>0</v>
      </c>
      <c r="DM165" s="84">
        <f t="shared" si="191"/>
        <v>0</v>
      </c>
      <c r="DN165" s="84">
        <f t="shared" si="192"/>
        <v>0</v>
      </c>
      <c r="DO165" s="125">
        <f t="shared" si="193"/>
        <v>0</v>
      </c>
    </row>
    <row r="166" spans="2:123" ht="32.1" hidden="1" customHeight="1" outlineLevel="1" thickBot="1" x14ac:dyDescent="0.3">
      <c r="B166" s="816"/>
      <c r="C166" s="814"/>
      <c r="D166" s="804"/>
      <c r="E166" s="777"/>
      <c r="F166" s="400" t="s">
        <v>6</v>
      </c>
      <c r="G166" s="401" t="s">
        <v>134</v>
      </c>
      <c r="H166" s="359"/>
      <c r="I166" s="925"/>
      <c r="J166" s="261"/>
      <c r="K166" s="261"/>
      <c r="L166" s="261"/>
      <c r="M166" s="261"/>
      <c r="N166" s="261"/>
      <c r="O166" s="261"/>
      <c r="P166" s="261"/>
      <c r="Q166" s="261"/>
      <c r="R166" s="261"/>
      <c r="S166" s="261"/>
      <c r="T166" s="261"/>
      <c r="U166" s="262"/>
      <c r="V166" s="262"/>
      <c r="W166" s="262"/>
      <c r="X166" s="262"/>
      <c r="Y166" s="262"/>
      <c r="Z166" s="262"/>
      <c r="AA166" s="262"/>
      <c r="AB166" s="262"/>
      <c r="AC166" s="262"/>
      <c r="AD166" s="262"/>
      <c r="AE166" s="262"/>
      <c r="AF166" s="262"/>
      <c r="AG166" s="262"/>
      <c r="AH166" s="262"/>
      <c r="AI166" s="262"/>
      <c r="AJ166" s="262"/>
      <c r="AK166" s="262"/>
      <c r="AL166" s="262"/>
      <c r="AM166" s="262"/>
      <c r="AN166" s="262"/>
      <c r="AO166" s="262"/>
      <c r="AP166" s="263"/>
      <c r="AQ166" s="263"/>
      <c r="AR166" s="263"/>
      <c r="AS166" s="263"/>
      <c r="AT166" s="263"/>
      <c r="AU166" s="264"/>
      <c r="AV166" s="264"/>
      <c r="AW166" s="264"/>
      <c r="AX166" s="264"/>
      <c r="AY166" s="264"/>
      <c r="AZ166" s="264"/>
      <c r="BA166" s="265"/>
      <c r="BB166" s="265"/>
      <c r="BC166" s="265"/>
      <c r="BD166" s="265"/>
      <c r="BE166" s="459"/>
      <c r="BF166" s="261"/>
      <c r="BG166" s="261"/>
      <c r="BH166" s="261"/>
      <c r="BI166" s="261"/>
      <c r="BJ166" s="266"/>
      <c r="BK166" s="262"/>
      <c r="BL166" s="262"/>
      <c r="BM166" s="262"/>
      <c r="BN166" s="262"/>
      <c r="BO166" s="262"/>
      <c r="BP166" s="262"/>
      <c r="BQ166" s="262"/>
      <c r="BR166" s="262"/>
      <c r="BS166" s="262"/>
      <c r="BT166" s="262"/>
      <c r="BU166" s="262"/>
      <c r="BV166" s="262"/>
      <c r="BW166" s="263"/>
      <c r="BX166" s="263"/>
      <c r="BY166" s="263"/>
      <c r="BZ166" s="263"/>
      <c r="CA166" s="263"/>
      <c r="CB166" s="263"/>
      <c r="CC166" s="263"/>
      <c r="CD166" s="263"/>
      <c r="CE166" s="263"/>
      <c r="CF166" s="263"/>
      <c r="CG166" s="263"/>
      <c r="CH166" s="267"/>
      <c r="CI166" s="263"/>
      <c r="CJ166" s="263"/>
      <c r="CK166" s="263"/>
      <c r="CL166" s="263"/>
      <c r="CM166" s="263"/>
      <c r="CN166" s="263"/>
      <c r="CO166" s="264"/>
      <c r="CP166" s="264"/>
      <c r="CQ166" s="264"/>
      <c r="CR166" s="531"/>
      <c r="CS166" s="531"/>
      <c r="CT166" s="531"/>
      <c r="CU166" s="531"/>
      <c r="CV166" s="531"/>
      <c r="CW166" s="531"/>
      <c r="CX166" s="531"/>
      <c r="CY166" s="532"/>
      <c r="CZ166" s="264"/>
      <c r="DA166" s="264"/>
      <c r="DB166" s="264"/>
      <c r="DC166" s="261"/>
      <c r="DD166" s="627"/>
      <c r="DE166" s="627"/>
      <c r="DF166" s="627"/>
      <c r="DG166" s="627"/>
      <c r="DH166" s="627"/>
      <c r="DI166" s="627"/>
      <c r="DJ166" s="627"/>
      <c r="DK166" s="618"/>
      <c r="DL166" s="496">
        <f t="shared" si="190"/>
        <v>0</v>
      </c>
      <c r="DM166" s="120">
        <f t="shared" si="191"/>
        <v>0</v>
      </c>
      <c r="DN166" s="120">
        <f t="shared" si="192"/>
        <v>0</v>
      </c>
      <c r="DO166" s="358">
        <f t="shared" si="193"/>
        <v>0</v>
      </c>
    </row>
    <row r="167" spans="2:123" ht="32.1" hidden="1" customHeight="1" outlineLevel="1" thickBot="1" x14ac:dyDescent="0.3">
      <c r="B167" s="816"/>
      <c r="C167" s="814"/>
      <c r="D167" s="804"/>
      <c r="E167" s="776" t="s">
        <v>136</v>
      </c>
      <c r="F167" s="236" t="s">
        <v>6</v>
      </c>
      <c r="G167" s="238" t="s">
        <v>134</v>
      </c>
      <c r="H167" s="425"/>
      <c r="I167" s="922" t="s">
        <v>146</v>
      </c>
      <c r="J167" s="407"/>
      <c r="K167" s="407"/>
      <c r="L167" s="407"/>
      <c r="M167" s="407"/>
      <c r="N167" s="407"/>
      <c r="O167" s="407"/>
      <c r="P167" s="407"/>
      <c r="Q167" s="407"/>
      <c r="R167" s="407"/>
      <c r="S167" s="407"/>
      <c r="T167" s="407"/>
      <c r="U167" s="408"/>
      <c r="V167" s="408"/>
      <c r="W167" s="408"/>
      <c r="X167" s="408"/>
      <c r="Y167" s="408"/>
      <c r="Z167" s="408"/>
      <c r="AA167" s="408"/>
      <c r="AB167" s="408"/>
      <c r="AC167" s="408"/>
      <c r="AD167" s="408"/>
      <c r="AE167" s="408"/>
      <c r="AF167" s="408"/>
      <c r="AG167" s="408"/>
      <c r="AH167" s="408"/>
      <c r="AI167" s="408"/>
      <c r="AJ167" s="408"/>
      <c r="AK167" s="408"/>
      <c r="AL167" s="408"/>
      <c r="AM167" s="408"/>
      <c r="AN167" s="408"/>
      <c r="AO167" s="408"/>
      <c r="AP167" s="409"/>
      <c r="AQ167" s="409"/>
      <c r="AR167" s="409"/>
      <c r="AS167" s="409"/>
      <c r="AT167" s="409"/>
      <c r="AU167" s="410"/>
      <c r="AV167" s="410"/>
      <c r="AW167" s="410"/>
      <c r="AX167" s="410"/>
      <c r="AY167" s="410"/>
      <c r="AZ167" s="410"/>
      <c r="BA167" s="411"/>
      <c r="BB167" s="411"/>
      <c r="BC167" s="411"/>
      <c r="BD167" s="411"/>
      <c r="BE167" s="461"/>
      <c r="BF167" s="407"/>
      <c r="BG167" s="407"/>
      <c r="BH167" s="407"/>
      <c r="BI167" s="407"/>
      <c r="BJ167" s="412"/>
      <c r="BK167" s="408"/>
      <c r="BL167" s="408"/>
      <c r="BM167" s="408"/>
      <c r="BN167" s="408"/>
      <c r="BO167" s="408"/>
      <c r="BP167" s="408"/>
      <c r="BQ167" s="408"/>
      <c r="BR167" s="408"/>
      <c r="BS167" s="408"/>
      <c r="BT167" s="408"/>
      <c r="BU167" s="408"/>
      <c r="BV167" s="408"/>
      <c r="BW167" s="409"/>
      <c r="BX167" s="409"/>
      <c r="BY167" s="409"/>
      <c r="BZ167" s="409"/>
      <c r="CA167" s="409"/>
      <c r="CB167" s="409"/>
      <c r="CC167" s="409"/>
      <c r="CD167" s="409"/>
      <c r="CE167" s="409"/>
      <c r="CF167" s="409"/>
      <c r="CG167" s="409"/>
      <c r="CH167" s="414"/>
      <c r="CI167" s="409"/>
      <c r="CJ167" s="409"/>
      <c r="CK167" s="409"/>
      <c r="CL167" s="409"/>
      <c r="CM167" s="409"/>
      <c r="CN167" s="409"/>
      <c r="CO167" s="410"/>
      <c r="CP167" s="410"/>
      <c r="CQ167" s="410"/>
      <c r="CR167" s="533"/>
      <c r="CS167" s="533"/>
      <c r="CT167" s="533"/>
      <c r="CU167" s="533"/>
      <c r="CV167" s="533"/>
      <c r="CW167" s="533"/>
      <c r="CX167" s="533"/>
      <c r="CY167" s="534"/>
      <c r="CZ167" s="410"/>
      <c r="DA167" s="410"/>
      <c r="DB167" s="410"/>
      <c r="DC167" s="407"/>
      <c r="DD167" s="638"/>
      <c r="DE167" s="638"/>
      <c r="DF167" s="638"/>
      <c r="DG167" s="638"/>
      <c r="DH167" s="638"/>
      <c r="DI167" s="638"/>
      <c r="DJ167" s="638"/>
      <c r="DK167" s="619"/>
      <c r="DL167" s="494">
        <f t="shared" si="190"/>
        <v>0</v>
      </c>
      <c r="DM167" s="122">
        <f t="shared" si="191"/>
        <v>0</v>
      </c>
      <c r="DN167" s="122">
        <f t="shared" si="192"/>
        <v>0</v>
      </c>
      <c r="DO167" s="124">
        <f t="shared" si="193"/>
        <v>0</v>
      </c>
    </row>
    <row r="168" spans="2:123" ht="32.1" hidden="1" customHeight="1" outlineLevel="1" thickBot="1" x14ac:dyDescent="0.3">
      <c r="B168" s="816"/>
      <c r="C168" s="814"/>
      <c r="D168" s="804"/>
      <c r="E168" s="776"/>
      <c r="F168" s="246" t="s">
        <v>6</v>
      </c>
      <c r="G168" s="248" t="s">
        <v>134</v>
      </c>
      <c r="H168" s="359"/>
      <c r="I168" s="929" t="s">
        <v>56</v>
      </c>
      <c r="J168" s="249"/>
      <c r="K168" s="249"/>
      <c r="L168" s="249"/>
      <c r="M168" s="249"/>
      <c r="N168" s="249"/>
      <c r="O168" s="249"/>
      <c r="P168" s="249"/>
      <c r="Q168" s="249"/>
      <c r="R168" s="249"/>
      <c r="S168" s="249"/>
      <c r="T168" s="249"/>
      <c r="U168" s="250"/>
      <c r="V168" s="250"/>
      <c r="W168" s="250"/>
      <c r="X168" s="250"/>
      <c r="Y168" s="250"/>
      <c r="Z168" s="250"/>
      <c r="AA168" s="250"/>
      <c r="AB168" s="250"/>
      <c r="AC168" s="250"/>
      <c r="AD168" s="250"/>
      <c r="AE168" s="250"/>
      <c r="AF168" s="250"/>
      <c r="AG168" s="250"/>
      <c r="AH168" s="250"/>
      <c r="AI168" s="250"/>
      <c r="AJ168" s="250"/>
      <c r="AK168" s="250"/>
      <c r="AL168" s="250"/>
      <c r="AM168" s="250"/>
      <c r="AN168" s="250"/>
      <c r="AO168" s="250"/>
      <c r="AP168" s="251"/>
      <c r="AQ168" s="251"/>
      <c r="AR168" s="251"/>
      <c r="AS168" s="251"/>
      <c r="AT168" s="251"/>
      <c r="AU168" s="252"/>
      <c r="AV168" s="252"/>
      <c r="AW168" s="252"/>
      <c r="AX168" s="252"/>
      <c r="AY168" s="252"/>
      <c r="AZ168" s="252"/>
      <c r="BA168" s="253"/>
      <c r="BB168" s="253"/>
      <c r="BC168" s="253"/>
      <c r="BD168" s="253"/>
      <c r="BE168" s="367"/>
      <c r="BF168" s="249"/>
      <c r="BG168" s="249"/>
      <c r="BH168" s="249"/>
      <c r="BI168" s="249"/>
      <c r="BJ168" s="254"/>
      <c r="BK168" s="250"/>
      <c r="BL168" s="250"/>
      <c r="BM168" s="250"/>
      <c r="BN168" s="250"/>
      <c r="BO168" s="250"/>
      <c r="BP168" s="250"/>
      <c r="BQ168" s="250"/>
      <c r="BR168" s="250"/>
      <c r="BS168" s="250"/>
      <c r="BT168" s="250"/>
      <c r="BU168" s="250"/>
      <c r="BV168" s="250"/>
      <c r="BW168" s="251"/>
      <c r="BX168" s="251"/>
      <c r="BY168" s="251"/>
      <c r="BZ168" s="251"/>
      <c r="CA168" s="251"/>
      <c r="CB168" s="251"/>
      <c r="CC168" s="251"/>
      <c r="CD168" s="251"/>
      <c r="CE168" s="251"/>
      <c r="CF168" s="251"/>
      <c r="CG168" s="251"/>
      <c r="CH168" s="255"/>
      <c r="CI168" s="251"/>
      <c r="CJ168" s="251"/>
      <c r="CK168" s="251"/>
      <c r="CL168" s="251"/>
      <c r="CM168" s="251"/>
      <c r="CN168" s="251"/>
      <c r="CO168" s="252"/>
      <c r="CP168" s="252"/>
      <c r="CQ168" s="252"/>
      <c r="CR168" s="529"/>
      <c r="CS168" s="529"/>
      <c r="CT168" s="529"/>
      <c r="CU168" s="529"/>
      <c r="CV168" s="529"/>
      <c r="CW168" s="529"/>
      <c r="CX168" s="529"/>
      <c r="CY168" s="530"/>
      <c r="CZ168" s="252"/>
      <c r="DA168" s="252"/>
      <c r="DB168" s="252"/>
      <c r="DC168" s="249"/>
      <c r="DD168" s="637"/>
      <c r="DE168" s="637"/>
      <c r="DF168" s="637"/>
      <c r="DG168" s="637"/>
      <c r="DH168" s="637"/>
      <c r="DI168" s="637"/>
      <c r="DJ168" s="637"/>
      <c r="DK168" s="617"/>
      <c r="DL168" s="495">
        <f t="shared" si="190"/>
        <v>0</v>
      </c>
      <c r="DM168" s="84">
        <f t="shared" si="191"/>
        <v>0</v>
      </c>
      <c r="DN168" s="84">
        <f t="shared" si="192"/>
        <v>0</v>
      </c>
      <c r="DO168" s="125">
        <f t="shared" si="193"/>
        <v>0</v>
      </c>
    </row>
    <row r="169" spans="2:123" ht="32.1" hidden="1" customHeight="1" outlineLevel="1" thickBot="1" x14ac:dyDescent="0.3">
      <c r="B169" s="816"/>
      <c r="C169" s="814"/>
      <c r="D169" s="804"/>
      <c r="E169" s="776"/>
      <c r="F169" s="258" t="s">
        <v>6</v>
      </c>
      <c r="G169" s="415" t="s">
        <v>134</v>
      </c>
      <c r="H169" s="363"/>
      <c r="I169" s="960" t="s">
        <v>67</v>
      </c>
      <c r="J169" s="417"/>
      <c r="K169" s="417"/>
      <c r="L169" s="417"/>
      <c r="M169" s="417"/>
      <c r="N169" s="417"/>
      <c r="O169" s="417"/>
      <c r="P169" s="417"/>
      <c r="Q169" s="417"/>
      <c r="R169" s="417"/>
      <c r="S169" s="417"/>
      <c r="T169" s="417"/>
      <c r="U169" s="418"/>
      <c r="V169" s="418"/>
      <c r="W169" s="418"/>
      <c r="X169" s="418"/>
      <c r="Y169" s="418"/>
      <c r="Z169" s="418"/>
      <c r="AA169" s="418"/>
      <c r="AB169" s="418"/>
      <c r="AC169" s="418"/>
      <c r="AD169" s="418"/>
      <c r="AE169" s="418"/>
      <c r="AF169" s="418"/>
      <c r="AG169" s="418"/>
      <c r="AH169" s="418"/>
      <c r="AI169" s="418"/>
      <c r="AJ169" s="418"/>
      <c r="AK169" s="418"/>
      <c r="AL169" s="418"/>
      <c r="AM169" s="418"/>
      <c r="AN169" s="418"/>
      <c r="AO169" s="418"/>
      <c r="AP169" s="419"/>
      <c r="AQ169" s="419"/>
      <c r="AR169" s="419"/>
      <c r="AS169" s="419"/>
      <c r="AT169" s="419"/>
      <c r="AU169" s="420"/>
      <c r="AV169" s="420"/>
      <c r="AW169" s="420"/>
      <c r="AX169" s="420"/>
      <c r="AY169" s="420"/>
      <c r="AZ169" s="420"/>
      <c r="BA169" s="421"/>
      <c r="BB169" s="421"/>
      <c r="BC169" s="421"/>
      <c r="BD169" s="421"/>
      <c r="BE169" s="462"/>
      <c r="BF169" s="417"/>
      <c r="BG169" s="417"/>
      <c r="BH169" s="417"/>
      <c r="BI169" s="417"/>
      <c r="BJ169" s="422"/>
      <c r="BK169" s="418"/>
      <c r="BL169" s="418"/>
      <c r="BM169" s="418"/>
      <c r="BN169" s="418"/>
      <c r="BO169" s="418"/>
      <c r="BP169" s="418"/>
      <c r="BQ169" s="418"/>
      <c r="BR169" s="418"/>
      <c r="BS169" s="418"/>
      <c r="BT169" s="418"/>
      <c r="BU169" s="418"/>
      <c r="BV169" s="418"/>
      <c r="BW169" s="419"/>
      <c r="BX169" s="419"/>
      <c r="BY169" s="419"/>
      <c r="BZ169" s="419"/>
      <c r="CA169" s="419"/>
      <c r="CB169" s="419"/>
      <c r="CC169" s="419"/>
      <c r="CD169" s="419"/>
      <c r="CE169" s="419"/>
      <c r="CF169" s="419"/>
      <c r="CG169" s="419"/>
      <c r="CH169" s="424"/>
      <c r="CI169" s="419"/>
      <c r="CJ169" s="419"/>
      <c r="CK169" s="419"/>
      <c r="CL169" s="419"/>
      <c r="CM169" s="419"/>
      <c r="CN169" s="419"/>
      <c r="CO169" s="420"/>
      <c r="CP169" s="420"/>
      <c r="CQ169" s="420"/>
      <c r="CR169" s="535"/>
      <c r="CS169" s="535"/>
      <c r="CT169" s="535"/>
      <c r="CU169" s="535"/>
      <c r="CV169" s="535"/>
      <c r="CW169" s="535"/>
      <c r="CX169" s="535"/>
      <c r="CY169" s="536"/>
      <c r="CZ169" s="420"/>
      <c r="DA169" s="420"/>
      <c r="DB169" s="420"/>
      <c r="DC169" s="417"/>
      <c r="DD169" s="639"/>
      <c r="DE169" s="639"/>
      <c r="DF169" s="639"/>
      <c r="DG169" s="639"/>
      <c r="DH169" s="639"/>
      <c r="DI169" s="639"/>
      <c r="DJ169" s="639"/>
      <c r="DK169" s="620"/>
      <c r="DL169" s="497">
        <f t="shared" si="190"/>
        <v>0</v>
      </c>
      <c r="DM169" s="126">
        <f t="shared" si="191"/>
        <v>0</v>
      </c>
      <c r="DN169" s="126">
        <f t="shared" si="192"/>
        <v>0</v>
      </c>
      <c r="DO169" s="127">
        <f t="shared" si="193"/>
        <v>0</v>
      </c>
    </row>
    <row r="170" spans="2:123" ht="32.1" hidden="1" customHeight="1" outlineLevel="1" thickBot="1" x14ac:dyDescent="0.3">
      <c r="B170" s="816"/>
      <c r="C170" s="814"/>
      <c r="D170" s="804"/>
      <c r="E170" s="776" t="s">
        <v>137</v>
      </c>
      <c r="F170" s="236" t="s">
        <v>6</v>
      </c>
      <c r="G170" s="238" t="s">
        <v>134</v>
      </c>
      <c r="H170" s="425"/>
      <c r="I170" s="922" t="s">
        <v>219</v>
      </c>
      <c r="J170" s="407"/>
      <c r="K170" s="407"/>
      <c r="L170" s="407"/>
      <c r="M170" s="407"/>
      <c r="N170" s="407"/>
      <c r="O170" s="407"/>
      <c r="P170" s="407"/>
      <c r="Q170" s="407"/>
      <c r="R170" s="407"/>
      <c r="S170" s="407"/>
      <c r="T170" s="407"/>
      <c r="U170" s="408"/>
      <c r="V170" s="408"/>
      <c r="W170" s="408"/>
      <c r="X170" s="408"/>
      <c r="Y170" s="408"/>
      <c r="Z170" s="408"/>
      <c r="AA170" s="408"/>
      <c r="AB170" s="408"/>
      <c r="AC170" s="408"/>
      <c r="AD170" s="408"/>
      <c r="AE170" s="408"/>
      <c r="AF170" s="408"/>
      <c r="AG170" s="408"/>
      <c r="AH170" s="408"/>
      <c r="AI170" s="408"/>
      <c r="AJ170" s="408"/>
      <c r="AK170" s="408"/>
      <c r="AL170" s="408"/>
      <c r="AM170" s="408"/>
      <c r="AN170" s="408"/>
      <c r="AO170" s="408"/>
      <c r="AP170" s="409"/>
      <c r="AQ170" s="409"/>
      <c r="AR170" s="409"/>
      <c r="AS170" s="409"/>
      <c r="AT170" s="409"/>
      <c r="AU170" s="410"/>
      <c r="AV170" s="410"/>
      <c r="AW170" s="410"/>
      <c r="AX170" s="410"/>
      <c r="AY170" s="410"/>
      <c r="AZ170" s="410"/>
      <c r="BA170" s="411"/>
      <c r="BB170" s="411"/>
      <c r="BC170" s="411"/>
      <c r="BD170" s="411"/>
      <c r="BE170" s="461"/>
      <c r="BF170" s="407"/>
      <c r="BG170" s="407"/>
      <c r="BH170" s="407"/>
      <c r="BI170" s="407"/>
      <c r="BJ170" s="412"/>
      <c r="BK170" s="408"/>
      <c r="BL170" s="408"/>
      <c r="BM170" s="408"/>
      <c r="BN170" s="408"/>
      <c r="BO170" s="408"/>
      <c r="BP170" s="408"/>
      <c r="BQ170" s="408"/>
      <c r="BR170" s="408"/>
      <c r="BS170" s="408"/>
      <c r="BT170" s="408"/>
      <c r="BU170" s="408"/>
      <c r="BV170" s="408"/>
      <c r="BW170" s="409"/>
      <c r="BX170" s="409"/>
      <c r="BY170" s="409"/>
      <c r="BZ170" s="409"/>
      <c r="CA170" s="409"/>
      <c r="CB170" s="409"/>
      <c r="CC170" s="409"/>
      <c r="CD170" s="409"/>
      <c r="CE170" s="409"/>
      <c r="CF170" s="409"/>
      <c r="CG170" s="409"/>
      <c r="CH170" s="414"/>
      <c r="CI170" s="409"/>
      <c r="CJ170" s="409"/>
      <c r="CK170" s="409"/>
      <c r="CL170" s="409"/>
      <c r="CM170" s="409"/>
      <c r="CN170" s="409"/>
      <c r="CO170" s="410"/>
      <c r="CP170" s="410"/>
      <c r="CQ170" s="410"/>
      <c r="CR170" s="533"/>
      <c r="CS170" s="533"/>
      <c r="CT170" s="533"/>
      <c r="CU170" s="533"/>
      <c r="CV170" s="533"/>
      <c r="CW170" s="533"/>
      <c r="CX170" s="533"/>
      <c r="CY170" s="534"/>
      <c r="CZ170" s="410"/>
      <c r="DA170" s="410"/>
      <c r="DB170" s="410"/>
      <c r="DC170" s="407"/>
      <c r="DD170" s="638"/>
      <c r="DE170" s="638"/>
      <c r="DF170" s="638"/>
      <c r="DG170" s="638"/>
      <c r="DH170" s="638"/>
      <c r="DI170" s="638"/>
      <c r="DJ170" s="638"/>
      <c r="DK170" s="619"/>
      <c r="DL170" s="494">
        <f t="shared" si="190"/>
        <v>0</v>
      </c>
      <c r="DM170" s="122">
        <f t="shared" si="191"/>
        <v>0</v>
      </c>
      <c r="DN170" s="122">
        <f t="shared" si="192"/>
        <v>0</v>
      </c>
      <c r="DO170" s="124">
        <f t="shared" si="193"/>
        <v>0</v>
      </c>
    </row>
    <row r="171" spans="2:123" ht="32.1" hidden="1" customHeight="1" outlineLevel="1" thickBot="1" x14ac:dyDescent="0.3">
      <c r="B171" s="816"/>
      <c r="C171" s="814"/>
      <c r="D171" s="804"/>
      <c r="E171" s="776"/>
      <c r="F171" s="246" t="s">
        <v>6</v>
      </c>
      <c r="G171" s="248" t="s">
        <v>134</v>
      </c>
      <c r="H171" s="359"/>
      <c r="I171" s="929" t="s">
        <v>220</v>
      </c>
      <c r="J171" s="249"/>
      <c r="K171" s="249"/>
      <c r="L171" s="249"/>
      <c r="M171" s="249"/>
      <c r="N171" s="249"/>
      <c r="O171" s="249"/>
      <c r="P171" s="249"/>
      <c r="Q171" s="249"/>
      <c r="R171" s="249"/>
      <c r="S171" s="249"/>
      <c r="T171" s="249"/>
      <c r="U171" s="250"/>
      <c r="V171" s="250"/>
      <c r="W171" s="250"/>
      <c r="X171" s="250"/>
      <c r="Y171" s="250"/>
      <c r="Z171" s="250"/>
      <c r="AA171" s="250"/>
      <c r="AB171" s="250"/>
      <c r="AC171" s="250"/>
      <c r="AD171" s="250"/>
      <c r="AE171" s="250"/>
      <c r="AF171" s="250"/>
      <c r="AG171" s="250"/>
      <c r="AH171" s="250"/>
      <c r="AI171" s="250"/>
      <c r="AJ171" s="250"/>
      <c r="AK171" s="250"/>
      <c r="AL171" s="250"/>
      <c r="AM171" s="250"/>
      <c r="AN171" s="250"/>
      <c r="AO171" s="250"/>
      <c r="AP171" s="251"/>
      <c r="AQ171" s="251"/>
      <c r="AR171" s="251"/>
      <c r="AS171" s="251"/>
      <c r="AT171" s="251"/>
      <c r="AU171" s="252"/>
      <c r="AV171" s="252"/>
      <c r="AW171" s="252"/>
      <c r="AX171" s="252"/>
      <c r="AY171" s="252"/>
      <c r="AZ171" s="252"/>
      <c r="BA171" s="253"/>
      <c r="BB171" s="253"/>
      <c r="BC171" s="253"/>
      <c r="BD171" s="253"/>
      <c r="BE171" s="367"/>
      <c r="BF171" s="249"/>
      <c r="BG171" s="249"/>
      <c r="BH171" s="249"/>
      <c r="BI171" s="249"/>
      <c r="BJ171" s="254"/>
      <c r="BK171" s="250"/>
      <c r="BL171" s="250"/>
      <c r="BM171" s="250"/>
      <c r="BN171" s="250"/>
      <c r="BO171" s="250"/>
      <c r="BP171" s="250"/>
      <c r="BQ171" s="250"/>
      <c r="BR171" s="250"/>
      <c r="BS171" s="250"/>
      <c r="BT171" s="250"/>
      <c r="BU171" s="250"/>
      <c r="BV171" s="250"/>
      <c r="BW171" s="251"/>
      <c r="BX171" s="251"/>
      <c r="BY171" s="251"/>
      <c r="BZ171" s="251"/>
      <c r="CA171" s="251"/>
      <c r="CB171" s="251"/>
      <c r="CC171" s="251"/>
      <c r="CD171" s="251"/>
      <c r="CE171" s="251"/>
      <c r="CF171" s="251"/>
      <c r="CG171" s="251"/>
      <c r="CH171" s="255"/>
      <c r="CI171" s="251"/>
      <c r="CJ171" s="251"/>
      <c r="CK171" s="251"/>
      <c r="CL171" s="251"/>
      <c r="CM171" s="251"/>
      <c r="CN171" s="251"/>
      <c r="CO171" s="252"/>
      <c r="CP171" s="252"/>
      <c r="CQ171" s="252"/>
      <c r="CR171" s="529"/>
      <c r="CS171" s="529"/>
      <c r="CT171" s="529"/>
      <c r="CU171" s="529"/>
      <c r="CV171" s="529"/>
      <c r="CW171" s="529"/>
      <c r="CX171" s="529"/>
      <c r="CY171" s="530"/>
      <c r="CZ171" s="252"/>
      <c r="DA171" s="252"/>
      <c r="DB171" s="252"/>
      <c r="DC171" s="249"/>
      <c r="DD171" s="637"/>
      <c r="DE171" s="637"/>
      <c r="DF171" s="637"/>
      <c r="DG171" s="637"/>
      <c r="DH171" s="637"/>
      <c r="DI171" s="637"/>
      <c r="DJ171" s="637"/>
      <c r="DK171" s="617"/>
      <c r="DL171" s="495">
        <f t="shared" si="190"/>
        <v>0</v>
      </c>
      <c r="DM171" s="84">
        <f t="shared" si="191"/>
        <v>0</v>
      </c>
      <c r="DN171" s="84">
        <f t="shared" si="192"/>
        <v>0</v>
      </c>
      <c r="DO171" s="125">
        <f t="shared" si="193"/>
        <v>0</v>
      </c>
    </row>
    <row r="172" spans="2:123" ht="32.1" hidden="1" customHeight="1" outlineLevel="1" thickBot="1" x14ac:dyDescent="0.3">
      <c r="B172" s="816"/>
      <c r="C172" s="814"/>
      <c r="D172" s="804"/>
      <c r="E172" s="776"/>
      <c r="F172" s="246" t="s">
        <v>6</v>
      </c>
      <c r="G172" s="248" t="s">
        <v>134</v>
      </c>
      <c r="H172" s="359"/>
      <c r="I172" s="929"/>
      <c r="J172" s="249"/>
      <c r="K172" s="249"/>
      <c r="L172" s="249"/>
      <c r="M172" s="249"/>
      <c r="N172" s="249"/>
      <c r="O172" s="249"/>
      <c r="P172" s="249"/>
      <c r="Q172" s="249"/>
      <c r="R172" s="249"/>
      <c r="S172" s="249"/>
      <c r="T172" s="249"/>
      <c r="U172" s="250"/>
      <c r="V172" s="250"/>
      <c r="W172" s="250"/>
      <c r="X172" s="250"/>
      <c r="Y172" s="250"/>
      <c r="Z172" s="250"/>
      <c r="AA172" s="250"/>
      <c r="AB172" s="250"/>
      <c r="AC172" s="250"/>
      <c r="AD172" s="250"/>
      <c r="AE172" s="250"/>
      <c r="AF172" s="250"/>
      <c r="AG172" s="250"/>
      <c r="AH172" s="250"/>
      <c r="AI172" s="250"/>
      <c r="AJ172" s="250"/>
      <c r="AK172" s="250"/>
      <c r="AL172" s="250"/>
      <c r="AM172" s="250"/>
      <c r="AN172" s="250"/>
      <c r="AO172" s="250"/>
      <c r="AP172" s="251"/>
      <c r="AQ172" s="251"/>
      <c r="AR172" s="251"/>
      <c r="AS172" s="251"/>
      <c r="AT172" s="251"/>
      <c r="AU172" s="252"/>
      <c r="AV172" s="252"/>
      <c r="AW172" s="252"/>
      <c r="AX172" s="252"/>
      <c r="AY172" s="252"/>
      <c r="AZ172" s="252"/>
      <c r="BA172" s="253"/>
      <c r="BB172" s="253"/>
      <c r="BC172" s="253"/>
      <c r="BD172" s="253"/>
      <c r="BE172" s="367"/>
      <c r="BF172" s="249"/>
      <c r="BG172" s="249"/>
      <c r="BH172" s="249"/>
      <c r="BI172" s="249"/>
      <c r="BJ172" s="254"/>
      <c r="BK172" s="250"/>
      <c r="BL172" s="250"/>
      <c r="BM172" s="250"/>
      <c r="BN172" s="250"/>
      <c r="BO172" s="250"/>
      <c r="BP172" s="250"/>
      <c r="BQ172" s="250"/>
      <c r="BR172" s="250"/>
      <c r="BS172" s="250"/>
      <c r="BT172" s="250"/>
      <c r="BU172" s="250"/>
      <c r="BV172" s="250"/>
      <c r="BW172" s="251"/>
      <c r="BX172" s="251"/>
      <c r="BY172" s="251"/>
      <c r="BZ172" s="251"/>
      <c r="CA172" s="251"/>
      <c r="CB172" s="251"/>
      <c r="CC172" s="251"/>
      <c r="CD172" s="251"/>
      <c r="CE172" s="251"/>
      <c r="CF172" s="251"/>
      <c r="CG172" s="251"/>
      <c r="CH172" s="255"/>
      <c r="CI172" s="251"/>
      <c r="CJ172" s="251"/>
      <c r="CK172" s="251"/>
      <c r="CL172" s="251"/>
      <c r="CM172" s="251"/>
      <c r="CN172" s="251"/>
      <c r="CO172" s="252"/>
      <c r="CP172" s="252"/>
      <c r="CQ172" s="252"/>
      <c r="CR172" s="529"/>
      <c r="CS172" s="529"/>
      <c r="CT172" s="529"/>
      <c r="CU172" s="529"/>
      <c r="CV172" s="529"/>
      <c r="CW172" s="529"/>
      <c r="CX172" s="529"/>
      <c r="CY172" s="530"/>
      <c r="CZ172" s="252"/>
      <c r="DA172" s="252"/>
      <c r="DB172" s="252"/>
      <c r="DC172" s="249"/>
      <c r="DD172" s="637"/>
      <c r="DE172" s="637"/>
      <c r="DF172" s="637"/>
      <c r="DG172" s="637"/>
      <c r="DH172" s="637"/>
      <c r="DI172" s="637"/>
      <c r="DJ172" s="637"/>
      <c r="DK172" s="617"/>
      <c r="DL172" s="495">
        <f t="shared" si="190"/>
        <v>0</v>
      </c>
      <c r="DM172" s="84">
        <f t="shared" si="191"/>
        <v>0</v>
      </c>
      <c r="DN172" s="84">
        <f t="shared" si="192"/>
        <v>0</v>
      </c>
      <c r="DO172" s="125">
        <f t="shared" si="193"/>
        <v>0</v>
      </c>
    </row>
    <row r="173" spans="2:123" ht="32.1" hidden="1" customHeight="1" outlineLevel="1" thickBot="1" x14ac:dyDescent="0.3">
      <c r="B173" s="816"/>
      <c r="C173" s="814"/>
      <c r="D173" s="804"/>
      <c r="E173" s="776"/>
      <c r="F173" s="258" t="s">
        <v>6</v>
      </c>
      <c r="G173" s="415" t="s">
        <v>134</v>
      </c>
      <c r="H173" s="416"/>
      <c r="I173" s="961"/>
      <c r="J173" s="417"/>
      <c r="K173" s="417"/>
      <c r="L173" s="417"/>
      <c r="M173" s="417"/>
      <c r="N173" s="417"/>
      <c r="O173" s="417"/>
      <c r="P173" s="417"/>
      <c r="Q173" s="417"/>
      <c r="R173" s="417"/>
      <c r="S173" s="417"/>
      <c r="T173" s="417"/>
      <c r="U173" s="418"/>
      <c r="V173" s="418"/>
      <c r="W173" s="418"/>
      <c r="X173" s="418"/>
      <c r="Y173" s="418"/>
      <c r="Z173" s="418"/>
      <c r="AA173" s="418"/>
      <c r="AB173" s="418"/>
      <c r="AC173" s="418"/>
      <c r="AD173" s="418"/>
      <c r="AE173" s="418"/>
      <c r="AF173" s="418"/>
      <c r="AG173" s="418"/>
      <c r="AH173" s="418"/>
      <c r="AI173" s="418"/>
      <c r="AJ173" s="418"/>
      <c r="AK173" s="418"/>
      <c r="AL173" s="418"/>
      <c r="AM173" s="418"/>
      <c r="AN173" s="418"/>
      <c r="AO173" s="418"/>
      <c r="AP173" s="419"/>
      <c r="AQ173" s="419"/>
      <c r="AR173" s="419"/>
      <c r="AS173" s="419"/>
      <c r="AT173" s="419"/>
      <c r="AU173" s="420"/>
      <c r="AV173" s="420"/>
      <c r="AW173" s="420"/>
      <c r="AX173" s="420"/>
      <c r="AY173" s="420"/>
      <c r="AZ173" s="420"/>
      <c r="BA173" s="421"/>
      <c r="BB173" s="421"/>
      <c r="BC173" s="421"/>
      <c r="BD173" s="421"/>
      <c r="BE173" s="462"/>
      <c r="BF173" s="417"/>
      <c r="BG173" s="417"/>
      <c r="BH173" s="417"/>
      <c r="BI173" s="417"/>
      <c r="BJ173" s="422"/>
      <c r="BK173" s="418"/>
      <c r="BL173" s="418"/>
      <c r="BM173" s="418"/>
      <c r="BN173" s="418"/>
      <c r="BO173" s="418"/>
      <c r="BP173" s="418"/>
      <c r="BQ173" s="418"/>
      <c r="BR173" s="418"/>
      <c r="BS173" s="418"/>
      <c r="BT173" s="418"/>
      <c r="BU173" s="418"/>
      <c r="BV173" s="418"/>
      <c r="BW173" s="419"/>
      <c r="BX173" s="419"/>
      <c r="BY173" s="419"/>
      <c r="BZ173" s="419"/>
      <c r="CA173" s="419"/>
      <c r="CB173" s="419"/>
      <c r="CC173" s="419"/>
      <c r="CD173" s="419"/>
      <c r="CE173" s="419"/>
      <c r="CF173" s="419"/>
      <c r="CG173" s="419"/>
      <c r="CH173" s="424"/>
      <c r="CI173" s="419"/>
      <c r="CJ173" s="419"/>
      <c r="CK173" s="419"/>
      <c r="CL173" s="419"/>
      <c r="CM173" s="419"/>
      <c r="CN173" s="419"/>
      <c r="CO173" s="420"/>
      <c r="CP173" s="420"/>
      <c r="CQ173" s="420"/>
      <c r="CR173" s="535"/>
      <c r="CS173" s="535"/>
      <c r="CT173" s="535"/>
      <c r="CU173" s="535"/>
      <c r="CV173" s="535"/>
      <c r="CW173" s="535"/>
      <c r="CX173" s="535"/>
      <c r="CY173" s="536"/>
      <c r="CZ173" s="420"/>
      <c r="DA173" s="420"/>
      <c r="DB173" s="420"/>
      <c r="DC173" s="417"/>
      <c r="DD173" s="639"/>
      <c r="DE173" s="639"/>
      <c r="DF173" s="639"/>
      <c r="DG173" s="639"/>
      <c r="DH173" s="639"/>
      <c r="DI173" s="639"/>
      <c r="DJ173" s="639"/>
      <c r="DK173" s="620"/>
      <c r="DL173" s="497">
        <f t="shared" si="190"/>
        <v>0</v>
      </c>
      <c r="DM173" s="126">
        <f t="shared" si="191"/>
        <v>0</v>
      </c>
      <c r="DN173" s="126">
        <f t="shared" si="192"/>
        <v>0</v>
      </c>
      <c r="DO173" s="127">
        <f t="shared" si="193"/>
        <v>0</v>
      </c>
    </row>
    <row r="174" spans="2:123" ht="32.1" hidden="1" customHeight="1" outlineLevel="1" thickBot="1" x14ac:dyDescent="0.3">
      <c r="B174" s="816"/>
      <c r="C174" s="814"/>
      <c r="D174" s="804"/>
      <c r="E174" s="775" t="s">
        <v>138</v>
      </c>
      <c r="F174" s="403" t="s">
        <v>6</v>
      </c>
      <c r="G174" s="404" t="s">
        <v>134</v>
      </c>
      <c r="H174" s="359"/>
      <c r="I174" s="948" t="s">
        <v>186</v>
      </c>
      <c r="J174" s="239"/>
      <c r="K174" s="239"/>
      <c r="L174" s="239"/>
      <c r="M174" s="239"/>
      <c r="N174" s="239"/>
      <c r="O174" s="239"/>
      <c r="P174" s="239"/>
      <c r="Q174" s="239"/>
      <c r="R174" s="239"/>
      <c r="S174" s="239"/>
      <c r="T174" s="239"/>
      <c r="U174" s="240"/>
      <c r="V174" s="240"/>
      <c r="W174" s="240"/>
      <c r="X174" s="240"/>
      <c r="Y174" s="240"/>
      <c r="Z174" s="240"/>
      <c r="AA174" s="240"/>
      <c r="AB174" s="240"/>
      <c r="AC174" s="240"/>
      <c r="AD174" s="240"/>
      <c r="AE174" s="240"/>
      <c r="AF174" s="240"/>
      <c r="AG174" s="240"/>
      <c r="AH174" s="240"/>
      <c r="AI174" s="240"/>
      <c r="AJ174" s="240"/>
      <c r="AK174" s="240"/>
      <c r="AL174" s="240"/>
      <c r="AM174" s="240"/>
      <c r="AN174" s="240"/>
      <c r="AO174" s="240"/>
      <c r="AP174" s="241"/>
      <c r="AQ174" s="241"/>
      <c r="AR174" s="241"/>
      <c r="AS174" s="241"/>
      <c r="AT174" s="241"/>
      <c r="AU174" s="242"/>
      <c r="AV174" s="242"/>
      <c r="AW174" s="242"/>
      <c r="AX174" s="242"/>
      <c r="AY174" s="242"/>
      <c r="AZ174" s="242"/>
      <c r="BA174" s="243"/>
      <c r="BB174" s="243"/>
      <c r="BC174" s="243"/>
      <c r="BD174" s="243"/>
      <c r="BE174" s="460"/>
      <c r="BF174" s="239"/>
      <c r="BG174" s="239"/>
      <c r="BH174" s="239"/>
      <c r="BI174" s="239"/>
      <c r="BJ174" s="244"/>
      <c r="BK174" s="240"/>
      <c r="BL174" s="240"/>
      <c r="BM174" s="240"/>
      <c r="BN174" s="240"/>
      <c r="BO174" s="240"/>
      <c r="BP174" s="240"/>
      <c r="BQ174" s="240"/>
      <c r="BR174" s="240"/>
      <c r="BS174" s="240"/>
      <c r="BT174" s="240"/>
      <c r="BU174" s="240"/>
      <c r="BV174" s="240"/>
      <c r="BW174" s="241"/>
      <c r="BX174" s="241"/>
      <c r="BY174" s="241"/>
      <c r="BZ174" s="241"/>
      <c r="CA174" s="241"/>
      <c r="CB174" s="241"/>
      <c r="CC174" s="241"/>
      <c r="CD174" s="241"/>
      <c r="CE174" s="241"/>
      <c r="CF174" s="241"/>
      <c r="CG174" s="241"/>
      <c r="CH174" s="245"/>
      <c r="CI174" s="241"/>
      <c r="CJ174" s="241"/>
      <c r="CK174" s="241"/>
      <c r="CL174" s="241"/>
      <c r="CM174" s="241"/>
      <c r="CN174" s="241"/>
      <c r="CO174" s="242"/>
      <c r="CP174" s="242"/>
      <c r="CQ174" s="242"/>
      <c r="CR174" s="527"/>
      <c r="CS174" s="527"/>
      <c r="CT174" s="527"/>
      <c r="CU174" s="527"/>
      <c r="CV174" s="527"/>
      <c r="CW174" s="527"/>
      <c r="CX174" s="527"/>
      <c r="CY174" s="528"/>
      <c r="CZ174" s="242"/>
      <c r="DA174" s="242"/>
      <c r="DB174" s="242"/>
      <c r="DC174" s="239"/>
      <c r="DD174" s="640"/>
      <c r="DE174" s="640"/>
      <c r="DF174" s="640"/>
      <c r="DG174" s="640"/>
      <c r="DH174" s="640"/>
      <c r="DI174" s="640"/>
      <c r="DJ174" s="640"/>
      <c r="DK174" s="616"/>
      <c r="DL174" s="498">
        <f t="shared" si="190"/>
        <v>0</v>
      </c>
      <c r="DM174" s="121">
        <f t="shared" si="191"/>
        <v>0</v>
      </c>
      <c r="DN174" s="121">
        <f t="shared" si="192"/>
        <v>0</v>
      </c>
      <c r="DO174" s="357">
        <f t="shared" si="193"/>
        <v>0</v>
      </c>
    </row>
    <row r="175" spans="2:123" ht="32.1" hidden="1" customHeight="1" outlineLevel="1" thickBot="1" x14ac:dyDescent="0.3">
      <c r="B175" s="816"/>
      <c r="C175" s="814"/>
      <c r="D175" s="804"/>
      <c r="E175" s="776"/>
      <c r="F175" s="246" t="s">
        <v>6</v>
      </c>
      <c r="G175" s="248" t="s">
        <v>134</v>
      </c>
      <c r="H175" s="359"/>
      <c r="I175" s="944" t="s">
        <v>94</v>
      </c>
      <c r="J175" s="249"/>
      <c r="K175" s="249"/>
      <c r="L175" s="249"/>
      <c r="M175" s="249"/>
      <c r="N175" s="249"/>
      <c r="O175" s="249"/>
      <c r="P175" s="249"/>
      <c r="Q175" s="249"/>
      <c r="R175" s="249"/>
      <c r="S175" s="249"/>
      <c r="T175" s="249"/>
      <c r="U175" s="250"/>
      <c r="V175" s="250"/>
      <c r="W175" s="250"/>
      <c r="X175" s="250"/>
      <c r="Y175" s="250"/>
      <c r="Z175" s="250"/>
      <c r="AA175" s="250"/>
      <c r="AB175" s="250"/>
      <c r="AC175" s="250"/>
      <c r="AD175" s="250"/>
      <c r="AE175" s="250"/>
      <c r="AF175" s="250"/>
      <c r="AG175" s="250"/>
      <c r="AH175" s="250"/>
      <c r="AI175" s="250"/>
      <c r="AJ175" s="250"/>
      <c r="AK175" s="250"/>
      <c r="AL175" s="250"/>
      <c r="AM175" s="250"/>
      <c r="AN175" s="250"/>
      <c r="AO175" s="250"/>
      <c r="AP175" s="251"/>
      <c r="AQ175" s="251"/>
      <c r="AR175" s="251"/>
      <c r="AS175" s="251"/>
      <c r="AT175" s="251"/>
      <c r="AU175" s="252"/>
      <c r="AV175" s="252"/>
      <c r="AW175" s="252"/>
      <c r="AX175" s="252"/>
      <c r="AY175" s="252"/>
      <c r="AZ175" s="252"/>
      <c r="BA175" s="253"/>
      <c r="BB175" s="253"/>
      <c r="BC175" s="253"/>
      <c r="BD175" s="253"/>
      <c r="BE175" s="367"/>
      <c r="BF175" s="249"/>
      <c r="BG175" s="249"/>
      <c r="BH175" s="249"/>
      <c r="BI175" s="249"/>
      <c r="BJ175" s="254"/>
      <c r="BK175" s="250"/>
      <c r="BL175" s="250"/>
      <c r="BM175" s="250"/>
      <c r="BN175" s="250"/>
      <c r="BO175" s="250"/>
      <c r="BP175" s="250"/>
      <c r="BQ175" s="250"/>
      <c r="BR175" s="250"/>
      <c r="BS175" s="250"/>
      <c r="BT175" s="250"/>
      <c r="BU175" s="250"/>
      <c r="BV175" s="250"/>
      <c r="BW175" s="251"/>
      <c r="BX175" s="251"/>
      <c r="BY175" s="251"/>
      <c r="BZ175" s="251"/>
      <c r="CA175" s="251"/>
      <c r="CB175" s="251"/>
      <c r="CC175" s="251"/>
      <c r="CD175" s="251"/>
      <c r="CE175" s="251"/>
      <c r="CF175" s="251"/>
      <c r="CG175" s="251"/>
      <c r="CH175" s="255"/>
      <c r="CI175" s="251"/>
      <c r="CJ175" s="251"/>
      <c r="CK175" s="251"/>
      <c r="CL175" s="251"/>
      <c r="CM175" s="251"/>
      <c r="CN175" s="251"/>
      <c r="CO175" s="252"/>
      <c r="CP175" s="252"/>
      <c r="CQ175" s="252"/>
      <c r="CR175" s="529"/>
      <c r="CS175" s="529"/>
      <c r="CT175" s="529"/>
      <c r="CU175" s="529"/>
      <c r="CV175" s="529"/>
      <c r="CW175" s="529"/>
      <c r="CX175" s="529"/>
      <c r="CY175" s="530"/>
      <c r="CZ175" s="252"/>
      <c r="DA175" s="252"/>
      <c r="DB175" s="252"/>
      <c r="DC175" s="249"/>
      <c r="DD175" s="637"/>
      <c r="DE175" s="637"/>
      <c r="DF175" s="637"/>
      <c r="DG175" s="637"/>
      <c r="DH175" s="637"/>
      <c r="DI175" s="637"/>
      <c r="DJ175" s="637"/>
      <c r="DK175" s="617"/>
      <c r="DL175" s="495">
        <f t="shared" si="190"/>
        <v>0</v>
      </c>
      <c r="DM175" s="84">
        <f t="shared" si="191"/>
        <v>0</v>
      </c>
      <c r="DN175" s="84">
        <f t="shared" si="192"/>
        <v>0</v>
      </c>
      <c r="DO175" s="125">
        <f t="shared" si="193"/>
        <v>0</v>
      </c>
    </row>
    <row r="176" spans="2:123" ht="32.1" hidden="1" customHeight="1" outlineLevel="1" thickBot="1" x14ac:dyDescent="0.3">
      <c r="B176" s="816"/>
      <c r="C176" s="814"/>
      <c r="D176" s="804"/>
      <c r="E176" s="776"/>
      <c r="F176" s="246" t="s">
        <v>6</v>
      </c>
      <c r="G176" s="248" t="s">
        <v>134</v>
      </c>
      <c r="H176" s="359"/>
      <c r="I176" s="929"/>
      <c r="J176" s="249"/>
      <c r="K176" s="249"/>
      <c r="L176" s="249"/>
      <c r="M176" s="249"/>
      <c r="N176" s="249"/>
      <c r="O176" s="249"/>
      <c r="P176" s="249"/>
      <c r="Q176" s="249"/>
      <c r="R176" s="249"/>
      <c r="S176" s="249"/>
      <c r="T176" s="249"/>
      <c r="U176" s="250"/>
      <c r="V176" s="250"/>
      <c r="W176" s="250"/>
      <c r="X176" s="250"/>
      <c r="Y176" s="250"/>
      <c r="Z176" s="250"/>
      <c r="AA176" s="250"/>
      <c r="AB176" s="250"/>
      <c r="AC176" s="250"/>
      <c r="AD176" s="250"/>
      <c r="AE176" s="250"/>
      <c r="AF176" s="250"/>
      <c r="AG176" s="250"/>
      <c r="AH176" s="250"/>
      <c r="AI176" s="250"/>
      <c r="AJ176" s="250"/>
      <c r="AK176" s="250"/>
      <c r="AL176" s="250"/>
      <c r="AM176" s="250"/>
      <c r="AN176" s="250"/>
      <c r="AO176" s="250"/>
      <c r="AP176" s="251"/>
      <c r="AQ176" s="251"/>
      <c r="AR176" s="257"/>
      <c r="AS176" s="251"/>
      <c r="AT176" s="251"/>
      <c r="AU176" s="252"/>
      <c r="AV176" s="252"/>
      <c r="AW176" s="252"/>
      <c r="AX176" s="252"/>
      <c r="AY176" s="252"/>
      <c r="AZ176" s="252"/>
      <c r="BA176" s="253"/>
      <c r="BB176" s="253"/>
      <c r="BC176" s="253"/>
      <c r="BD176" s="253"/>
      <c r="BE176" s="367"/>
      <c r="BF176" s="249"/>
      <c r="BG176" s="249"/>
      <c r="BH176" s="249"/>
      <c r="BI176" s="249"/>
      <c r="BJ176" s="254"/>
      <c r="BK176" s="250"/>
      <c r="BL176" s="250"/>
      <c r="BM176" s="250"/>
      <c r="BN176" s="250"/>
      <c r="BO176" s="250"/>
      <c r="BP176" s="250"/>
      <c r="BQ176" s="250"/>
      <c r="BR176" s="250"/>
      <c r="BS176" s="250"/>
      <c r="BT176" s="250"/>
      <c r="BU176" s="250"/>
      <c r="BV176" s="250"/>
      <c r="BW176" s="251"/>
      <c r="BX176" s="251"/>
      <c r="BY176" s="251"/>
      <c r="BZ176" s="251"/>
      <c r="CA176" s="251"/>
      <c r="CB176" s="251"/>
      <c r="CC176" s="251"/>
      <c r="CD176" s="251"/>
      <c r="CE176" s="251"/>
      <c r="CF176" s="251"/>
      <c r="CG176" s="251"/>
      <c r="CH176" s="255"/>
      <c r="CI176" s="251"/>
      <c r="CJ176" s="251"/>
      <c r="CK176" s="251"/>
      <c r="CL176" s="251"/>
      <c r="CM176" s="251"/>
      <c r="CN176" s="251"/>
      <c r="CO176" s="252"/>
      <c r="CP176" s="252"/>
      <c r="CQ176" s="252"/>
      <c r="CR176" s="529"/>
      <c r="CS176" s="529"/>
      <c r="CT176" s="529"/>
      <c r="CU176" s="529"/>
      <c r="CV176" s="529"/>
      <c r="CW176" s="529"/>
      <c r="CX176" s="529"/>
      <c r="CY176" s="530"/>
      <c r="CZ176" s="252"/>
      <c r="DA176" s="252"/>
      <c r="DB176" s="252"/>
      <c r="DC176" s="249"/>
      <c r="DD176" s="637"/>
      <c r="DE176" s="637"/>
      <c r="DF176" s="637"/>
      <c r="DG176" s="637"/>
      <c r="DH176" s="637"/>
      <c r="DI176" s="637"/>
      <c r="DJ176" s="637"/>
      <c r="DK176" s="617"/>
      <c r="DL176" s="495">
        <f t="shared" si="190"/>
        <v>0</v>
      </c>
      <c r="DM176" s="84">
        <f t="shared" si="191"/>
        <v>0</v>
      </c>
      <c r="DN176" s="84">
        <f t="shared" si="192"/>
        <v>0</v>
      </c>
      <c r="DO176" s="125">
        <f t="shared" si="193"/>
        <v>0</v>
      </c>
    </row>
    <row r="177" spans="2:123" ht="32.1" hidden="1" customHeight="1" outlineLevel="1" thickBot="1" x14ac:dyDescent="0.3">
      <c r="B177" s="816"/>
      <c r="C177" s="814"/>
      <c r="D177" s="794"/>
      <c r="E177" s="776"/>
      <c r="F177" s="246" t="s">
        <v>6</v>
      </c>
      <c r="G177" s="248" t="s">
        <v>134</v>
      </c>
      <c r="H177" s="361"/>
      <c r="I177" s="962"/>
      <c r="J177" s="249"/>
      <c r="K177" s="249"/>
      <c r="L177" s="249"/>
      <c r="M177" s="249"/>
      <c r="N177" s="249"/>
      <c r="O177" s="249"/>
      <c r="P177" s="249"/>
      <c r="Q177" s="249"/>
      <c r="R177" s="249"/>
      <c r="S177" s="249"/>
      <c r="T177" s="249"/>
      <c r="U177" s="250"/>
      <c r="V177" s="250"/>
      <c r="W177" s="250"/>
      <c r="X177" s="250"/>
      <c r="Y177" s="250"/>
      <c r="Z177" s="250"/>
      <c r="AA177" s="250"/>
      <c r="AB177" s="250"/>
      <c r="AC177" s="250"/>
      <c r="AD177" s="250"/>
      <c r="AE177" s="250"/>
      <c r="AF177" s="250"/>
      <c r="AG177" s="250"/>
      <c r="AH177" s="250"/>
      <c r="AI177" s="250"/>
      <c r="AJ177" s="250"/>
      <c r="AK177" s="250"/>
      <c r="AL177" s="250"/>
      <c r="AM177" s="250"/>
      <c r="AN177" s="250"/>
      <c r="AO177" s="250"/>
      <c r="AP177" s="251"/>
      <c r="AQ177" s="251"/>
      <c r="AR177" s="251"/>
      <c r="AS177" s="251"/>
      <c r="AT177" s="251"/>
      <c r="AU177" s="252"/>
      <c r="AV177" s="252"/>
      <c r="AW177" s="252"/>
      <c r="AX177" s="252"/>
      <c r="AY177" s="252"/>
      <c r="AZ177" s="252"/>
      <c r="BA177" s="253"/>
      <c r="BB177" s="253"/>
      <c r="BC177" s="253"/>
      <c r="BD177" s="253"/>
      <c r="BE177" s="249"/>
      <c r="BF177" s="249"/>
      <c r="BG177" s="249"/>
      <c r="BH177" s="249"/>
      <c r="BI177" s="249"/>
      <c r="BJ177" s="254"/>
      <c r="BK177" s="250"/>
      <c r="BL177" s="250"/>
      <c r="BM177" s="250"/>
      <c r="BN177" s="250"/>
      <c r="BO177" s="250"/>
      <c r="BP177" s="250"/>
      <c r="BQ177" s="250"/>
      <c r="BR177" s="250"/>
      <c r="BS177" s="250"/>
      <c r="BT177" s="250"/>
      <c r="BU177" s="250"/>
      <c r="BV177" s="250"/>
      <c r="BW177" s="251"/>
      <c r="BX177" s="251"/>
      <c r="BY177" s="251"/>
      <c r="BZ177" s="251"/>
      <c r="CA177" s="251"/>
      <c r="CB177" s="251"/>
      <c r="CC177" s="251"/>
      <c r="CD177" s="251"/>
      <c r="CE177" s="251"/>
      <c r="CF177" s="251"/>
      <c r="CG177" s="251"/>
      <c r="CH177" s="255"/>
      <c r="CI177" s="251"/>
      <c r="CJ177" s="251"/>
      <c r="CK177" s="251"/>
      <c r="CL177" s="251"/>
      <c r="CM177" s="251"/>
      <c r="CN177" s="251"/>
      <c r="CO177" s="252"/>
      <c r="CP177" s="252"/>
      <c r="CQ177" s="252"/>
      <c r="CR177" s="529"/>
      <c r="CS177" s="529"/>
      <c r="CT177" s="529"/>
      <c r="CU177" s="529"/>
      <c r="CV177" s="529"/>
      <c r="CW177" s="529"/>
      <c r="CX177" s="529"/>
      <c r="CY177" s="530"/>
      <c r="CZ177" s="252"/>
      <c r="DA177" s="580"/>
      <c r="DB177" s="580"/>
      <c r="DC177" s="647"/>
      <c r="DD177" s="249"/>
      <c r="DE177" s="249"/>
      <c r="DF177" s="249"/>
      <c r="DG177" s="249"/>
      <c r="DH177" s="249"/>
      <c r="DI177" s="249"/>
      <c r="DJ177" s="249"/>
      <c r="DK177" s="617"/>
      <c r="DL177" s="495">
        <f t="shared" si="190"/>
        <v>0</v>
      </c>
      <c r="DM177" s="84">
        <f t="shared" si="191"/>
        <v>0</v>
      </c>
      <c r="DN177" s="84">
        <f t="shared" si="192"/>
        <v>0</v>
      </c>
      <c r="DO177" s="125">
        <f t="shared" si="193"/>
        <v>0</v>
      </c>
    </row>
    <row r="178" spans="2:123" s="834" customFormat="1" ht="16.5" hidden="1" customHeight="1" outlineLevel="1" thickBot="1" x14ac:dyDescent="0.35">
      <c r="B178" s="816"/>
      <c r="C178" s="814"/>
      <c r="D178" s="819"/>
      <c r="E178" s="820" t="s">
        <v>254</v>
      </c>
      <c r="F178" s="821"/>
      <c r="G178" s="822"/>
      <c r="H178" s="823"/>
      <c r="I178" s="903"/>
      <c r="J178" s="824">
        <f>SUM(J164:J177)</f>
        <v>0</v>
      </c>
      <c r="K178" s="824">
        <f t="shared" ref="K178:CL178" si="194">SUM(K164:K177)</f>
        <v>0</v>
      </c>
      <c r="L178" s="824">
        <f t="shared" si="194"/>
        <v>0</v>
      </c>
      <c r="M178" s="824">
        <f t="shared" si="194"/>
        <v>0</v>
      </c>
      <c r="N178" s="824">
        <f t="shared" si="194"/>
        <v>0</v>
      </c>
      <c r="O178" s="824">
        <f t="shared" si="194"/>
        <v>0</v>
      </c>
      <c r="P178" s="824">
        <f t="shared" si="194"/>
        <v>0</v>
      </c>
      <c r="Q178" s="824">
        <f t="shared" si="194"/>
        <v>0</v>
      </c>
      <c r="R178" s="824">
        <f t="shared" si="194"/>
        <v>0</v>
      </c>
      <c r="S178" s="824">
        <f t="shared" si="194"/>
        <v>0</v>
      </c>
      <c r="T178" s="824">
        <f t="shared" si="194"/>
        <v>0</v>
      </c>
      <c r="U178" s="825">
        <f t="shared" si="194"/>
        <v>0</v>
      </c>
      <c r="V178" s="825">
        <f t="shared" si="194"/>
        <v>0</v>
      </c>
      <c r="W178" s="825">
        <f t="shared" si="194"/>
        <v>0</v>
      </c>
      <c r="X178" s="825">
        <f t="shared" si="194"/>
        <v>0</v>
      </c>
      <c r="Y178" s="825">
        <f t="shared" si="194"/>
        <v>0</v>
      </c>
      <c r="Z178" s="825">
        <f t="shared" si="194"/>
        <v>0</v>
      </c>
      <c r="AA178" s="825">
        <f t="shared" si="194"/>
        <v>0</v>
      </c>
      <c r="AB178" s="825">
        <f t="shared" ref="AB178:AD178" si="195">SUM(AB164:AB177)</f>
        <v>0</v>
      </c>
      <c r="AC178" s="825">
        <f t="shared" si="195"/>
        <v>0</v>
      </c>
      <c r="AD178" s="825">
        <f t="shared" si="195"/>
        <v>0</v>
      </c>
      <c r="AE178" s="825">
        <f t="shared" si="194"/>
        <v>0</v>
      </c>
      <c r="AF178" s="825">
        <f t="shared" si="194"/>
        <v>0</v>
      </c>
      <c r="AG178" s="825">
        <f t="shared" si="194"/>
        <v>0</v>
      </c>
      <c r="AH178" s="825">
        <f t="shared" si="194"/>
        <v>0</v>
      </c>
      <c r="AI178" s="825">
        <f t="shared" ref="AI178:AO178" si="196">SUM(AI164:AI177)</f>
        <v>0</v>
      </c>
      <c r="AJ178" s="825">
        <f t="shared" si="196"/>
        <v>0</v>
      </c>
      <c r="AK178" s="825">
        <f t="shared" si="196"/>
        <v>0</v>
      </c>
      <c r="AL178" s="825">
        <f t="shared" si="196"/>
        <v>0</v>
      </c>
      <c r="AM178" s="825">
        <f t="shared" si="196"/>
        <v>0</v>
      </c>
      <c r="AN178" s="825">
        <f t="shared" si="196"/>
        <v>0</v>
      </c>
      <c r="AO178" s="825">
        <f t="shared" si="196"/>
        <v>0</v>
      </c>
      <c r="AP178" s="826">
        <f t="shared" si="194"/>
        <v>0</v>
      </c>
      <c r="AQ178" s="826">
        <f t="shared" ref="AQ178" si="197">SUM(AQ164:AQ177)</f>
        <v>0</v>
      </c>
      <c r="AR178" s="826">
        <f t="shared" si="194"/>
        <v>0</v>
      </c>
      <c r="AS178" s="826">
        <f t="shared" si="194"/>
        <v>0</v>
      </c>
      <c r="AT178" s="826">
        <f t="shared" si="194"/>
        <v>0</v>
      </c>
      <c r="AU178" s="827">
        <f t="shared" si="194"/>
        <v>0</v>
      </c>
      <c r="AV178" s="827">
        <f t="shared" si="194"/>
        <v>0</v>
      </c>
      <c r="AW178" s="827">
        <f t="shared" si="194"/>
        <v>0</v>
      </c>
      <c r="AX178" s="827">
        <f t="shared" ref="AX178:AY178" si="198">SUM(AX164:AX177)</f>
        <v>0</v>
      </c>
      <c r="AY178" s="827">
        <f t="shared" si="198"/>
        <v>0</v>
      </c>
      <c r="AZ178" s="827">
        <f t="shared" si="194"/>
        <v>0</v>
      </c>
      <c r="BA178" s="828">
        <f t="shared" si="194"/>
        <v>0</v>
      </c>
      <c r="BB178" s="828">
        <f t="shared" si="194"/>
        <v>0</v>
      </c>
      <c r="BC178" s="828">
        <f t="shared" si="194"/>
        <v>0</v>
      </c>
      <c r="BD178" s="828">
        <f t="shared" si="194"/>
        <v>0</v>
      </c>
      <c r="BE178" s="824">
        <f t="shared" si="194"/>
        <v>0</v>
      </c>
      <c r="BF178" s="824">
        <f t="shared" si="194"/>
        <v>0</v>
      </c>
      <c r="BG178" s="824">
        <f t="shared" si="194"/>
        <v>0</v>
      </c>
      <c r="BH178" s="824">
        <f t="shared" si="194"/>
        <v>0</v>
      </c>
      <c r="BI178" s="824">
        <f t="shared" si="194"/>
        <v>0</v>
      </c>
      <c r="BJ178" s="824">
        <f t="shared" si="194"/>
        <v>0</v>
      </c>
      <c r="BK178" s="825">
        <f t="shared" si="194"/>
        <v>0</v>
      </c>
      <c r="BL178" s="825">
        <f t="shared" si="194"/>
        <v>0</v>
      </c>
      <c r="BM178" s="825">
        <f t="shared" si="194"/>
        <v>0</v>
      </c>
      <c r="BN178" s="825">
        <f t="shared" si="194"/>
        <v>0</v>
      </c>
      <c r="BO178" s="825">
        <f t="shared" si="194"/>
        <v>0</v>
      </c>
      <c r="BP178" s="825">
        <f t="shared" si="194"/>
        <v>0</v>
      </c>
      <c r="BQ178" s="825">
        <f t="shared" si="194"/>
        <v>0</v>
      </c>
      <c r="BR178" s="825">
        <f t="shared" ref="BR178" si="199">SUM(BR164:BR177)</f>
        <v>0</v>
      </c>
      <c r="BS178" s="825">
        <f t="shared" ref="BS178" si="200">SUM(BS164:BS177)</f>
        <v>0</v>
      </c>
      <c r="BT178" s="825">
        <f t="shared" si="194"/>
        <v>0</v>
      </c>
      <c r="BU178" s="825">
        <f t="shared" si="194"/>
        <v>0</v>
      </c>
      <c r="BV178" s="825">
        <f t="shared" si="194"/>
        <v>0</v>
      </c>
      <c r="BW178" s="826">
        <f t="shared" si="194"/>
        <v>0</v>
      </c>
      <c r="BX178" s="826">
        <f t="shared" si="194"/>
        <v>0</v>
      </c>
      <c r="BY178" s="826">
        <f t="shared" si="194"/>
        <v>0</v>
      </c>
      <c r="BZ178" s="826">
        <f t="shared" si="194"/>
        <v>0</v>
      </c>
      <c r="CA178" s="826">
        <f t="shared" si="194"/>
        <v>0</v>
      </c>
      <c r="CB178" s="826">
        <f t="shared" ref="CB178" si="201">SUM(CB164:CB177)</f>
        <v>0</v>
      </c>
      <c r="CC178" s="826">
        <f t="shared" si="194"/>
        <v>0</v>
      </c>
      <c r="CD178" s="826">
        <f t="shared" si="194"/>
        <v>0</v>
      </c>
      <c r="CE178" s="826">
        <f t="shared" si="194"/>
        <v>0</v>
      </c>
      <c r="CF178" s="826">
        <f t="shared" si="194"/>
        <v>0</v>
      </c>
      <c r="CG178" s="826">
        <f t="shared" si="194"/>
        <v>0</v>
      </c>
      <c r="CH178" s="826">
        <f t="shared" si="194"/>
        <v>0</v>
      </c>
      <c r="CI178" s="826">
        <f t="shared" si="194"/>
        <v>0</v>
      </c>
      <c r="CJ178" s="826">
        <f t="shared" si="194"/>
        <v>0</v>
      </c>
      <c r="CK178" s="826">
        <f t="shared" si="194"/>
        <v>0</v>
      </c>
      <c r="CL178" s="826">
        <f t="shared" si="194"/>
        <v>0</v>
      </c>
      <c r="CM178" s="826">
        <f t="shared" ref="CM178:DO178" si="202">SUM(CM164:CM177)</f>
        <v>0</v>
      </c>
      <c r="CN178" s="826">
        <f t="shared" si="202"/>
        <v>0</v>
      </c>
      <c r="CO178" s="827">
        <f t="shared" si="202"/>
        <v>0</v>
      </c>
      <c r="CP178" s="827">
        <f t="shared" si="202"/>
        <v>0</v>
      </c>
      <c r="CQ178" s="827">
        <f t="shared" si="202"/>
        <v>0</v>
      </c>
      <c r="CR178" s="827">
        <f t="shared" si="202"/>
        <v>0</v>
      </c>
      <c r="CS178" s="827">
        <f t="shared" si="202"/>
        <v>0</v>
      </c>
      <c r="CT178" s="827">
        <f t="shared" si="202"/>
        <v>0</v>
      </c>
      <c r="CU178" s="827">
        <f t="shared" si="202"/>
        <v>0</v>
      </c>
      <c r="CV178" s="827">
        <f t="shared" si="202"/>
        <v>0</v>
      </c>
      <c r="CW178" s="827">
        <f t="shared" si="202"/>
        <v>0</v>
      </c>
      <c r="CX178" s="827">
        <f t="shared" si="202"/>
        <v>0</v>
      </c>
      <c r="CY178" s="827">
        <f t="shared" si="202"/>
        <v>0</v>
      </c>
      <c r="CZ178" s="827">
        <f t="shared" si="202"/>
        <v>0</v>
      </c>
      <c r="DA178" s="827">
        <f t="shared" si="202"/>
        <v>0</v>
      </c>
      <c r="DB178" s="827">
        <f t="shared" si="202"/>
        <v>0</v>
      </c>
      <c r="DC178" s="824">
        <f t="shared" si="202"/>
        <v>0</v>
      </c>
      <c r="DD178" s="824">
        <f t="shared" si="202"/>
        <v>0</v>
      </c>
      <c r="DE178" s="824">
        <f t="shared" si="202"/>
        <v>0</v>
      </c>
      <c r="DF178" s="824">
        <f t="shared" si="202"/>
        <v>0</v>
      </c>
      <c r="DG178" s="824">
        <f t="shared" si="202"/>
        <v>0</v>
      </c>
      <c r="DH178" s="824">
        <f t="shared" si="202"/>
        <v>0</v>
      </c>
      <c r="DI178" s="824">
        <f t="shared" si="202"/>
        <v>0</v>
      </c>
      <c r="DJ178" s="824">
        <f t="shared" si="202"/>
        <v>0</v>
      </c>
      <c r="DK178" s="829">
        <f t="shared" si="202"/>
        <v>0</v>
      </c>
      <c r="DL178" s="830">
        <f t="shared" si="202"/>
        <v>0</v>
      </c>
      <c r="DM178" s="831">
        <f t="shared" si="202"/>
        <v>0</v>
      </c>
      <c r="DN178" s="831">
        <f t="shared" si="202"/>
        <v>0</v>
      </c>
      <c r="DO178" s="832">
        <f t="shared" si="202"/>
        <v>0</v>
      </c>
      <c r="DP178" s="833"/>
      <c r="DQ178" s="833"/>
      <c r="DR178" s="833"/>
      <c r="DS178" s="833"/>
    </row>
    <row r="179" spans="2:123" ht="32.1" hidden="1" customHeight="1" outlineLevel="1" x14ac:dyDescent="0.25">
      <c r="B179" s="816"/>
      <c r="C179" s="814"/>
      <c r="D179" s="799" t="s">
        <v>139</v>
      </c>
      <c r="E179" s="780" t="s">
        <v>136</v>
      </c>
      <c r="F179" s="278" t="s">
        <v>6</v>
      </c>
      <c r="G179" s="280" t="s">
        <v>139</v>
      </c>
      <c r="H179" s="353"/>
      <c r="I179" s="963" t="s">
        <v>147</v>
      </c>
      <c r="J179" s="281"/>
      <c r="K179" s="281"/>
      <c r="L179" s="281"/>
      <c r="M179" s="281"/>
      <c r="N179" s="281"/>
      <c r="O179" s="281"/>
      <c r="P179" s="281"/>
      <c r="Q179" s="281"/>
      <c r="R179" s="281"/>
      <c r="S179" s="281"/>
      <c r="T179" s="281"/>
      <c r="U179" s="282"/>
      <c r="V179" s="282"/>
      <c r="W179" s="282"/>
      <c r="X179" s="282"/>
      <c r="Y179" s="282"/>
      <c r="Z179" s="282"/>
      <c r="AA179" s="282"/>
      <c r="AB179" s="282"/>
      <c r="AC179" s="282"/>
      <c r="AD179" s="282"/>
      <c r="AE179" s="282"/>
      <c r="AF179" s="282"/>
      <c r="AG179" s="282"/>
      <c r="AH179" s="282"/>
      <c r="AI179" s="282"/>
      <c r="AJ179" s="282"/>
      <c r="AK179" s="282"/>
      <c r="AL179" s="282"/>
      <c r="AM179" s="282"/>
      <c r="AN179" s="282"/>
      <c r="AO179" s="282"/>
      <c r="AP179" s="283"/>
      <c r="AQ179" s="283"/>
      <c r="AR179" s="283"/>
      <c r="AS179" s="283"/>
      <c r="AT179" s="283"/>
      <c r="AU179" s="284"/>
      <c r="AV179" s="284"/>
      <c r="AW179" s="284"/>
      <c r="AX179" s="284"/>
      <c r="AY179" s="284"/>
      <c r="AZ179" s="284"/>
      <c r="BA179" s="285"/>
      <c r="BB179" s="285"/>
      <c r="BC179" s="285"/>
      <c r="BD179" s="285"/>
      <c r="BE179" s="281"/>
      <c r="BF179" s="281"/>
      <c r="BG179" s="281"/>
      <c r="BH179" s="281"/>
      <c r="BI179" s="281"/>
      <c r="BJ179" s="286"/>
      <c r="BK179" s="282"/>
      <c r="BL179" s="282"/>
      <c r="BM179" s="282"/>
      <c r="BN179" s="282"/>
      <c r="BO179" s="282"/>
      <c r="BP179" s="282"/>
      <c r="BQ179" s="282"/>
      <c r="BR179" s="282"/>
      <c r="BS179" s="282"/>
      <c r="BT179" s="282"/>
      <c r="BU179" s="282"/>
      <c r="BV179" s="282"/>
      <c r="BW179" s="283"/>
      <c r="BX179" s="283"/>
      <c r="BY179" s="283"/>
      <c r="BZ179" s="283"/>
      <c r="CA179" s="283"/>
      <c r="CB179" s="283"/>
      <c r="CC179" s="283"/>
      <c r="CD179" s="283"/>
      <c r="CE179" s="283"/>
      <c r="CF179" s="283"/>
      <c r="CG179" s="283"/>
      <c r="CH179" s="287"/>
      <c r="CI179" s="283"/>
      <c r="CJ179" s="283"/>
      <c r="CK179" s="283"/>
      <c r="CL179" s="283"/>
      <c r="CM179" s="283"/>
      <c r="CN179" s="283"/>
      <c r="CO179" s="284"/>
      <c r="CP179" s="284"/>
      <c r="CQ179" s="284"/>
      <c r="CR179" s="542"/>
      <c r="CS179" s="542"/>
      <c r="CT179" s="542"/>
      <c r="CU179" s="542"/>
      <c r="CV179" s="542"/>
      <c r="CW179" s="542"/>
      <c r="CX179" s="542"/>
      <c r="CY179" s="543"/>
      <c r="CZ179" s="284"/>
      <c r="DA179" s="579"/>
      <c r="DB179" s="579"/>
      <c r="DC179" s="648"/>
      <c r="DD179" s="648"/>
      <c r="DE179" s="648"/>
      <c r="DF179" s="648"/>
      <c r="DG179" s="648"/>
      <c r="DH179" s="648"/>
      <c r="DI179" s="648"/>
      <c r="DJ179" s="648"/>
      <c r="DK179" s="649"/>
      <c r="DL179" s="495">
        <f t="shared" ref="DL179:DL190" si="203">SUM(J179:S179)*5+SUM(V179:AF179)+AH179*4+U179*2.5+AG179/0.75</f>
        <v>0</v>
      </c>
      <c r="DM179" s="84">
        <f t="shared" ref="DM179:DM190" si="204">SUM(J179:DK179)</f>
        <v>0</v>
      </c>
      <c r="DN179" s="84">
        <f t="shared" ref="DN179:DN190" si="205">SUM(BK179:BV179,)</f>
        <v>0</v>
      </c>
      <c r="DO179" s="125">
        <f t="shared" ref="DO179:DO190" si="206">SUM(AT179:AV179)+SUM(AW179:AZ179)*5</f>
        <v>0</v>
      </c>
    </row>
    <row r="180" spans="2:123" ht="32.1" hidden="1" customHeight="1" outlineLevel="1" x14ac:dyDescent="0.25">
      <c r="B180" s="816"/>
      <c r="C180" s="814"/>
      <c r="D180" s="805"/>
      <c r="E180" s="785"/>
      <c r="F180" s="278" t="s">
        <v>6</v>
      </c>
      <c r="G180" s="280" t="s">
        <v>139</v>
      </c>
      <c r="H180" s="353"/>
      <c r="I180" s="963" t="s">
        <v>56</v>
      </c>
      <c r="J180" s="281"/>
      <c r="K180" s="281"/>
      <c r="L180" s="281"/>
      <c r="M180" s="281"/>
      <c r="N180" s="281"/>
      <c r="O180" s="281"/>
      <c r="P180" s="281"/>
      <c r="Q180" s="281"/>
      <c r="R180" s="281"/>
      <c r="S180" s="281"/>
      <c r="T180" s="281"/>
      <c r="U180" s="282"/>
      <c r="V180" s="282"/>
      <c r="W180" s="282"/>
      <c r="X180" s="282"/>
      <c r="Y180" s="282"/>
      <c r="Z180" s="282"/>
      <c r="AA180" s="282"/>
      <c r="AB180" s="282"/>
      <c r="AC180" s="282"/>
      <c r="AD180" s="282"/>
      <c r="AE180" s="282"/>
      <c r="AF180" s="282"/>
      <c r="AG180" s="282"/>
      <c r="AH180" s="282"/>
      <c r="AI180" s="282"/>
      <c r="AJ180" s="282"/>
      <c r="AK180" s="282"/>
      <c r="AL180" s="282"/>
      <c r="AM180" s="282"/>
      <c r="AN180" s="282"/>
      <c r="AO180" s="282"/>
      <c r="AP180" s="283"/>
      <c r="AQ180" s="283"/>
      <c r="AR180" s="283"/>
      <c r="AS180" s="283"/>
      <c r="AT180" s="283"/>
      <c r="AU180" s="284"/>
      <c r="AV180" s="284"/>
      <c r="AW180" s="284"/>
      <c r="AX180" s="284"/>
      <c r="AY180" s="284"/>
      <c r="AZ180" s="284"/>
      <c r="BA180" s="285"/>
      <c r="BB180" s="285"/>
      <c r="BC180" s="285"/>
      <c r="BD180" s="285"/>
      <c r="BE180" s="281"/>
      <c r="BF180" s="281"/>
      <c r="BG180" s="281"/>
      <c r="BH180" s="281"/>
      <c r="BI180" s="281"/>
      <c r="BJ180" s="286"/>
      <c r="BK180" s="282"/>
      <c r="BL180" s="282"/>
      <c r="BM180" s="282"/>
      <c r="BN180" s="282"/>
      <c r="BO180" s="282"/>
      <c r="BP180" s="282"/>
      <c r="BQ180" s="282"/>
      <c r="BR180" s="282"/>
      <c r="BS180" s="282"/>
      <c r="BT180" s="282"/>
      <c r="BU180" s="282"/>
      <c r="BV180" s="282"/>
      <c r="BW180" s="283"/>
      <c r="BX180" s="283"/>
      <c r="BY180" s="283"/>
      <c r="BZ180" s="283"/>
      <c r="CA180" s="283"/>
      <c r="CB180" s="283"/>
      <c r="CC180" s="283"/>
      <c r="CD180" s="283"/>
      <c r="CE180" s="283"/>
      <c r="CF180" s="283"/>
      <c r="CG180" s="283"/>
      <c r="CH180" s="287"/>
      <c r="CI180" s="283"/>
      <c r="CJ180" s="283"/>
      <c r="CK180" s="283"/>
      <c r="CL180" s="283"/>
      <c r="CM180" s="283"/>
      <c r="CN180" s="283"/>
      <c r="CO180" s="284"/>
      <c r="CP180" s="284"/>
      <c r="CQ180" s="284"/>
      <c r="CR180" s="542"/>
      <c r="CS180" s="542"/>
      <c r="CT180" s="542"/>
      <c r="CU180" s="542"/>
      <c r="CV180" s="542"/>
      <c r="CW180" s="542"/>
      <c r="CX180" s="542"/>
      <c r="CY180" s="543"/>
      <c r="CZ180" s="284"/>
      <c r="DA180" s="284"/>
      <c r="DB180" s="284"/>
      <c r="DC180" s="281"/>
      <c r="DD180" s="641"/>
      <c r="DE180" s="641"/>
      <c r="DF180" s="641"/>
      <c r="DG180" s="641"/>
      <c r="DH180" s="641"/>
      <c r="DI180" s="641"/>
      <c r="DJ180" s="641"/>
      <c r="DK180" s="629"/>
      <c r="DL180" s="495">
        <f t="shared" si="203"/>
        <v>0</v>
      </c>
      <c r="DM180" s="84">
        <f t="shared" si="204"/>
        <v>0</v>
      </c>
      <c r="DN180" s="84">
        <f t="shared" si="205"/>
        <v>0</v>
      </c>
      <c r="DO180" s="125">
        <f t="shared" si="206"/>
        <v>0</v>
      </c>
    </row>
    <row r="181" spans="2:123" ht="32.1" hidden="1" customHeight="1" outlineLevel="1" x14ac:dyDescent="0.25">
      <c r="B181" s="816"/>
      <c r="C181" s="814"/>
      <c r="D181" s="805"/>
      <c r="E181" s="785"/>
      <c r="F181" s="278" t="s">
        <v>6</v>
      </c>
      <c r="G181" s="280" t="s">
        <v>139</v>
      </c>
      <c r="H181" s="353"/>
      <c r="I181" s="964" t="s">
        <v>67</v>
      </c>
      <c r="J181" s="281"/>
      <c r="K181" s="281"/>
      <c r="L181" s="281"/>
      <c r="M181" s="281"/>
      <c r="N181" s="281"/>
      <c r="O181" s="281"/>
      <c r="P181" s="281"/>
      <c r="Q181" s="281"/>
      <c r="R181" s="281"/>
      <c r="S181" s="281"/>
      <c r="T181" s="281"/>
      <c r="U181" s="282"/>
      <c r="V181" s="282"/>
      <c r="W181" s="282"/>
      <c r="X181" s="282"/>
      <c r="Y181" s="282"/>
      <c r="Z181" s="282"/>
      <c r="AA181" s="282"/>
      <c r="AB181" s="282"/>
      <c r="AC181" s="282"/>
      <c r="AD181" s="282"/>
      <c r="AE181" s="282"/>
      <c r="AF181" s="282"/>
      <c r="AG181" s="282"/>
      <c r="AH181" s="282"/>
      <c r="AI181" s="282"/>
      <c r="AJ181" s="282"/>
      <c r="AK181" s="282"/>
      <c r="AL181" s="282"/>
      <c r="AM181" s="282"/>
      <c r="AN181" s="282"/>
      <c r="AO181" s="282"/>
      <c r="AP181" s="283"/>
      <c r="AQ181" s="283"/>
      <c r="AR181" s="283"/>
      <c r="AS181" s="283"/>
      <c r="AT181" s="283"/>
      <c r="AU181" s="284"/>
      <c r="AV181" s="284"/>
      <c r="AW181" s="284"/>
      <c r="AX181" s="284"/>
      <c r="AY181" s="284"/>
      <c r="AZ181" s="284"/>
      <c r="BA181" s="285"/>
      <c r="BB181" s="285"/>
      <c r="BC181" s="285"/>
      <c r="BD181" s="285"/>
      <c r="BE181" s="281"/>
      <c r="BF181" s="281"/>
      <c r="BG181" s="281"/>
      <c r="BH181" s="281"/>
      <c r="BI181" s="281"/>
      <c r="BJ181" s="286"/>
      <c r="BK181" s="282"/>
      <c r="BL181" s="282"/>
      <c r="BM181" s="282"/>
      <c r="BN181" s="282"/>
      <c r="BO181" s="282"/>
      <c r="BP181" s="282"/>
      <c r="BQ181" s="282"/>
      <c r="BR181" s="282"/>
      <c r="BS181" s="282"/>
      <c r="BT181" s="282"/>
      <c r="BU181" s="282"/>
      <c r="BV181" s="282"/>
      <c r="BW181" s="283"/>
      <c r="BX181" s="283"/>
      <c r="BY181" s="283"/>
      <c r="BZ181" s="283"/>
      <c r="CA181" s="283"/>
      <c r="CB181" s="283"/>
      <c r="CC181" s="283"/>
      <c r="CD181" s="283"/>
      <c r="CE181" s="283"/>
      <c r="CF181" s="283"/>
      <c r="CG181" s="283"/>
      <c r="CH181" s="287"/>
      <c r="CI181" s="283"/>
      <c r="CJ181" s="283"/>
      <c r="CK181" s="283"/>
      <c r="CL181" s="283"/>
      <c r="CM181" s="283"/>
      <c r="CN181" s="283"/>
      <c r="CO181" s="284"/>
      <c r="CP181" s="284"/>
      <c r="CQ181" s="284"/>
      <c r="CR181" s="542"/>
      <c r="CS181" s="542"/>
      <c r="CT181" s="542"/>
      <c r="CU181" s="542"/>
      <c r="CV181" s="542"/>
      <c r="CW181" s="542"/>
      <c r="CX181" s="542"/>
      <c r="CY181" s="543"/>
      <c r="CZ181" s="284"/>
      <c r="DA181" s="284"/>
      <c r="DB181" s="284"/>
      <c r="DC181" s="281"/>
      <c r="DD181" s="641"/>
      <c r="DE181" s="641"/>
      <c r="DF181" s="641"/>
      <c r="DG181" s="641"/>
      <c r="DH181" s="641"/>
      <c r="DI181" s="641"/>
      <c r="DJ181" s="641"/>
      <c r="DK181" s="629"/>
      <c r="DL181" s="495">
        <f t="shared" si="203"/>
        <v>0</v>
      </c>
      <c r="DM181" s="84">
        <f t="shared" si="204"/>
        <v>0</v>
      </c>
      <c r="DN181" s="84">
        <f t="shared" si="205"/>
        <v>0</v>
      </c>
      <c r="DO181" s="125">
        <f t="shared" si="206"/>
        <v>0</v>
      </c>
    </row>
    <row r="182" spans="2:123" ht="32.1" hidden="1" customHeight="1" outlineLevel="1" thickBot="1" x14ac:dyDescent="0.3">
      <c r="B182" s="816"/>
      <c r="C182" s="814"/>
      <c r="D182" s="805"/>
      <c r="E182" s="785"/>
      <c r="F182" s="372" t="s">
        <v>6</v>
      </c>
      <c r="G182" s="373" t="s">
        <v>139</v>
      </c>
      <c r="H182" s="353"/>
      <c r="I182" s="965"/>
      <c r="J182" s="291"/>
      <c r="K182" s="291"/>
      <c r="L182" s="291"/>
      <c r="M182" s="291"/>
      <c r="N182" s="291"/>
      <c r="O182" s="291"/>
      <c r="P182" s="291"/>
      <c r="Q182" s="291"/>
      <c r="R182" s="291"/>
      <c r="S182" s="291"/>
      <c r="T182" s="291"/>
      <c r="U182" s="292"/>
      <c r="V182" s="292"/>
      <c r="W182" s="292"/>
      <c r="X182" s="292"/>
      <c r="Y182" s="292"/>
      <c r="Z182" s="292"/>
      <c r="AA182" s="292"/>
      <c r="AB182" s="292"/>
      <c r="AC182" s="292"/>
      <c r="AD182" s="292"/>
      <c r="AE182" s="292"/>
      <c r="AF182" s="292"/>
      <c r="AG182" s="292"/>
      <c r="AH182" s="292"/>
      <c r="AI182" s="292"/>
      <c r="AJ182" s="292"/>
      <c r="AK182" s="292"/>
      <c r="AL182" s="292"/>
      <c r="AM182" s="292"/>
      <c r="AN182" s="292"/>
      <c r="AO182" s="292"/>
      <c r="AP182" s="293"/>
      <c r="AQ182" s="293"/>
      <c r="AR182" s="293"/>
      <c r="AS182" s="293"/>
      <c r="AT182" s="293"/>
      <c r="AU182" s="294"/>
      <c r="AV182" s="294"/>
      <c r="AW182" s="294"/>
      <c r="AX182" s="294"/>
      <c r="AY182" s="294"/>
      <c r="AZ182" s="294"/>
      <c r="BA182" s="295"/>
      <c r="BB182" s="295"/>
      <c r="BC182" s="295"/>
      <c r="BD182" s="295"/>
      <c r="BE182" s="291"/>
      <c r="BF182" s="291"/>
      <c r="BG182" s="291"/>
      <c r="BH182" s="291"/>
      <c r="BI182" s="291"/>
      <c r="BJ182" s="296"/>
      <c r="BK182" s="292"/>
      <c r="BL182" s="292"/>
      <c r="BM182" s="292"/>
      <c r="BN182" s="292"/>
      <c r="BO182" s="292"/>
      <c r="BP182" s="292"/>
      <c r="BQ182" s="292"/>
      <c r="BR182" s="292"/>
      <c r="BS182" s="292"/>
      <c r="BT182" s="292"/>
      <c r="BU182" s="292"/>
      <c r="BV182" s="292"/>
      <c r="BW182" s="293"/>
      <c r="BX182" s="293"/>
      <c r="BY182" s="293"/>
      <c r="BZ182" s="293"/>
      <c r="CA182" s="293"/>
      <c r="CB182" s="293"/>
      <c r="CC182" s="293"/>
      <c r="CD182" s="293"/>
      <c r="CE182" s="293"/>
      <c r="CF182" s="293"/>
      <c r="CG182" s="293"/>
      <c r="CH182" s="297"/>
      <c r="CI182" s="293"/>
      <c r="CJ182" s="293"/>
      <c r="CK182" s="293"/>
      <c r="CL182" s="293"/>
      <c r="CM182" s="293"/>
      <c r="CN182" s="293"/>
      <c r="CO182" s="294"/>
      <c r="CP182" s="294"/>
      <c r="CQ182" s="294"/>
      <c r="CR182" s="544"/>
      <c r="CS182" s="544"/>
      <c r="CT182" s="544"/>
      <c r="CU182" s="544"/>
      <c r="CV182" s="544"/>
      <c r="CW182" s="544"/>
      <c r="CX182" s="544"/>
      <c r="CY182" s="545"/>
      <c r="CZ182" s="294"/>
      <c r="DA182" s="294"/>
      <c r="DB182" s="294"/>
      <c r="DC182" s="291"/>
      <c r="DD182" s="642"/>
      <c r="DE182" s="642"/>
      <c r="DF182" s="642"/>
      <c r="DG182" s="642"/>
      <c r="DH182" s="642"/>
      <c r="DI182" s="642"/>
      <c r="DJ182" s="642"/>
      <c r="DK182" s="630"/>
      <c r="DL182" s="496">
        <f t="shared" si="203"/>
        <v>0</v>
      </c>
      <c r="DM182" s="120">
        <f t="shared" si="204"/>
        <v>0</v>
      </c>
      <c r="DN182" s="120">
        <f t="shared" si="205"/>
        <v>0</v>
      </c>
      <c r="DO182" s="358">
        <f t="shared" si="206"/>
        <v>0</v>
      </c>
    </row>
    <row r="183" spans="2:123" ht="32.1" hidden="1" customHeight="1" outlineLevel="1" thickBot="1" x14ac:dyDescent="0.3">
      <c r="B183" s="816"/>
      <c r="C183" s="814"/>
      <c r="D183" s="805"/>
      <c r="E183" s="779" t="s">
        <v>137</v>
      </c>
      <c r="F183" s="268" t="s">
        <v>6</v>
      </c>
      <c r="G183" s="270" t="s">
        <v>139</v>
      </c>
      <c r="H183" s="378"/>
      <c r="I183" s="966" t="s">
        <v>148</v>
      </c>
      <c r="J183" s="379"/>
      <c r="K183" s="379"/>
      <c r="L183" s="379"/>
      <c r="M183" s="379"/>
      <c r="N183" s="379"/>
      <c r="O183" s="379"/>
      <c r="P183" s="379"/>
      <c r="Q183" s="379"/>
      <c r="R183" s="379"/>
      <c r="S183" s="379"/>
      <c r="T183" s="379"/>
      <c r="U183" s="380"/>
      <c r="V183" s="380"/>
      <c r="W183" s="380"/>
      <c r="X183" s="380"/>
      <c r="Y183" s="380"/>
      <c r="Z183" s="380"/>
      <c r="AA183" s="380"/>
      <c r="AB183" s="380"/>
      <c r="AC183" s="380"/>
      <c r="AD183" s="380"/>
      <c r="AE183" s="380"/>
      <c r="AF183" s="380"/>
      <c r="AG183" s="380"/>
      <c r="AH183" s="380"/>
      <c r="AI183" s="380"/>
      <c r="AJ183" s="380"/>
      <c r="AK183" s="380"/>
      <c r="AL183" s="380"/>
      <c r="AM183" s="380"/>
      <c r="AN183" s="380"/>
      <c r="AO183" s="380"/>
      <c r="AP183" s="381"/>
      <c r="AQ183" s="381"/>
      <c r="AR183" s="381"/>
      <c r="AS183" s="381"/>
      <c r="AT183" s="381"/>
      <c r="AU183" s="382"/>
      <c r="AV183" s="382"/>
      <c r="AW183" s="382"/>
      <c r="AX183" s="382"/>
      <c r="AY183" s="382"/>
      <c r="AZ183" s="382"/>
      <c r="BA183" s="383"/>
      <c r="BB183" s="383"/>
      <c r="BC183" s="383"/>
      <c r="BD183" s="383"/>
      <c r="BE183" s="379"/>
      <c r="BF183" s="379"/>
      <c r="BG183" s="379"/>
      <c r="BH183" s="379"/>
      <c r="BI183" s="379"/>
      <c r="BJ183" s="384"/>
      <c r="BK183" s="380"/>
      <c r="BL183" s="380"/>
      <c r="BM183" s="380"/>
      <c r="BN183" s="380"/>
      <c r="BO183" s="380"/>
      <c r="BP183" s="380"/>
      <c r="BQ183" s="380"/>
      <c r="BR183" s="380"/>
      <c r="BS183" s="380"/>
      <c r="BT183" s="380"/>
      <c r="BU183" s="380"/>
      <c r="BV183" s="380"/>
      <c r="BW183" s="381"/>
      <c r="BX183" s="381"/>
      <c r="BY183" s="381"/>
      <c r="BZ183" s="381"/>
      <c r="CA183" s="381"/>
      <c r="CB183" s="381"/>
      <c r="CC183" s="381"/>
      <c r="CD183" s="381"/>
      <c r="CE183" s="381"/>
      <c r="CF183" s="381"/>
      <c r="CG183" s="381"/>
      <c r="CH183" s="386"/>
      <c r="CI183" s="381"/>
      <c r="CJ183" s="381"/>
      <c r="CK183" s="381"/>
      <c r="CL183" s="381"/>
      <c r="CM183" s="381"/>
      <c r="CN183" s="381"/>
      <c r="CO183" s="382"/>
      <c r="CP183" s="382"/>
      <c r="CQ183" s="382"/>
      <c r="CR183" s="546"/>
      <c r="CS183" s="546"/>
      <c r="CT183" s="546"/>
      <c r="CU183" s="546"/>
      <c r="CV183" s="546"/>
      <c r="CW183" s="546"/>
      <c r="CX183" s="546"/>
      <c r="CY183" s="547"/>
      <c r="CZ183" s="382"/>
      <c r="DA183" s="382"/>
      <c r="DB183" s="382"/>
      <c r="DC183" s="379"/>
      <c r="DD183" s="643"/>
      <c r="DE183" s="643"/>
      <c r="DF183" s="643"/>
      <c r="DG183" s="643"/>
      <c r="DH183" s="643"/>
      <c r="DI183" s="643"/>
      <c r="DJ183" s="643"/>
      <c r="DK183" s="631"/>
      <c r="DL183" s="494">
        <f t="shared" si="203"/>
        <v>0</v>
      </c>
      <c r="DM183" s="122">
        <f t="shared" si="204"/>
        <v>0</v>
      </c>
      <c r="DN183" s="122">
        <f t="shared" si="205"/>
        <v>0</v>
      </c>
      <c r="DO183" s="124">
        <f t="shared" si="206"/>
        <v>0</v>
      </c>
    </row>
    <row r="184" spans="2:123" ht="32.1" hidden="1" customHeight="1" outlineLevel="1" thickBot="1" x14ac:dyDescent="0.3">
      <c r="B184" s="816"/>
      <c r="C184" s="814"/>
      <c r="D184" s="805"/>
      <c r="E184" s="779"/>
      <c r="F184" s="278" t="s">
        <v>6</v>
      </c>
      <c r="G184" s="280" t="s">
        <v>139</v>
      </c>
      <c r="H184" s="353"/>
      <c r="I184" s="963" t="s">
        <v>176</v>
      </c>
      <c r="J184" s="281"/>
      <c r="K184" s="281"/>
      <c r="L184" s="281"/>
      <c r="M184" s="281"/>
      <c r="N184" s="281"/>
      <c r="O184" s="281"/>
      <c r="P184" s="281"/>
      <c r="Q184" s="281"/>
      <c r="R184" s="281"/>
      <c r="S184" s="281"/>
      <c r="T184" s="281"/>
      <c r="U184" s="282"/>
      <c r="V184" s="282"/>
      <c r="W184" s="282"/>
      <c r="X184" s="282"/>
      <c r="Y184" s="282"/>
      <c r="Z184" s="282"/>
      <c r="AA184" s="282"/>
      <c r="AB184" s="282"/>
      <c r="AC184" s="282"/>
      <c r="AD184" s="282"/>
      <c r="AE184" s="282"/>
      <c r="AF184" s="282"/>
      <c r="AG184" s="282"/>
      <c r="AH184" s="282"/>
      <c r="AI184" s="282"/>
      <c r="AJ184" s="282"/>
      <c r="AK184" s="282"/>
      <c r="AL184" s="282"/>
      <c r="AM184" s="282"/>
      <c r="AN184" s="282"/>
      <c r="AO184" s="282"/>
      <c r="AP184" s="283"/>
      <c r="AQ184" s="283"/>
      <c r="AR184" s="283"/>
      <c r="AS184" s="283"/>
      <c r="AT184" s="283"/>
      <c r="AU184" s="284"/>
      <c r="AV184" s="284"/>
      <c r="AW184" s="284"/>
      <c r="AX184" s="284"/>
      <c r="AY184" s="284"/>
      <c r="AZ184" s="284"/>
      <c r="BA184" s="285"/>
      <c r="BB184" s="285"/>
      <c r="BC184" s="285"/>
      <c r="BD184" s="285"/>
      <c r="BE184" s="281"/>
      <c r="BF184" s="281"/>
      <c r="BG184" s="281"/>
      <c r="BH184" s="281"/>
      <c r="BI184" s="281"/>
      <c r="BJ184" s="286"/>
      <c r="BK184" s="282"/>
      <c r="BL184" s="282"/>
      <c r="BM184" s="282"/>
      <c r="BN184" s="282"/>
      <c r="BO184" s="282"/>
      <c r="BP184" s="282"/>
      <c r="BQ184" s="282"/>
      <c r="BR184" s="282"/>
      <c r="BS184" s="282"/>
      <c r="BT184" s="282"/>
      <c r="BU184" s="282"/>
      <c r="BV184" s="282"/>
      <c r="BW184" s="283"/>
      <c r="BX184" s="283"/>
      <c r="BY184" s="283"/>
      <c r="BZ184" s="283"/>
      <c r="CA184" s="283"/>
      <c r="CB184" s="283"/>
      <c r="CC184" s="283"/>
      <c r="CD184" s="283"/>
      <c r="CE184" s="283"/>
      <c r="CF184" s="283"/>
      <c r="CG184" s="283"/>
      <c r="CH184" s="287"/>
      <c r="CI184" s="283"/>
      <c r="CJ184" s="283"/>
      <c r="CK184" s="283"/>
      <c r="CL184" s="283"/>
      <c r="CM184" s="283"/>
      <c r="CN184" s="283"/>
      <c r="CO184" s="284"/>
      <c r="CP184" s="284"/>
      <c r="CQ184" s="284"/>
      <c r="CR184" s="542"/>
      <c r="CS184" s="542"/>
      <c r="CT184" s="542"/>
      <c r="CU184" s="542"/>
      <c r="CV184" s="542"/>
      <c r="CW184" s="542"/>
      <c r="CX184" s="542"/>
      <c r="CY184" s="543"/>
      <c r="CZ184" s="284"/>
      <c r="DA184" s="284"/>
      <c r="DB184" s="284"/>
      <c r="DC184" s="281"/>
      <c r="DD184" s="641"/>
      <c r="DE184" s="641"/>
      <c r="DF184" s="641"/>
      <c r="DG184" s="641"/>
      <c r="DH184" s="641"/>
      <c r="DI184" s="641"/>
      <c r="DJ184" s="641"/>
      <c r="DK184" s="629"/>
      <c r="DL184" s="495">
        <f t="shared" si="203"/>
        <v>0</v>
      </c>
      <c r="DM184" s="84">
        <f t="shared" si="204"/>
        <v>0</v>
      </c>
      <c r="DN184" s="84">
        <f t="shared" si="205"/>
        <v>0</v>
      </c>
      <c r="DO184" s="125">
        <f t="shared" si="206"/>
        <v>0</v>
      </c>
    </row>
    <row r="185" spans="2:123" ht="32.1" hidden="1" customHeight="1" outlineLevel="1" thickBot="1" x14ac:dyDescent="0.3">
      <c r="B185" s="816"/>
      <c r="C185" s="814"/>
      <c r="D185" s="805"/>
      <c r="E185" s="779"/>
      <c r="F185" s="278" t="s">
        <v>6</v>
      </c>
      <c r="G185" s="280" t="s">
        <v>139</v>
      </c>
      <c r="H185" s="353"/>
      <c r="I185" s="963"/>
      <c r="J185" s="281"/>
      <c r="K185" s="281"/>
      <c r="L185" s="281"/>
      <c r="M185" s="281"/>
      <c r="N185" s="281"/>
      <c r="O185" s="281"/>
      <c r="P185" s="281"/>
      <c r="Q185" s="281"/>
      <c r="R185" s="281"/>
      <c r="S185" s="281"/>
      <c r="T185" s="281"/>
      <c r="U185" s="282"/>
      <c r="V185" s="282"/>
      <c r="W185" s="282"/>
      <c r="X185" s="282"/>
      <c r="Y185" s="282"/>
      <c r="Z185" s="282"/>
      <c r="AA185" s="282"/>
      <c r="AB185" s="282"/>
      <c r="AC185" s="282"/>
      <c r="AD185" s="282"/>
      <c r="AE185" s="282"/>
      <c r="AF185" s="282"/>
      <c r="AG185" s="282"/>
      <c r="AH185" s="282"/>
      <c r="AI185" s="282"/>
      <c r="AJ185" s="282"/>
      <c r="AK185" s="282"/>
      <c r="AL185" s="282"/>
      <c r="AM185" s="282"/>
      <c r="AN185" s="282"/>
      <c r="AO185" s="282"/>
      <c r="AP185" s="283"/>
      <c r="AQ185" s="283"/>
      <c r="AR185" s="283"/>
      <c r="AS185" s="283"/>
      <c r="AT185" s="283"/>
      <c r="AU185" s="284"/>
      <c r="AV185" s="284"/>
      <c r="AW185" s="284"/>
      <c r="AX185" s="284"/>
      <c r="AY185" s="284"/>
      <c r="AZ185" s="284"/>
      <c r="BA185" s="285"/>
      <c r="BB185" s="285"/>
      <c r="BC185" s="285"/>
      <c r="BD185" s="285"/>
      <c r="BE185" s="281"/>
      <c r="BF185" s="281"/>
      <c r="BG185" s="281"/>
      <c r="BH185" s="281"/>
      <c r="BI185" s="281"/>
      <c r="BJ185" s="286"/>
      <c r="BK185" s="282"/>
      <c r="BL185" s="282"/>
      <c r="BM185" s="282"/>
      <c r="BN185" s="282"/>
      <c r="BO185" s="282"/>
      <c r="BP185" s="282"/>
      <c r="BQ185" s="282"/>
      <c r="BR185" s="282"/>
      <c r="BS185" s="282"/>
      <c r="BT185" s="282"/>
      <c r="BU185" s="282"/>
      <c r="BV185" s="282"/>
      <c r="BW185" s="283"/>
      <c r="BX185" s="283"/>
      <c r="BY185" s="283"/>
      <c r="BZ185" s="283"/>
      <c r="CA185" s="283"/>
      <c r="CB185" s="283"/>
      <c r="CC185" s="283"/>
      <c r="CD185" s="283"/>
      <c r="CE185" s="283"/>
      <c r="CF185" s="283"/>
      <c r="CG185" s="283"/>
      <c r="CH185" s="287"/>
      <c r="CI185" s="283"/>
      <c r="CJ185" s="283"/>
      <c r="CK185" s="283"/>
      <c r="CL185" s="283"/>
      <c r="CM185" s="283"/>
      <c r="CN185" s="283"/>
      <c r="CO185" s="284"/>
      <c r="CP185" s="284"/>
      <c r="CQ185" s="284"/>
      <c r="CR185" s="542"/>
      <c r="CS185" s="542"/>
      <c r="CT185" s="542"/>
      <c r="CU185" s="542"/>
      <c r="CV185" s="542"/>
      <c r="CW185" s="542"/>
      <c r="CX185" s="542"/>
      <c r="CY185" s="543"/>
      <c r="CZ185" s="284"/>
      <c r="DA185" s="284"/>
      <c r="DB185" s="284"/>
      <c r="DC185" s="281"/>
      <c r="DD185" s="641"/>
      <c r="DE185" s="641"/>
      <c r="DF185" s="641"/>
      <c r="DG185" s="641"/>
      <c r="DH185" s="641"/>
      <c r="DI185" s="641"/>
      <c r="DJ185" s="641"/>
      <c r="DK185" s="629"/>
      <c r="DL185" s="495">
        <f t="shared" si="203"/>
        <v>0</v>
      </c>
      <c r="DM185" s="84">
        <f t="shared" si="204"/>
        <v>0</v>
      </c>
      <c r="DN185" s="84">
        <f t="shared" si="205"/>
        <v>0</v>
      </c>
      <c r="DO185" s="125">
        <f t="shared" si="206"/>
        <v>0</v>
      </c>
    </row>
    <row r="186" spans="2:123" ht="32.1" hidden="1" customHeight="1" outlineLevel="1" thickBot="1" x14ac:dyDescent="0.3">
      <c r="B186" s="816"/>
      <c r="C186" s="814"/>
      <c r="D186" s="805"/>
      <c r="E186" s="779"/>
      <c r="F186" s="288" t="s">
        <v>6</v>
      </c>
      <c r="G186" s="290" t="s">
        <v>139</v>
      </c>
      <c r="H186" s="371"/>
      <c r="I186" s="967"/>
      <c r="J186" s="387"/>
      <c r="K186" s="387"/>
      <c r="L186" s="387"/>
      <c r="M186" s="387"/>
      <c r="N186" s="387"/>
      <c r="O186" s="387"/>
      <c r="P186" s="387"/>
      <c r="Q186" s="387"/>
      <c r="R186" s="387"/>
      <c r="S186" s="387"/>
      <c r="T186" s="387"/>
      <c r="U186" s="388"/>
      <c r="V186" s="388"/>
      <c r="W186" s="388"/>
      <c r="X186" s="388"/>
      <c r="Y186" s="388"/>
      <c r="Z186" s="388"/>
      <c r="AA186" s="388"/>
      <c r="AB186" s="388"/>
      <c r="AC186" s="388"/>
      <c r="AD186" s="388"/>
      <c r="AE186" s="388"/>
      <c r="AF186" s="388"/>
      <c r="AG186" s="388"/>
      <c r="AH186" s="388"/>
      <c r="AI186" s="388"/>
      <c r="AJ186" s="388"/>
      <c r="AK186" s="388"/>
      <c r="AL186" s="388"/>
      <c r="AM186" s="388"/>
      <c r="AN186" s="388"/>
      <c r="AO186" s="388"/>
      <c r="AP186" s="389"/>
      <c r="AQ186" s="389"/>
      <c r="AR186" s="389"/>
      <c r="AS186" s="389"/>
      <c r="AT186" s="389"/>
      <c r="AU186" s="390"/>
      <c r="AV186" s="390"/>
      <c r="AW186" s="390"/>
      <c r="AX186" s="390"/>
      <c r="AY186" s="390"/>
      <c r="AZ186" s="390"/>
      <c r="BA186" s="391"/>
      <c r="BB186" s="391"/>
      <c r="BC186" s="391"/>
      <c r="BD186" s="391"/>
      <c r="BE186" s="387"/>
      <c r="BF186" s="387"/>
      <c r="BG186" s="387"/>
      <c r="BH186" s="387"/>
      <c r="BI186" s="387"/>
      <c r="BJ186" s="392"/>
      <c r="BK186" s="388"/>
      <c r="BL186" s="388"/>
      <c r="BM186" s="388"/>
      <c r="BN186" s="388"/>
      <c r="BO186" s="388"/>
      <c r="BP186" s="388"/>
      <c r="BQ186" s="388"/>
      <c r="BR186" s="388"/>
      <c r="BS186" s="388"/>
      <c r="BT186" s="388"/>
      <c r="BU186" s="388"/>
      <c r="BV186" s="388"/>
      <c r="BW186" s="389"/>
      <c r="BX186" s="389"/>
      <c r="BY186" s="389"/>
      <c r="BZ186" s="389"/>
      <c r="CA186" s="389"/>
      <c r="CB186" s="389"/>
      <c r="CC186" s="389"/>
      <c r="CD186" s="389"/>
      <c r="CE186" s="389"/>
      <c r="CF186" s="389"/>
      <c r="CG186" s="389"/>
      <c r="CH186" s="394"/>
      <c r="CI186" s="389"/>
      <c r="CJ186" s="389"/>
      <c r="CK186" s="389"/>
      <c r="CL186" s="389"/>
      <c r="CM186" s="389"/>
      <c r="CN186" s="389"/>
      <c r="CO186" s="390"/>
      <c r="CP186" s="390"/>
      <c r="CQ186" s="390"/>
      <c r="CR186" s="548"/>
      <c r="CS186" s="548"/>
      <c r="CT186" s="548"/>
      <c r="CU186" s="548"/>
      <c r="CV186" s="548"/>
      <c r="CW186" s="548"/>
      <c r="CX186" s="548"/>
      <c r="CY186" s="549"/>
      <c r="CZ186" s="390"/>
      <c r="DA186" s="390"/>
      <c r="DB186" s="390"/>
      <c r="DC186" s="387"/>
      <c r="DD186" s="644"/>
      <c r="DE186" s="644"/>
      <c r="DF186" s="644"/>
      <c r="DG186" s="644"/>
      <c r="DH186" s="644"/>
      <c r="DI186" s="644"/>
      <c r="DJ186" s="644"/>
      <c r="DK186" s="632"/>
      <c r="DL186" s="497">
        <f t="shared" si="203"/>
        <v>0</v>
      </c>
      <c r="DM186" s="126">
        <f t="shared" si="204"/>
        <v>0</v>
      </c>
      <c r="DN186" s="126">
        <f t="shared" si="205"/>
        <v>0</v>
      </c>
      <c r="DO186" s="127">
        <f t="shared" si="206"/>
        <v>0</v>
      </c>
    </row>
    <row r="187" spans="2:123" ht="32.1" hidden="1" customHeight="1" outlineLevel="1" thickBot="1" x14ac:dyDescent="0.3">
      <c r="B187" s="816"/>
      <c r="C187" s="814"/>
      <c r="D187" s="805"/>
      <c r="E187" s="778" t="s">
        <v>138</v>
      </c>
      <c r="F187" s="375" t="s">
        <v>6</v>
      </c>
      <c r="G187" s="376" t="s">
        <v>139</v>
      </c>
      <c r="H187" s="353"/>
      <c r="I187" s="963" t="s">
        <v>86</v>
      </c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  <c r="AF187" s="272"/>
      <c r="AG187" s="272"/>
      <c r="AH187" s="272"/>
      <c r="AI187" s="272"/>
      <c r="AJ187" s="272"/>
      <c r="AK187" s="272"/>
      <c r="AL187" s="272"/>
      <c r="AM187" s="272"/>
      <c r="AN187" s="272"/>
      <c r="AO187" s="272"/>
      <c r="AP187" s="273"/>
      <c r="AQ187" s="273"/>
      <c r="AR187" s="273"/>
      <c r="AS187" s="273"/>
      <c r="AT187" s="273"/>
      <c r="AU187" s="274"/>
      <c r="AV187" s="274"/>
      <c r="AW187" s="274"/>
      <c r="AX187" s="274"/>
      <c r="AY187" s="274"/>
      <c r="AZ187" s="274"/>
      <c r="BA187" s="275"/>
      <c r="BB187" s="275"/>
      <c r="BC187" s="275"/>
      <c r="BD187" s="275"/>
      <c r="BE187" s="271"/>
      <c r="BF187" s="271"/>
      <c r="BG187" s="271"/>
      <c r="BH187" s="271"/>
      <c r="BI187" s="271"/>
      <c r="BJ187" s="276"/>
      <c r="BK187" s="272"/>
      <c r="BL187" s="272"/>
      <c r="BM187" s="272"/>
      <c r="BN187" s="272"/>
      <c r="BO187" s="272"/>
      <c r="BP187" s="272"/>
      <c r="BQ187" s="272"/>
      <c r="BR187" s="272"/>
      <c r="BS187" s="272"/>
      <c r="BT187" s="272"/>
      <c r="BU187" s="272"/>
      <c r="BV187" s="272"/>
      <c r="BW187" s="273"/>
      <c r="BX187" s="273"/>
      <c r="BY187" s="273"/>
      <c r="BZ187" s="273"/>
      <c r="CA187" s="273"/>
      <c r="CB187" s="273"/>
      <c r="CC187" s="273"/>
      <c r="CD187" s="273"/>
      <c r="CE187" s="273"/>
      <c r="CF187" s="273"/>
      <c r="CG187" s="273"/>
      <c r="CH187" s="277"/>
      <c r="CI187" s="273"/>
      <c r="CJ187" s="273"/>
      <c r="CK187" s="273"/>
      <c r="CL187" s="273"/>
      <c r="CM187" s="273"/>
      <c r="CN187" s="273"/>
      <c r="CO187" s="274"/>
      <c r="CP187" s="274"/>
      <c r="CQ187" s="274"/>
      <c r="CR187" s="540"/>
      <c r="CS187" s="540"/>
      <c r="CT187" s="540"/>
      <c r="CU187" s="540"/>
      <c r="CV187" s="540"/>
      <c r="CW187" s="540"/>
      <c r="CX187" s="540"/>
      <c r="CY187" s="541"/>
      <c r="CZ187" s="274"/>
      <c r="DA187" s="274"/>
      <c r="DB187" s="274"/>
      <c r="DC187" s="271"/>
      <c r="DD187" s="645"/>
      <c r="DE187" s="645"/>
      <c r="DF187" s="645"/>
      <c r="DG187" s="645"/>
      <c r="DH187" s="645"/>
      <c r="DI187" s="645"/>
      <c r="DJ187" s="645"/>
      <c r="DK187" s="628"/>
      <c r="DL187" s="498">
        <f t="shared" si="203"/>
        <v>0</v>
      </c>
      <c r="DM187" s="121">
        <f t="shared" si="204"/>
        <v>0</v>
      </c>
      <c r="DN187" s="121">
        <f t="shared" si="205"/>
        <v>0</v>
      </c>
      <c r="DO187" s="357">
        <f t="shared" si="206"/>
        <v>0</v>
      </c>
    </row>
    <row r="188" spans="2:123" ht="32.1" hidden="1" customHeight="1" outlineLevel="1" thickBot="1" x14ac:dyDescent="0.3">
      <c r="B188" s="816"/>
      <c r="C188" s="814"/>
      <c r="D188" s="805"/>
      <c r="E188" s="779"/>
      <c r="F188" s="278" t="s">
        <v>6</v>
      </c>
      <c r="G188" s="280" t="s">
        <v>139</v>
      </c>
      <c r="H188" s="353"/>
      <c r="I188" s="963"/>
      <c r="J188" s="281"/>
      <c r="K188" s="281"/>
      <c r="L188" s="281"/>
      <c r="M188" s="281"/>
      <c r="N188" s="281"/>
      <c r="O188" s="281"/>
      <c r="P188" s="281"/>
      <c r="Q188" s="281"/>
      <c r="R188" s="281"/>
      <c r="S188" s="281"/>
      <c r="T188" s="281"/>
      <c r="U188" s="282"/>
      <c r="V188" s="282"/>
      <c r="W188" s="282"/>
      <c r="X188" s="282"/>
      <c r="Y188" s="282"/>
      <c r="Z188" s="282"/>
      <c r="AA188" s="282"/>
      <c r="AB188" s="282"/>
      <c r="AC188" s="282"/>
      <c r="AD188" s="282"/>
      <c r="AE188" s="282"/>
      <c r="AF188" s="282"/>
      <c r="AG188" s="282"/>
      <c r="AH188" s="282"/>
      <c r="AI188" s="282"/>
      <c r="AJ188" s="282"/>
      <c r="AK188" s="282"/>
      <c r="AL188" s="282"/>
      <c r="AM188" s="282"/>
      <c r="AN188" s="282"/>
      <c r="AO188" s="282"/>
      <c r="AP188" s="283"/>
      <c r="AQ188" s="283"/>
      <c r="AR188" s="283"/>
      <c r="AS188" s="283"/>
      <c r="AT188" s="283"/>
      <c r="AU188" s="284"/>
      <c r="AV188" s="284"/>
      <c r="AW188" s="284"/>
      <c r="AX188" s="284"/>
      <c r="AY188" s="284"/>
      <c r="AZ188" s="284"/>
      <c r="BA188" s="285"/>
      <c r="BB188" s="285"/>
      <c r="BC188" s="285"/>
      <c r="BD188" s="285"/>
      <c r="BE188" s="281"/>
      <c r="BF188" s="281"/>
      <c r="BG188" s="281"/>
      <c r="BH188" s="281"/>
      <c r="BI188" s="281"/>
      <c r="BJ188" s="286"/>
      <c r="BK188" s="282"/>
      <c r="BL188" s="282"/>
      <c r="BM188" s="282"/>
      <c r="BN188" s="282"/>
      <c r="BO188" s="282"/>
      <c r="BP188" s="282"/>
      <c r="BQ188" s="282"/>
      <c r="BR188" s="282"/>
      <c r="BS188" s="282"/>
      <c r="BT188" s="282"/>
      <c r="BU188" s="282"/>
      <c r="BV188" s="282"/>
      <c r="BW188" s="283"/>
      <c r="BX188" s="283"/>
      <c r="BY188" s="283"/>
      <c r="BZ188" s="283"/>
      <c r="CA188" s="283"/>
      <c r="CB188" s="283"/>
      <c r="CC188" s="283"/>
      <c r="CD188" s="283"/>
      <c r="CE188" s="283"/>
      <c r="CF188" s="283"/>
      <c r="CG188" s="283"/>
      <c r="CH188" s="287"/>
      <c r="CI188" s="283"/>
      <c r="CJ188" s="283"/>
      <c r="CK188" s="283"/>
      <c r="CL188" s="283"/>
      <c r="CM188" s="283"/>
      <c r="CN188" s="283"/>
      <c r="CO188" s="284"/>
      <c r="CP188" s="284"/>
      <c r="CQ188" s="284"/>
      <c r="CR188" s="542"/>
      <c r="CS188" s="542"/>
      <c r="CT188" s="542"/>
      <c r="CU188" s="542"/>
      <c r="CV188" s="542"/>
      <c r="CW188" s="542"/>
      <c r="CX188" s="542"/>
      <c r="CY188" s="543"/>
      <c r="CZ188" s="284"/>
      <c r="DA188" s="284"/>
      <c r="DB188" s="284"/>
      <c r="DC188" s="281"/>
      <c r="DD188" s="641"/>
      <c r="DE188" s="641"/>
      <c r="DF188" s="641"/>
      <c r="DG188" s="641"/>
      <c r="DH188" s="641"/>
      <c r="DI188" s="641"/>
      <c r="DJ188" s="641"/>
      <c r="DK188" s="629"/>
      <c r="DL188" s="495">
        <f t="shared" si="203"/>
        <v>0</v>
      </c>
      <c r="DM188" s="84">
        <f t="shared" si="204"/>
        <v>0</v>
      </c>
      <c r="DN188" s="84">
        <f t="shared" si="205"/>
        <v>0</v>
      </c>
      <c r="DO188" s="125">
        <f t="shared" si="206"/>
        <v>0</v>
      </c>
    </row>
    <row r="189" spans="2:123" ht="32.1" hidden="1" customHeight="1" outlineLevel="1" thickBot="1" x14ac:dyDescent="0.3">
      <c r="B189" s="816"/>
      <c r="C189" s="814"/>
      <c r="D189" s="805"/>
      <c r="E189" s="779"/>
      <c r="F189" s="278" t="s">
        <v>6</v>
      </c>
      <c r="G189" s="280" t="s">
        <v>139</v>
      </c>
      <c r="H189" s="353"/>
      <c r="I189" s="963"/>
      <c r="J189" s="281"/>
      <c r="K189" s="281"/>
      <c r="L189" s="281"/>
      <c r="M189" s="281"/>
      <c r="N189" s="281"/>
      <c r="O189" s="281"/>
      <c r="P189" s="281"/>
      <c r="Q189" s="281"/>
      <c r="R189" s="281"/>
      <c r="S189" s="281"/>
      <c r="T189" s="281"/>
      <c r="U189" s="282"/>
      <c r="V189" s="282"/>
      <c r="W189" s="282"/>
      <c r="X189" s="282"/>
      <c r="Y189" s="282"/>
      <c r="Z189" s="282"/>
      <c r="AA189" s="282"/>
      <c r="AB189" s="282"/>
      <c r="AC189" s="282"/>
      <c r="AD189" s="282"/>
      <c r="AE189" s="282"/>
      <c r="AF189" s="282"/>
      <c r="AG189" s="282"/>
      <c r="AH189" s="282"/>
      <c r="AI189" s="282"/>
      <c r="AJ189" s="282"/>
      <c r="AK189" s="282"/>
      <c r="AL189" s="282"/>
      <c r="AM189" s="282"/>
      <c r="AN189" s="282"/>
      <c r="AO189" s="282"/>
      <c r="AP189" s="283"/>
      <c r="AQ189" s="283"/>
      <c r="AR189" s="283"/>
      <c r="AS189" s="283"/>
      <c r="AT189" s="283"/>
      <c r="AU189" s="284"/>
      <c r="AV189" s="284"/>
      <c r="AW189" s="284"/>
      <c r="AX189" s="284"/>
      <c r="AY189" s="284"/>
      <c r="AZ189" s="284"/>
      <c r="BA189" s="285"/>
      <c r="BB189" s="285"/>
      <c r="BC189" s="285"/>
      <c r="BD189" s="285"/>
      <c r="BE189" s="281"/>
      <c r="BF189" s="281"/>
      <c r="BG189" s="281"/>
      <c r="BH189" s="281"/>
      <c r="BI189" s="281"/>
      <c r="BJ189" s="286"/>
      <c r="BK189" s="282"/>
      <c r="BL189" s="282"/>
      <c r="BM189" s="282"/>
      <c r="BN189" s="282"/>
      <c r="BO189" s="282"/>
      <c r="BP189" s="282"/>
      <c r="BQ189" s="282"/>
      <c r="BR189" s="282"/>
      <c r="BS189" s="282"/>
      <c r="BT189" s="282"/>
      <c r="BU189" s="282"/>
      <c r="BV189" s="282"/>
      <c r="BW189" s="283"/>
      <c r="BX189" s="283"/>
      <c r="BY189" s="283"/>
      <c r="BZ189" s="283"/>
      <c r="CA189" s="283"/>
      <c r="CB189" s="283"/>
      <c r="CC189" s="283"/>
      <c r="CD189" s="283"/>
      <c r="CE189" s="283"/>
      <c r="CF189" s="283"/>
      <c r="CG189" s="283"/>
      <c r="CH189" s="287"/>
      <c r="CI189" s="283"/>
      <c r="CJ189" s="283"/>
      <c r="CK189" s="283"/>
      <c r="CL189" s="283"/>
      <c r="CM189" s="283"/>
      <c r="CN189" s="283"/>
      <c r="CO189" s="284"/>
      <c r="CP189" s="284"/>
      <c r="CQ189" s="284"/>
      <c r="CR189" s="542"/>
      <c r="CS189" s="542"/>
      <c r="CT189" s="542"/>
      <c r="CU189" s="542"/>
      <c r="CV189" s="542"/>
      <c r="CW189" s="542"/>
      <c r="CX189" s="542"/>
      <c r="CY189" s="543"/>
      <c r="CZ189" s="284"/>
      <c r="DA189" s="284"/>
      <c r="DB189" s="284"/>
      <c r="DC189" s="281"/>
      <c r="DD189" s="641"/>
      <c r="DE189" s="641"/>
      <c r="DF189" s="641"/>
      <c r="DG189" s="641"/>
      <c r="DH189" s="641"/>
      <c r="DI189" s="641"/>
      <c r="DJ189" s="641"/>
      <c r="DK189" s="629"/>
      <c r="DL189" s="495">
        <f t="shared" si="203"/>
        <v>0</v>
      </c>
      <c r="DM189" s="84">
        <f t="shared" si="204"/>
        <v>0</v>
      </c>
      <c r="DN189" s="84">
        <f t="shared" si="205"/>
        <v>0</v>
      </c>
      <c r="DO189" s="125">
        <f t="shared" si="206"/>
        <v>0</v>
      </c>
    </row>
    <row r="190" spans="2:123" ht="32.1" hidden="1" customHeight="1" outlineLevel="1" thickBot="1" x14ac:dyDescent="0.3">
      <c r="B190" s="816"/>
      <c r="C190" s="814"/>
      <c r="D190" s="797"/>
      <c r="E190" s="779"/>
      <c r="F190" s="278" t="s">
        <v>6</v>
      </c>
      <c r="G190" s="280" t="s">
        <v>139</v>
      </c>
      <c r="H190" s="353"/>
      <c r="I190" s="968"/>
      <c r="J190" s="281"/>
      <c r="K190" s="281"/>
      <c r="L190" s="281"/>
      <c r="M190" s="281"/>
      <c r="N190" s="281"/>
      <c r="O190" s="281"/>
      <c r="P190" s="281"/>
      <c r="Q190" s="281"/>
      <c r="R190" s="281"/>
      <c r="S190" s="281"/>
      <c r="T190" s="281"/>
      <c r="U190" s="282"/>
      <c r="V190" s="282"/>
      <c r="W190" s="282"/>
      <c r="X190" s="282"/>
      <c r="Y190" s="282"/>
      <c r="Z190" s="282"/>
      <c r="AA190" s="282"/>
      <c r="AB190" s="282"/>
      <c r="AC190" s="282"/>
      <c r="AD190" s="282"/>
      <c r="AE190" s="282"/>
      <c r="AF190" s="282"/>
      <c r="AG190" s="282"/>
      <c r="AH190" s="282"/>
      <c r="AI190" s="282"/>
      <c r="AJ190" s="282"/>
      <c r="AK190" s="282"/>
      <c r="AL190" s="282"/>
      <c r="AM190" s="282"/>
      <c r="AN190" s="282"/>
      <c r="AO190" s="282"/>
      <c r="AP190" s="283"/>
      <c r="AQ190" s="283"/>
      <c r="AR190" s="283"/>
      <c r="AS190" s="283"/>
      <c r="AT190" s="283"/>
      <c r="AU190" s="284"/>
      <c r="AV190" s="284"/>
      <c r="AW190" s="284"/>
      <c r="AX190" s="284"/>
      <c r="AY190" s="284"/>
      <c r="AZ190" s="284"/>
      <c r="BA190" s="285"/>
      <c r="BB190" s="285"/>
      <c r="BC190" s="285"/>
      <c r="BD190" s="285"/>
      <c r="BE190" s="281"/>
      <c r="BF190" s="281"/>
      <c r="BG190" s="281"/>
      <c r="BH190" s="281"/>
      <c r="BI190" s="281"/>
      <c r="BJ190" s="286"/>
      <c r="BK190" s="282"/>
      <c r="BL190" s="282"/>
      <c r="BM190" s="282"/>
      <c r="BN190" s="282"/>
      <c r="BO190" s="282"/>
      <c r="BP190" s="282"/>
      <c r="BQ190" s="282"/>
      <c r="BR190" s="282"/>
      <c r="BS190" s="282"/>
      <c r="BT190" s="282"/>
      <c r="BU190" s="282"/>
      <c r="BV190" s="282"/>
      <c r="BW190" s="283"/>
      <c r="BX190" s="283"/>
      <c r="BY190" s="283"/>
      <c r="BZ190" s="283"/>
      <c r="CA190" s="283"/>
      <c r="CB190" s="283"/>
      <c r="CC190" s="283"/>
      <c r="CD190" s="283"/>
      <c r="CE190" s="283"/>
      <c r="CF190" s="283"/>
      <c r="CG190" s="283"/>
      <c r="CH190" s="287"/>
      <c r="CI190" s="283"/>
      <c r="CJ190" s="283"/>
      <c r="CK190" s="283"/>
      <c r="CL190" s="283"/>
      <c r="CM190" s="283"/>
      <c r="CN190" s="283"/>
      <c r="CO190" s="284"/>
      <c r="CP190" s="284"/>
      <c r="CQ190" s="284"/>
      <c r="CR190" s="542"/>
      <c r="CS190" s="542"/>
      <c r="CT190" s="542"/>
      <c r="CU190" s="542"/>
      <c r="CV190" s="542"/>
      <c r="CW190" s="542"/>
      <c r="CX190" s="542"/>
      <c r="CY190" s="543"/>
      <c r="CZ190" s="284"/>
      <c r="DA190" s="284"/>
      <c r="DB190" s="284"/>
      <c r="DC190" s="281"/>
      <c r="DD190" s="641"/>
      <c r="DE190" s="641"/>
      <c r="DF190" s="641"/>
      <c r="DG190" s="641"/>
      <c r="DH190" s="641"/>
      <c r="DI190" s="641"/>
      <c r="DJ190" s="641"/>
      <c r="DK190" s="629"/>
      <c r="DL190" s="495">
        <f t="shared" si="203"/>
        <v>0</v>
      </c>
      <c r="DM190" s="84">
        <f t="shared" si="204"/>
        <v>0</v>
      </c>
      <c r="DN190" s="84">
        <f t="shared" si="205"/>
        <v>0</v>
      </c>
      <c r="DO190" s="125">
        <f t="shared" si="206"/>
        <v>0</v>
      </c>
    </row>
    <row r="191" spans="2:123" s="834" customFormat="1" ht="16.5" hidden="1" customHeight="1" outlineLevel="1" thickBot="1" x14ac:dyDescent="0.35">
      <c r="B191" s="816"/>
      <c r="C191" s="814"/>
      <c r="D191" s="819"/>
      <c r="E191" s="820" t="s">
        <v>254</v>
      </c>
      <c r="F191" s="821"/>
      <c r="G191" s="822"/>
      <c r="H191" s="823"/>
      <c r="I191" s="903"/>
      <c r="J191" s="824">
        <f>SUM(J179:J190)</f>
        <v>0</v>
      </c>
      <c r="K191" s="824">
        <f t="shared" ref="K191:CL191" si="207">SUM(K179:K190)</f>
        <v>0</v>
      </c>
      <c r="L191" s="824">
        <f t="shared" si="207"/>
        <v>0</v>
      </c>
      <c r="M191" s="824">
        <f t="shared" si="207"/>
        <v>0</v>
      </c>
      <c r="N191" s="824">
        <f t="shared" si="207"/>
        <v>0</v>
      </c>
      <c r="O191" s="824">
        <f t="shared" si="207"/>
        <v>0</v>
      </c>
      <c r="P191" s="824">
        <f t="shared" si="207"/>
        <v>0</v>
      </c>
      <c r="Q191" s="824">
        <f t="shared" si="207"/>
        <v>0</v>
      </c>
      <c r="R191" s="824">
        <f t="shared" si="207"/>
        <v>0</v>
      </c>
      <c r="S191" s="824">
        <f t="shared" si="207"/>
        <v>0</v>
      </c>
      <c r="T191" s="824">
        <f t="shared" si="207"/>
        <v>0</v>
      </c>
      <c r="U191" s="825">
        <f t="shared" si="207"/>
        <v>0</v>
      </c>
      <c r="V191" s="825">
        <f t="shared" si="207"/>
        <v>0</v>
      </c>
      <c r="W191" s="825">
        <f t="shared" si="207"/>
        <v>0</v>
      </c>
      <c r="X191" s="825">
        <f t="shared" si="207"/>
        <v>0</v>
      </c>
      <c r="Y191" s="825">
        <f t="shared" si="207"/>
        <v>0</v>
      </c>
      <c r="Z191" s="825">
        <f t="shared" si="207"/>
        <v>0</v>
      </c>
      <c r="AA191" s="825">
        <f t="shared" si="207"/>
        <v>0</v>
      </c>
      <c r="AB191" s="825">
        <f t="shared" ref="AB191:AD191" si="208">SUM(AB179:AB190)</f>
        <v>0</v>
      </c>
      <c r="AC191" s="825">
        <f t="shared" si="208"/>
        <v>0</v>
      </c>
      <c r="AD191" s="825">
        <f t="shared" si="208"/>
        <v>0</v>
      </c>
      <c r="AE191" s="825">
        <f t="shared" si="207"/>
        <v>0</v>
      </c>
      <c r="AF191" s="825">
        <f t="shared" si="207"/>
        <v>0</v>
      </c>
      <c r="AG191" s="825">
        <f t="shared" si="207"/>
        <v>0</v>
      </c>
      <c r="AH191" s="825">
        <f t="shared" si="207"/>
        <v>0</v>
      </c>
      <c r="AI191" s="825">
        <f t="shared" ref="AI191:AO191" si="209">SUM(AI179:AI190)</f>
        <v>0</v>
      </c>
      <c r="AJ191" s="825">
        <f t="shared" si="209"/>
        <v>0</v>
      </c>
      <c r="AK191" s="825">
        <f t="shared" si="209"/>
        <v>0</v>
      </c>
      <c r="AL191" s="825">
        <f t="shared" si="209"/>
        <v>0</v>
      </c>
      <c r="AM191" s="825">
        <f t="shared" si="209"/>
        <v>0</v>
      </c>
      <c r="AN191" s="825">
        <f t="shared" si="209"/>
        <v>0</v>
      </c>
      <c r="AO191" s="825">
        <f t="shared" si="209"/>
        <v>0</v>
      </c>
      <c r="AP191" s="826">
        <f t="shared" si="207"/>
        <v>0</v>
      </c>
      <c r="AQ191" s="826">
        <f t="shared" ref="AQ191" si="210">SUM(AQ179:AQ190)</f>
        <v>0</v>
      </c>
      <c r="AR191" s="826">
        <f t="shared" si="207"/>
        <v>0</v>
      </c>
      <c r="AS191" s="826">
        <f t="shared" si="207"/>
        <v>0</v>
      </c>
      <c r="AT191" s="826">
        <f t="shared" si="207"/>
        <v>0</v>
      </c>
      <c r="AU191" s="827">
        <f t="shared" si="207"/>
        <v>0</v>
      </c>
      <c r="AV191" s="827">
        <f t="shared" si="207"/>
        <v>0</v>
      </c>
      <c r="AW191" s="827">
        <f t="shared" si="207"/>
        <v>0</v>
      </c>
      <c r="AX191" s="827">
        <f t="shared" ref="AX191:AY191" si="211">SUM(AX179:AX190)</f>
        <v>0</v>
      </c>
      <c r="AY191" s="827">
        <f t="shared" si="211"/>
        <v>0</v>
      </c>
      <c r="AZ191" s="827">
        <f t="shared" si="207"/>
        <v>0</v>
      </c>
      <c r="BA191" s="828">
        <f t="shared" si="207"/>
        <v>0</v>
      </c>
      <c r="BB191" s="828">
        <f t="shared" si="207"/>
        <v>0</v>
      </c>
      <c r="BC191" s="828">
        <f t="shared" si="207"/>
        <v>0</v>
      </c>
      <c r="BD191" s="828">
        <f t="shared" si="207"/>
        <v>0</v>
      </c>
      <c r="BE191" s="824">
        <f t="shared" si="207"/>
        <v>0</v>
      </c>
      <c r="BF191" s="824">
        <f t="shared" si="207"/>
        <v>0</v>
      </c>
      <c r="BG191" s="824">
        <f t="shared" si="207"/>
        <v>0</v>
      </c>
      <c r="BH191" s="824">
        <f t="shared" si="207"/>
        <v>0</v>
      </c>
      <c r="BI191" s="824">
        <f t="shared" si="207"/>
        <v>0</v>
      </c>
      <c r="BJ191" s="824">
        <f t="shared" si="207"/>
        <v>0</v>
      </c>
      <c r="BK191" s="825">
        <f t="shared" si="207"/>
        <v>0</v>
      </c>
      <c r="BL191" s="825">
        <f t="shared" si="207"/>
        <v>0</v>
      </c>
      <c r="BM191" s="825">
        <f t="shared" si="207"/>
        <v>0</v>
      </c>
      <c r="BN191" s="825">
        <f t="shared" si="207"/>
        <v>0</v>
      </c>
      <c r="BO191" s="825">
        <f t="shared" si="207"/>
        <v>0</v>
      </c>
      <c r="BP191" s="825">
        <f t="shared" si="207"/>
        <v>0</v>
      </c>
      <c r="BQ191" s="825">
        <f t="shared" si="207"/>
        <v>0</v>
      </c>
      <c r="BR191" s="825">
        <f t="shared" ref="BR191" si="212">SUM(BR179:BR190)</f>
        <v>0</v>
      </c>
      <c r="BS191" s="825">
        <f t="shared" ref="BS191" si="213">SUM(BS179:BS190)</f>
        <v>0</v>
      </c>
      <c r="BT191" s="825">
        <f t="shared" si="207"/>
        <v>0</v>
      </c>
      <c r="BU191" s="825">
        <f t="shared" si="207"/>
        <v>0</v>
      </c>
      <c r="BV191" s="825">
        <f t="shared" si="207"/>
        <v>0</v>
      </c>
      <c r="BW191" s="826">
        <f t="shared" si="207"/>
        <v>0</v>
      </c>
      <c r="BX191" s="826">
        <f t="shared" si="207"/>
        <v>0</v>
      </c>
      <c r="BY191" s="826">
        <f t="shared" si="207"/>
        <v>0</v>
      </c>
      <c r="BZ191" s="826">
        <f t="shared" si="207"/>
        <v>0</v>
      </c>
      <c r="CA191" s="826">
        <f t="shared" si="207"/>
        <v>0</v>
      </c>
      <c r="CB191" s="826">
        <f t="shared" ref="CB191" si="214">SUM(CB179:CB190)</f>
        <v>0</v>
      </c>
      <c r="CC191" s="826">
        <f t="shared" si="207"/>
        <v>0</v>
      </c>
      <c r="CD191" s="826">
        <f t="shared" si="207"/>
        <v>0</v>
      </c>
      <c r="CE191" s="826">
        <f t="shared" si="207"/>
        <v>0</v>
      </c>
      <c r="CF191" s="826">
        <f t="shared" si="207"/>
        <v>0</v>
      </c>
      <c r="CG191" s="826">
        <f t="shared" si="207"/>
        <v>0</v>
      </c>
      <c r="CH191" s="826">
        <f t="shared" si="207"/>
        <v>0</v>
      </c>
      <c r="CI191" s="826">
        <f t="shared" si="207"/>
        <v>0</v>
      </c>
      <c r="CJ191" s="826">
        <f t="shared" si="207"/>
        <v>0</v>
      </c>
      <c r="CK191" s="826">
        <f t="shared" si="207"/>
        <v>0</v>
      </c>
      <c r="CL191" s="826">
        <f t="shared" si="207"/>
        <v>0</v>
      </c>
      <c r="CM191" s="826">
        <f t="shared" ref="CM191:DO191" si="215">SUM(CM179:CM190)</f>
        <v>0</v>
      </c>
      <c r="CN191" s="826">
        <f t="shared" si="215"/>
        <v>0</v>
      </c>
      <c r="CO191" s="827">
        <f t="shared" si="215"/>
        <v>0</v>
      </c>
      <c r="CP191" s="827">
        <f t="shared" si="215"/>
        <v>0</v>
      </c>
      <c r="CQ191" s="827">
        <f t="shared" si="215"/>
        <v>0</v>
      </c>
      <c r="CR191" s="827">
        <f t="shared" si="215"/>
        <v>0</v>
      </c>
      <c r="CS191" s="827">
        <f t="shared" si="215"/>
        <v>0</v>
      </c>
      <c r="CT191" s="827">
        <f t="shared" si="215"/>
        <v>0</v>
      </c>
      <c r="CU191" s="827">
        <f t="shared" si="215"/>
        <v>0</v>
      </c>
      <c r="CV191" s="827">
        <f t="shared" si="215"/>
        <v>0</v>
      </c>
      <c r="CW191" s="827">
        <f t="shared" si="215"/>
        <v>0</v>
      </c>
      <c r="CX191" s="827">
        <f t="shared" si="215"/>
        <v>0</v>
      </c>
      <c r="CY191" s="827">
        <f t="shared" si="215"/>
        <v>0</v>
      </c>
      <c r="CZ191" s="827">
        <f t="shared" si="215"/>
        <v>0</v>
      </c>
      <c r="DA191" s="827">
        <f t="shared" si="215"/>
        <v>0</v>
      </c>
      <c r="DB191" s="827">
        <f t="shared" si="215"/>
        <v>0</v>
      </c>
      <c r="DC191" s="824">
        <f t="shared" si="215"/>
        <v>0</v>
      </c>
      <c r="DD191" s="824">
        <f t="shared" si="215"/>
        <v>0</v>
      </c>
      <c r="DE191" s="824">
        <f t="shared" si="215"/>
        <v>0</v>
      </c>
      <c r="DF191" s="824">
        <f t="shared" si="215"/>
        <v>0</v>
      </c>
      <c r="DG191" s="824">
        <f t="shared" si="215"/>
        <v>0</v>
      </c>
      <c r="DH191" s="824">
        <f t="shared" si="215"/>
        <v>0</v>
      </c>
      <c r="DI191" s="824">
        <f t="shared" si="215"/>
        <v>0</v>
      </c>
      <c r="DJ191" s="824">
        <f t="shared" si="215"/>
        <v>0</v>
      </c>
      <c r="DK191" s="829">
        <f t="shared" si="215"/>
        <v>0</v>
      </c>
      <c r="DL191" s="830">
        <f t="shared" si="215"/>
        <v>0</v>
      </c>
      <c r="DM191" s="831">
        <f t="shared" si="215"/>
        <v>0</v>
      </c>
      <c r="DN191" s="831">
        <f t="shared" si="215"/>
        <v>0</v>
      </c>
      <c r="DO191" s="832">
        <f t="shared" si="215"/>
        <v>0</v>
      </c>
      <c r="DP191" s="833"/>
      <c r="DQ191" s="833"/>
      <c r="DR191" s="833"/>
      <c r="DS191" s="833"/>
    </row>
    <row r="192" spans="2:123" ht="32.1" hidden="1" customHeight="1" outlineLevel="1" thickBot="1" x14ac:dyDescent="0.3">
      <c r="B192" s="816"/>
      <c r="C192" s="814"/>
      <c r="D192" s="801" t="s">
        <v>192</v>
      </c>
      <c r="E192" s="786"/>
      <c r="F192" s="308" t="s">
        <v>6</v>
      </c>
      <c r="G192" s="346" t="s">
        <v>192</v>
      </c>
      <c r="H192" s="347"/>
      <c r="I192" s="936" t="s">
        <v>64</v>
      </c>
      <c r="J192" s="311"/>
      <c r="K192" s="311"/>
      <c r="L192" s="311"/>
      <c r="M192" s="311"/>
      <c r="N192" s="311"/>
      <c r="O192" s="311"/>
      <c r="P192" s="311"/>
      <c r="Q192" s="311"/>
      <c r="R192" s="311"/>
      <c r="S192" s="311"/>
      <c r="T192" s="311"/>
      <c r="U192" s="312"/>
      <c r="V192" s="312"/>
      <c r="W192" s="312"/>
      <c r="X192" s="312"/>
      <c r="Y192" s="312"/>
      <c r="Z192" s="312"/>
      <c r="AA192" s="312"/>
      <c r="AB192" s="312"/>
      <c r="AC192" s="312"/>
      <c r="AD192" s="312"/>
      <c r="AE192" s="312"/>
      <c r="AF192" s="312"/>
      <c r="AG192" s="312"/>
      <c r="AH192" s="312"/>
      <c r="AI192" s="312"/>
      <c r="AJ192" s="312"/>
      <c r="AK192" s="312"/>
      <c r="AL192" s="312"/>
      <c r="AM192" s="312"/>
      <c r="AN192" s="312"/>
      <c r="AO192" s="312"/>
      <c r="AP192" s="313"/>
      <c r="AQ192" s="313"/>
      <c r="AR192" s="313"/>
      <c r="AS192" s="313"/>
      <c r="AT192" s="313"/>
      <c r="AU192" s="314"/>
      <c r="AV192" s="314"/>
      <c r="AW192" s="314"/>
      <c r="AX192" s="314"/>
      <c r="AY192" s="314"/>
      <c r="AZ192" s="314"/>
      <c r="BA192" s="315"/>
      <c r="BB192" s="315"/>
      <c r="BC192" s="315"/>
      <c r="BD192" s="315"/>
      <c r="BE192" s="311"/>
      <c r="BF192" s="311"/>
      <c r="BG192" s="311"/>
      <c r="BH192" s="311"/>
      <c r="BI192" s="311"/>
      <c r="BJ192" s="316"/>
      <c r="BK192" s="312"/>
      <c r="BL192" s="312"/>
      <c r="BM192" s="312"/>
      <c r="BN192" s="312"/>
      <c r="BO192" s="312"/>
      <c r="BP192" s="312"/>
      <c r="BQ192" s="312"/>
      <c r="BR192" s="312"/>
      <c r="BS192" s="312"/>
      <c r="BT192" s="312"/>
      <c r="BU192" s="312"/>
      <c r="BV192" s="312"/>
      <c r="BW192" s="313"/>
      <c r="BX192" s="313"/>
      <c r="BY192" s="313"/>
      <c r="BZ192" s="313"/>
      <c r="CA192" s="313"/>
      <c r="CB192" s="313"/>
      <c r="CC192" s="313"/>
      <c r="CD192" s="313"/>
      <c r="CE192" s="313"/>
      <c r="CF192" s="313"/>
      <c r="CG192" s="313"/>
      <c r="CH192" s="317"/>
      <c r="CI192" s="313"/>
      <c r="CJ192" s="313"/>
      <c r="CK192" s="313"/>
      <c r="CL192" s="313"/>
      <c r="CM192" s="313"/>
      <c r="CN192" s="313"/>
      <c r="CO192" s="314"/>
      <c r="CP192" s="314"/>
      <c r="CQ192" s="314"/>
      <c r="CR192" s="552"/>
      <c r="CS192" s="552"/>
      <c r="CT192" s="552"/>
      <c r="CU192" s="552"/>
      <c r="CV192" s="552"/>
      <c r="CW192" s="552"/>
      <c r="CX192" s="552"/>
      <c r="CY192" s="553"/>
      <c r="CZ192" s="314"/>
      <c r="DA192" s="314"/>
      <c r="DB192" s="314"/>
      <c r="DC192" s="311"/>
      <c r="DD192" s="646"/>
      <c r="DE192" s="646"/>
      <c r="DF192" s="646"/>
      <c r="DG192" s="646"/>
      <c r="DH192" s="646"/>
      <c r="DI192" s="646"/>
      <c r="DJ192" s="646"/>
      <c r="DK192" s="634"/>
      <c r="DL192" s="495">
        <f>SUM(J192:S192)*5+SUM(V192:AF192)+AH192*4+U192*2.5+AG192/0.75</f>
        <v>0</v>
      </c>
      <c r="DM192" s="84">
        <f>SUM(J192:DK192)</f>
        <v>0</v>
      </c>
      <c r="DN192" s="84">
        <f>SUM(BK192:BV192,)</f>
        <v>0</v>
      </c>
      <c r="DO192" s="125">
        <f>SUM(AT192:AV192)+SUM(AW192:AZ192)*5</f>
        <v>0</v>
      </c>
    </row>
    <row r="193" spans="2:123" ht="32.1" hidden="1" customHeight="1" outlineLevel="1" thickBot="1" x14ac:dyDescent="0.3">
      <c r="B193" s="816"/>
      <c r="C193" s="814"/>
      <c r="D193" s="801"/>
      <c r="E193" s="786"/>
      <c r="F193" s="308" t="s">
        <v>6</v>
      </c>
      <c r="G193" s="346" t="s">
        <v>192</v>
      </c>
      <c r="H193" s="347"/>
      <c r="I193" s="936" t="s">
        <v>60</v>
      </c>
      <c r="J193" s="311"/>
      <c r="K193" s="311"/>
      <c r="L193" s="311"/>
      <c r="M193" s="311"/>
      <c r="N193" s="311"/>
      <c r="O193" s="311"/>
      <c r="P193" s="311"/>
      <c r="Q193" s="311"/>
      <c r="R193" s="311"/>
      <c r="S193" s="311"/>
      <c r="T193" s="311"/>
      <c r="U193" s="312"/>
      <c r="V193" s="312"/>
      <c r="W193" s="312"/>
      <c r="X193" s="312"/>
      <c r="Y193" s="312"/>
      <c r="Z193" s="312"/>
      <c r="AA193" s="312"/>
      <c r="AB193" s="312"/>
      <c r="AC193" s="312"/>
      <c r="AD193" s="312"/>
      <c r="AE193" s="312"/>
      <c r="AF193" s="312"/>
      <c r="AG193" s="312"/>
      <c r="AH193" s="312"/>
      <c r="AI193" s="312"/>
      <c r="AJ193" s="312"/>
      <c r="AK193" s="312"/>
      <c r="AL193" s="312"/>
      <c r="AM193" s="312"/>
      <c r="AN193" s="312"/>
      <c r="AO193" s="312"/>
      <c r="AP193" s="313"/>
      <c r="AQ193" s="313"/>
      <c r="AR193" s="313"/>
      <c r="AS193" s="313"/>
      <c r="AT193" s="313"/>
      <c r="AU193" s="314"/>
      <c r="AV193" s="314"/>
      <c r="AW193" s="314"/>
      <c r="AX193" s="314"/>
      <c r="AY193" s="314"/>
      <c r="AZ193" s="314"/>
      <c r="BA193" s="315"/>
      <c r="BB193" s="315"/>
      <c r="BC193" s="315"/>
      <c r="BD193" s="315"/>
      <c r="BE193" s="311"/>
      <c r="BF193" s="311"/>
      <c r="BG193" s="311"/>
      <c r="BH193" s="311"/>
      <c r="BI193" s="311"/>
      <c r="BJ193" s="316"/>
      <c r="BK193" s="312"/>
      <c r="BL193" s="312"/>
      <c r="BM193" s="312"/>
      <c r="BN193" s="312"/>
      <c r="BO193" s="312"/>
      <c r="BP193" s="312"/>
      <c r="BQ193" s="312"/>
      <c r="BR193" s="312"/>
      <c r="BS193" s="312"/>
      <c r="BT193" s="312"/>
      <c r="BU193" s="312"/>
      <c r="BV193" s="312"/>
      <c r="BW193" s="313"/>
      <c r="BX193" s="313"/>
      <c r="BY193" s="313"/>
      <c r="BZ193" s="313"/>
      <c r="CA193" s="313"/>
      <c r="CB193" s="313"/>
      <c r="CC193" s="313"/>
      <c r="CD193" s="313"/>
      <c r="CE193" s="313"/>
      <c r="CF193" s="313"/>
      <c r="CG193" s="313"/>
      <c r="CH193" s="317"/>
      <c r="CI193" s="313"/>
      <c r="CJ193" s="313"/>
      <c r="CK193" s="313"/>
      <c r="CL193" s="313"/>
      <c r="CM193" s="313"/>
      <c r="CN193" s="313"/>
      <c r="CO193" s="314"/>
      <c r="CP193" s="314"/>
      <c r="CQ193" s="314"/>
      <c r="CR193" s="552"/>
      <c r="CS193" s="552"/>
      <c r="CT193" s="552"/>
      <c r="CU193" s="552"/>
      <c r="CV193" s="552"/>
      <c r="CW193" s="552"/>
      <c r="CX193" s="552"/>
      <c r="CY193" s="553"/>
      <c r="CZ193" s="314"/>
      <c r="DA193" s="314"/>
      <c r="DB193" s="314"/>
      <c r="DC193" s="311"/>
      <c r="DD193" s="646"/>
      <c r="DE193" s="646"/>
      <c r="DF193" s="646"/>
      <c r="DG193" s="646"/>
      <c r="DH193" s="646"/>
      <c r="DI193" s="646"/>
      <c r="DJ193" s="646"/>
      <c r="DK193" s="634"/>
      <c r="DL193" s="495">
        <f>SUM(J193:S193)*5+SUM(V193:AF193)+AH193*4+U193*2.5+AG193/0.75</f>
        <v>0</v>
      </c>
      <c r="DM193" s="84">
        <f>SUM(J193:DK193)</f>
        <v>0</v>
      </c>
      <c r="DN193" s="84">
        <f>SUM(BK193:BV193,)</f>
        <v>0</v>
      </c>
      <c r="DO193" s="125">
        <f>SUM(AT193:AV193)+SUM(AW193:AZ193)*5</f>
        <v>0</v>
      </c>
    </row>
    <row r="194" spans="2:123" ht="32.1" hidden="1" customHeight="1" outlineLevel="1" thickBot="1" x14ac:dyDescent="0.3">
      <c r="B194" s="816"/>
      <c r="C194" s="814"/>
      <c r="D194" s="801"/>
      <c r="E194" s="786"/>
      <c r="F194" s="308" t="s">
        <v>6</v>
      </c>
      <c r="G194" s="346" t="s">
        <v>192</v>
      </c>
      <c r="H194" s="347"/>
      <c r="I194" s="936" t="s">
        <v>225</v>
      </c>
      <c r="J194" s="311"/>
      <c r="K194" s="311"/>
      <c r="L194" s="311"/>
      <c r="M194" s="311"/>
      <c r="N194" s="311"/>
      <c r="O194" s="311"/>
      <c r="P194" s="311"/>
      <c r="Q194" s="311"/>
      <c r="R194" s="311"/>
      <c r="S194" s="311"/>
      <c r="T194" s="311"/>
      <c r="U194" s="312"/>
      <c r="V194" s="312"/>
      <c r="W194" s="312"/>
      <c r="X194" s="312"/>
      <c r="Y194" s="312"/>
      <c r="Z194" s="312"/>
      <c r="AA194" s="312"/>
      <c r="AB194" s="312"/>
      <c r="AC194" s="312"/>
      <c r="AD194" s="312"/>
      <c r="AE194" s="312"/>
      <c r="AF194" s="312"/>
      <c r="AG194" s="312"/>
      <c r="AH194" s="312"/>
      <c r="AI194" s="312"/>
      <c r="AJ194" s="312"/>
      <c r="AK194" s="312"/>
      <c r="AL194" s="312"/>
      <c r="AM194" s="312"/>
      <c r="AN194" s="312"/>
      <c r="AO194" s="312"/>
      <c r="AP194" s="313"/>
      <c r="AQ194" s="313"/>
      <c r="AR194" s="313"/>
      <c r="AS194" s="313"/>
      <c r="AT194" s="313"/>
      <c r="AU194" s="314"/>
      <c r="AV194" s="314"/>
      <c r="AW194" s="314"/>
      <c r="AX194" s="314"/>
      <c r="AY194" s="314"/>
      <c r="AZ194" s="314"/>
      <c r="BA194" s="315"/>
      <c r="BB194" s="315"/>
      <c r="BC194" s="315"/>
      <c r="BD194" s="315"/>
      <c r="BE194" s="311"/>
      <c r="BF194" s="311"/>
      <c r="BG194" s="311"/>
      <c r="BH194" s="311"/>
      <c r="BI194" s="311"/>
      <c r="BJ194" s="316"/>
      <c r="BK194" s="312"/>
      <c r="BL194" s="312"/>
      <c r="BM194" s="312"/>
      <c r="BN194" s="312"/>
      <c r="BO194" s="312"/>
      <c r="BP194" s="312"/>
      <c r="BQ194" s="312"/>
      <c r="BR194" s="312"/>
      <c r="BS194" s="312"/>
      <c r="BT194" s="312"/>
      <c r="BU194" s="312"/>
      <c r="BV194" s="312"/>
      <c r="BW194" s="313"/>
      <c r="BX194" s="313"/>
      <c r="BY194" s="313"/>
      <c r="BZ194" s="313"/>
      <c r="CA194" s="313"/>
      <c r="CB194" s="313"/>
      <c r="CC194" s="313"/>
      <c r="CD194" s="313"/>
      <c r="CE194" s="313"/>
      <c r="CF194" s="313"/>
      <c r="CG194" s="313"/>
      <c r="CH194" s="317"/>
      <c r="CI194" s="313"/>
      <c r="CJ194" s="313"/>
      <c r="CK194" s="313"/>
      <c r="CL194" s="313"/>
      <c r="CM194" s="313"/>
      <c r="CN194" s="313"/>
      <c r="CO194" s="314"/>
      <c r="CP194" s="314"/>
      <c r="CQ194" s="314"/>
      <c r="CR194" s="552"/>
      <c r="CS194" s="552"/>
      <c r="CT194" s="552"/>
      <c r="CU194" s="552"/>
      <c r="CV194" s="552"/>
      <c r="CW194" s="552"/>
      <c r="CX194" s="552"/>
      <c r="CY194" s="553"/>
      <c r="CZ194" s="314"/>
      <c r="DA194" s="314"/>
      <c r="DB194" s="314"/>
      <c r="DC194" s="311"/>
      <c r="DD194" s="646"/>
      <c r="DE194" s="646"/>
      <c r="DF194" s="646"/>
      <c r="DG194" s="646"/>
      <c r="DH194" s="646"/>
      <c r="DI194" s="646"/>
      <c r="DJ194" s="646"/>
      <c r="DK194" s="634"/>
      <c r="DL194" s="495">
        <f>SUM(J194:S194)*5+SUM(V194:AF194)+AH194*4+U194*2.5+AG194/0.75</f>
        <v>0</v>
      </c>
      <c r="DM194" s="84">
        <f>SUM(J194:DK194)</f>
        <v>0</v>
      </c>
      <c r="DN194" s="84">
        <f>SUM(BK194:BV194,)</f>
        <v>0</v>
      </c>
      <c r="DO194" s="125">
        <f>SUM(AT194:AV194)+SUM(AW194:AZ194)*5</f>
        <v>0</v>
      </c>
    </row>
    <row r="195" spans="2:123" ht="32.1" hidden="1" customHeight="1" outlineLevel="1" thickBot="1" x14ac:dyDescent="0.3">
      <c r="B195" s="816"/>
      <c r="C195" s="814"/>
      <c r="D195" s="801"/>
      <c r="E195" s="786"/>
      <c r="F195" s="308" t="s">
        <v>6</v>
      </c>
      <c r="G195" s="346" t="s">
        <v>192</v>
      </c>
      <c r="H195" s="347"/>
      <c r="I195" s="937" t="s">
        <v>67</v>
      </c>
      <c r="J195" s="311"/>
      <c r="K195" s="311"/>
      <c r="L195" s="311"/>
      <c r="M195" s="311"/>
      <c r="N195" s="311"/>
      <c r="O195" s="311"/>
      <c r="P195" s="311"/>
      <c r="Q195" s="311"/>
      <c r="R195" s="311"/>
      <c r="S195" s="311"/>
      <c r="T195" s="311"/>
      <c r="U195" s="312"/>
      <c r="V195" s="312"/>
      <c r="W195" s="312"/>
      <c r="X195" s="312"/>
      <c r="Y195" s="312"/>
      <c r="Z195" s="312"/>
      <c r="AA195" s="312"/>
      <c r="AB195" s="312"/>
      <c r="AC195" s="312"/>
      <c r="AD195" s="312"/>
      <c r="AE195" s="312"/>
      <c r="AF195" s="312"/>
      <c r="AG195" s="312"/>
      <c r="AH195" s="312"/>
      <c r="AI195" s="312"/>
      <c r="AJ195" s="312"/>
      <c r="AK195" s="312"/>
      <c r="AL195" s="312"/>
      <c r="AM195" s="312"/>
      <c r="AN195" s="312"/>
      <c r="AO195" s="312"/>
      <c r="AP195" s="313"/>
      <c r="AQ195" s="313"/>
      <c r="AR195" s="313"/>
      <c r="AS195" s="313"/>
      <c r="AT195" s="313"/>
      <c r="AU195" s="314"/>
      <c r="AV195" s="314"/>
      <c r="AW195" s="314"/>
      <c r="AX195" s="314"/>
      <c r="AY195" s="314"/>
      <c r="AZ195" s="314"/>
      <c r="BA195" s="315"/>
      <c r="BB195" s="315"/>
      <c r="BC195" s="315"/>
      <c r="BD195" s="315"/>
      <c r="BE195" s="311"/>
      <c r="BF195" s="311"/>
      <c r="BG195" s="311"/>
      <c r="BH195" s="311"/>
      <c r="BI195" s="311"/>
      <c r="BJ195" s="316"/>
      <c r="BK195" s="312"/>
      <c r="BL195" s="312"/>
      <c r="BM195" s="312"/>
      <c r="BN195" s="312"/>
      <c r="BO195" s="312"/>
      <c r="BP195" s="312"/>
      <c r="BQ195" s="312"/>
      <c r="BR195" s="312"/>
      <c r="BS195" s="312"/>
      <c r="BT195" s="312"/>
      <c r="BU195" s="312"/>
      <c r="BV195" s="312"/>
      <c r="BW195" s="313"/>
      <c r="BX195" s="313"/>
      <c r="BY195" s="313"/>
      <c r="BZ195" s="313"/>
      <c r="CA195" s="313"/>
      <c r="CB195" s="313"/>
      <c r="CC195" s="313"/>
      <c r="CD195" s="313"/>
      <c r="CE195" s="313"/>
      <c r="CF195" s="313"/>
      <c r="CG195" s="313"/>
      <c r="CH195" s="317"/>
      <c r="CI195" s="313"/>
      <c r="CJ195" s="313"/>
      <c r="CK195" s="313"/>
      <c r="CL195" s="313"/>
      <c r="CM195" s="313"/>
      <c r="CN195" s="313"/>
      <c r="CO195" s="314"/>
      <c r="CP195" s="314"/>
      <c r="CQ195" s="314"/>
      <c r="CR195" s="552"/>
      <c r="CS195" s="552"/>
      <c r="CT195" s="552"/>
      <c r="CU195" s="552"/>
      <c r="CV195" s="552"/>
      <c r="CW195" s="552"/>
      <c r="CX195" s="552"/>
      <c r="CY195" s="553"/>
      <c r="CZ195" s="314"/>
      <c r="DA195" s="314"/>
      <c r="DB195" s="314"/>
      <c r="DC195" s="311"/>
      <c r="DD195" s="646"/>
      <c r="DE195" s="646"/>
      <c r="DF195" s="646"/>
      <c r="DG195" s="646"/>
      <c r="DH195" s="646"/>
      <c r="DI195" s="646"/>
      <c r="DJ195" s="646"/>
      <c r="DK195" s="634"/>
      <c r="DL195" s="495">
        <f>SUM(J195:S195)*5+SUM(V195:AF195)+AH195*4+U195*2.5+AG195/0.75</f>
        <v>0</v>
      </c>
      <c r="DM195" s="84">
        <f>SUM(J195:DK195)</f>
        <v>0</v>
      </c>
      <c r="DN195" s="84">
        <f>SUM(BK195:BV195,)</f>
        <v>0</v>
      </c>
      <c r="DO195" s="125">
        <f>SUM(AT195:AV195)+SUM(AW195:AZ195)*5</f>
        <v>0</v>
      </c>
    </row>
    <row r="196" spans="2:123" s="834" customFormat="1" ht="16.5" hidden="1" customHeight="1" outlineLevel="1" thickBot="1" x14ac:dyDescent="0.35">
      <c r="B196" s="816"/>
      <c r="C196" s="814"/>
      <c r="D196" s="835"/>
      <c r="E196" s="836" t="s">
        <v>254</v>
      </c>
      <c r="F196" s="837"/>
      <c r="G196" s="838"/>
      <c r="H196" s="839"/>
      <c r="I196" s="918"/>
      <c r="J196" s="824">
        <f>SUM(J192:J195)</f>
        <v>0</v>
      </c>
      <c r="K196" s="824">
        <f t="shared" ref="K196:CL196" si="216">SUM(K192:K195)</f>
        <v>0</v>
      </c>
      <c r="L196" s="824">
        <f t="shared" si="216"/>
        <v>0</v>
      </c>
      <c r="M196" s="824">
        <f t="shared" si="216"/>
        <v>0</v>
      </c>
      <c r="N196" s="824">
        <f t="shared" si="216"/>
        <v>0</v>
      </c>
      <c r="O196" s="824">
        <f t="shared" si="216"/>
        <v>0</v>
      </c>
      <c r="P196" s="824">
        <f t="shared" si="216"/>
        <v>0</v>
      </c>
      <c r="Q196" s="824">
        <f t="shared" si="216"/>
        <v>0</v>
      </c>
      <c r="R196" s="824">
        <f t="shared" si="216"/>
        <v>0</v>
      </c>
      <c r="S196" s="824">
        <f t="shared" si="216"/>
        <v>0</v>
      </c>
      <c r="T196" s="824">
        <f t="shared" si="216"/>
        <v>0</v>
      </c>
      <c r="U196" s="825">
        <f t="shared" si="216"/>
        <v>0</v>
      </c>
      <c r="V196" s="825">
        <f t="shared" si="216"/>
        <v>0</v>
      </c>
      <c r="W196" s="825">
        <f t="shared" si="216"/>
        <v>0</v>
      </c>
      <c r="X196" s="825">
        <f t="shared" si="216"/>
        <v>0</v>
      </c>
      <c r="Y196" s="825">
        <f t="shared" si="216"/>
        <v>0</v>
      </c>
      <c r="Z196" s="825">
        <f t="shared" si="216"/>
        <v>0</v>
      </c>
      <c r="AA196" s="825">
        <f t="shared" si="216"/>
        <v>0</v>
      </c>
      <c r="AB196" s="825">
        <f t="shared" ref="AB196:AD196" si="217">SUM(AB192:AB195)</f>
        <v>0</v>
      </c>
      <c r="AC196" s="825">
        <f t="shared" si="217"/>
        <v>0</v>
      </c>
      <c r="AD196" s="825">
        <f t="shared" si="217"/>
        <v>0</v>
      </c>
      <c r="AE196" s="825">
        <f t="shared" si="216"/>
        <v>0</v>
      </c>
      <c r="AF196" s="825">
        <f t="shared" si="216"/>
        <v>0</v>
      </c>
      <c r="AG196" s="825">
        <f t="shared" si="216"/>
        <v>0</v>
      </c>
      <c r="AH196" s="825">
        <f t="shared" si="216"/>
        <v>0</v>
      </c>
      <c r="AI196" s="825">
        <f t="shared" ref="AI196:AO196" si="218">SUM(AI192:AI195)</f>
        <v>0</v>
      </c>
      <c r="AJ196" s="825">
        <f t="shared" si="218"/>
        <v>0</v>
      </c>
      <c r="AK196" s="825">
        <f t="shared" si="218"/>
        <v>0</v>
      </c>
      <c r="AL196" s="825">
        <f t="shared" si="218"/>
        <v>0</v>
      </c>
      <c r="AM196" s="825">
        <f t="shared" si="218"/>
        <v>0</v>
      </c>
      <c r="AN196" s="825">
        <f t="shared" si="218"/>
        <v>0</v>
      </c>
      <c r="AO196" s="825">
        <f t="shared" si="218"/>
        <v>0</v>
      </c>
      <c r="AP196" s="826">
        <f t="shared" si="216"/>
        <v>0</v>
      </c>
      <c r="AQ196" s="826">
        <f t="shared" ref="AQ196" si="219">SUM(AQ192:AQ195)</f>
        <v>0</v>
      </c>
      <c r="AR196" s="826">
        <f t="shared" si="216"/>
        <v>0</v>
      </c>
      <c r="AS196" s="826">
        <f t="shared" si="216"/>
        <v>0</v>
      </c>
      <c r="AT196" s="826">
        <f t="shared" si="216"/>
        <v>0</v>
      </c>
      <c r="AU196" s="827">
        <f t="shared" si="216"/>
        <v>0</v>
      </c>
      <c r="AV196" s="827">
        <f t="shared" si="216"/>
        <v>0</v>
      </c>
      <c r="AW196" s="827">
        <f t="shared" si="216"/>
        <v>0</v>
      </c>
      <c r="AX196" s="827">
        <f t="shared" ref="AX196:AY196" si="220">SUM(AX192:AX195)</f>
        <v>0</v>
      </c>
      <c r="AY196" s="827">
        <f t="shared" si="220"/>
        <v>0</v>
      </c>
      <c r="AZ196" s="827">
        <f t="shared" si="216"/>
        <v>0</v>
      </c>
      <c r="BA196" s="828">
        <f t="shared" si="216"/>
        <v>0</v>
      </c>
      <c r="BB196" s="828">
        <f t="shared" si="216"/>
        <v>0</v>
      </c>
      <c r="BC196" s="828">
        <f t="shared" si="216"/>
        <v>0</v>
      </c>
      <c r="BD196" s="828">
        <f t="shared" si="216"/>
        <v>0</v>
      </c>
      <c r="BE196" s="824">
        <f t="shared" si="216"/>
        <v>0</v>
      </c>
      <c r="BF196" s="824">
        <f t="shared" si="216"/>
        <v>0</v>
      </c>
      <c r="BG196" s="824">
        <f t="shared" si="216"/>
        <v>0</v>
      </c>
      <c r="BH196" s="824">
        <f t="shared" si="216"/>
        <v>0</v>
      </c>
      <c r="BI196" s="824">
        <f t="shared" si="216"/>
        <v>0</v>
      </c>
      <c r="BJ196" s="824">
        <f t="shared" si="216"/>
        <v>0</v>
      </c>
      <c r="BK196" s="825">
        <f t="shared" si="216"/>
        <v>0</v>
      </c>
      <c r="BL196" s="825">
        <f t="shared" si="216"/>
        <v>0</v>
      </c>
      <c r="BM196" s="825">
        <f t="shared" si="216"/>
        <v>0</v>
      </c>
      <c r="BN196" s="825">
        <f t="shared" si="216"/>
        <v>0</v>
      </c>
      <c r="BO196" s="825">
        <f t="shared" si="216"/>
        <v>0</v>
      </c>
      <c r="BP196" s="825">
        <f t="shared" si="216"/>
        <v>0</v>
      </c>
      <c r="BQ196" s="825">
        <f t="shared" si="216"/>
        <v>0</v>
      </c>
      <c r="BR196" s="825">
        <f t="shared" ref="BR196" si="221">SUM(BR192:BR195)</f>
        <v>0</v>
      </c>
      <c r="BS196" s="825">
        <f t="shared" ref="BS196" si="222">SUM(BS192:BS195)</f>
        <v>0</v>
      </c>
      <c r="BT196" s="825">
        <f t="shared" si="216"/>
        <v>0</v>
      </c>
      <c r="BU196" s="825">
        <f t="shared" si="216"/>
        <v>0</v>
      </c>
      <c r="BV196" s="825">
        <f t="shared" si="216"/>
        <v>0</v>
      </c>
      <c r="BW196" s="826">
        <f t="shared" si="216"/>
        <v>0</v>
      </c>
      <c r="BX196" s="826">
        <f t="shared" si="216"/>
        <v>0</v>
      </c>
      <c r="BY196" s="826">
        <f t="shared" si="216"/>
        <v>0</v>
      </c>
      <c r="BZ196" s="826">
        <f t="shared" si="216"/>
        <v>0</v>
      </c>
      <c r="CA196" s="826">
        <f t="shared" si="216"/>
        <v>0</v>
      </c>
      <c r="CB196" s="826">
        <f t="shared" ref="CB196" si="223">SUM(CB192:CB195)</f>
        <v>0</v>
      </c>
      <c r="CC196" s="826">
        <f t="shared" si="216"/>
        <v>0</v>
      </c>
      <c r="CD196" s="826">
        <f t="shared" si="216"/>
        <v>0</v>
      </c>
      <c r="CE196" s="826">
        <f t="shared" si="216"/>
        <v>0</v>
      </c>
      <c r="CF196" s="826">
        <f t="shared" si="216"/>
        <v>0</v>
      </c>
      <c r="CG196" s="826">
        <f t="shared" si="216"/>
        <v>0</v>
      </c>
      <c r="CH196" s="826">
        <f t="shared" si="216"/>
        <v>0</v>
      </c>
      <c r="CI196" s="826">
        <f t="shared" si="216"/>
        <v>0</v>
      </c>
      <c r="CJ196" s="826">
        <f t="shared" si="216"/>
        <v>0</v>
      </c>
      <c r="CK196" s="826">
        <f t="shared" si="216"/>
        <v>0</v>
      </c>
      <c r="CL196" s="826">
        <f t="shared" si="216"/>
        <v>0</v>
      </c>
      <c r="CM196" s="826">
        <f t="shared" ref="CM196:DO196" si="224">SUM(CM192:CM195)</f>
        <v>0</v>
      </c>
      <c r="CN196" s="826">
        <f t="shared" si="224"/>
        <v>0</v>
      </c>
      <c r="CO196" s="827">
        <f t="shared" si="224"/>
        <v>0</v>
      </c>
      <c r="CP196" s="827">
        <f t="shared" si="224"/>
        <v>0</v>
      </c>
      <c r="CQ196" s="827">
        <f t="shared" si="224"/>
        <v>0</v>
      </c>
      <c r="CR196" s="827">
        <f t="shared" si="224"/>
        <v>0</v>
      </c>
      <c r="CS196" s="827">
        <f t="shared" si="224"/>
        <v>0</v>
      </c>
      <c r="CT196" s="827">
        <f t="shared" si="224"/>
        <v>0</v>
      </c>
      <c r="CU196" s="827">
        <f t="shared" si="224"/>
        <v>0</v>
      </c>
      <c r="CV196" s="827">
        <f t="shared" si="224"/>
        <v>0</v>
      </c>
      <c r="CW196" s="827">
        <f t="shared" si="224"/>
        <v>0</v>
      </c>
      <c r="CX196" s="827">
        <f t="shared" si="224"/>
        <v>0</v>
      </c>
      <c r="CY196" s="827">
        <f t="shared" si="224"/>
        <v>0</v>
      </c>
      <c r="CZ196" s="827">
        <f t="shared" si="224"/>
        <v>0</v>
      </c>
      <c r="DA196" s="827">
        <f t="shared" si="224"/>
        <v>0</v>
      </c>
      <c r="DB196" s="827">
        <f t="shared" si="224"/>
        <v>0</v>
      </c>
      <c r="DC196" s="824">
        <f t="shared" si="224"/>
        <v>0</v>
      </c>
      <c r="DD196" s="824">
        <f t="shared" si="224"/>
        <v>0</v>
      </c>
      <c r="DE196" s="824">
        <f t="shared" si="224"/>
        <v>0</v>
      </c>
      <c r="DF196" s="824">
        <f t="shared" si="224"/>
        <v>0</v>
      </c>
      <c r="DG196" s="824">
        <f t="shared" si="224"/>
        <v>0</v>
      </c>
      <c r="DH196" s="824">
        <f t="shared" si="224"/>
        <v>0</v>
      </c>
      <c r="DI196" s="824">
        <f t="shared" si="224"/>
        <v>0</v>
      </c>
      <c r="DJ196" s="824">
        <f t="shared" si="224"/>
        <v>0</v>
      </c>
      <c r="DK196" s="829">
        <f t="shared" si="224"/>
        <v>0</v>
      </c>
      <c r="DL196" s="830">
        <f t="shared" si="224"/>
        <v>0</v>
      </c>
      <c r="DM196" s="831">
        <f t="shared" si="224"/>
        <v>0</v>
      </c>
      <c r="DN196" s="831">
        <f t="shared" si="224"/>
        <v>0</v>
      </c>
      <c r="DO196" s="832">
        <f t="shared" si="224"/>
        <v>0</v>
      </c>
      <c r="DP196" s="833"/>
      <c r="DQ196" s="833"/>
      <c r="DR196" s="833"/>
      <c r="DS196" s="833"/>
    </row>
    <row r="197" spans="2:123" s="789" customFormat="1" ht="32.1" customHeight="1" collapsed="1" thickBot="1" x14ac:dyDescent="0.4">
      <c r="B197" s="985" t="s">
        <v>255</v>
      </c>
      <c r="C197" s="840"/>
      <c r="D197" s="841"/>
      <c r="E197" s="784" t="s">
        <v>256</v>
      </c>
      <c r="F197" s="842"/>
      <c r="G197" s="843"/>
      <c r="H197" s="784"/>
      <c r="I197" s="842" t="s">
        <v>290</v>
      </c>
      <c r="J197" s="130">
        <f>SUMIF($E153:$E196,$E197,J153:J196)</f>
        <v>0</v>
      </c>
      <c r="K197" s="130">
        <f t="shared" ref="K197:CL197" si="225">SUMIF($E153:$E196,$E197,K153:K196)</f>
        <v>0</v>
      </c>
      <c r="L197" s="130">
        <f t="shared" si="225"/>
        <v>0</v>
      </c>
      <c r="M197" s="130">
        <f t="shared" si="225"/>
        <v>0</v>
      </c>
      <c r="N197" s="130">
        <f t="shared" si="225"/>
        <v>0</v>
      </c>
      <c r="O197" s="130">
        <f t="shared" si="225"/>
        <v>0</v>
      </c>
      <c r="P197" s="130">
        <f t="shared" si="225"/>
        <v>0</v>
      </c>
      <c r="Q197" s="130">
        <f t="shared" si="225"/>
        <v>0</v>
      </c>
      <c r="R197" s="130">
        <f t="shared" si="225"/>
        <v>0</v>
      </c>
      <c r="S197" s="130">
        <f t="shared" si="225"/>
        <v>0</v>
      </c>
      <c r="T197" s="130">
        <f t="shared" si="225"/>
        <v>0</v>
      </c>
      <c r="U197" s="135">
        <f t="shared" si="225"/>
        <v>0</v>
      </c>
      <c r="V197" s="135">
        <f t="shared" si="225"/>
        <v>0</v>
      </c>
      <c r="W197" s="135">
        <f t="shared" si="225"/>
        <v>0</v>
      </c>
      <c r="X197" s="135">
        <f t="shared" si="225"/>
        <v>0</v>
      </c>
      <c r="Y197" s="135">
        <f t="shared" si="225"/>
        <v>0</v>
      </c>
      <c r="Z197" s="135">
        <f t="shared" si="225"/>
        <v>0</v>
      </c>
      <c r="AA197" s="135">
        <f t="shared" si="225"/>
        <v>0</v>
      </c>
      <c r="AB197" s="135">
        <f t="shared" ref="AB197:AD197" si="226">SUMIF($E153:$E196,$E197,AB153:AB196)</f>
        <v>0</v>
      </c>
      <c r="AC197" s="135">
        <f t="shared" si="226"/>
        <v>0</v>
      </c>
      <c r="AD197" s="135">
        <f t="shared" si="226"/>
        <v>0</v>
      </c>
      <c r="AE197" s="135">
        <f t="shared" si="225"/>
        <v>0</v>
      </c>
      <c r="AF197" s="135">
        <f t="shared" si="225"/>
        <v>0</v>
      </c>
      <c r="AG197" s="135">
        <f t="shared" si="225"/>
        <v>0</v>
      </c>
      <c r="AH197" s="135">
        <f t="shared" si="225"/>
        <v>0</v>
      </c>
      <c r="AI197" s="135">
        <f t="shared" ref="AI197:AO197" si="227">SUMIF($E153:$E196,$E197,AI153:AI196)</f>
        <v>0</v>
      </c>
      <c r="AJ197" s="135">
        <f t="shared" si="227"/>
        <v>0</v>
      </c>
      <c r="AK197" s="135">
        <f t="shared" si="227"/>
        <v>0</v>
      </c>
      <c r="AL197" s="135">
        <f t="shared" si="227"/>
        <v>0</v>
      </c>
      <c r="AM197" s="135">
        <f t="shared" si="227"/>
        <v>0</v>
      </c>
      <c r="AN197" s="135">
        <f t="shared" si="227"/>
        <v>0</v>
      </c>
      <c r="AO197" s="135">
        <f t="shared" si="227"/>
        <v>0</v>
      </c>
      <c r="AP197" s="138">
        <f t="shared" si="225"/>
        <v>0</v>
      </c>
      <c r="AQ197" s="138">
        <f t="shared" ref="AQ197" si="228">SUMIF($E153:$E196,$E197,AQ153:AQ196)</f>
        <v>0</v>
      </c>
      <c r="AR197" s="138">
        <f t="shared" si="225"/>
        <v>0</v>
      </c>
      <c r="AS197" s="138">
        <f t="shared" si="225"/>
        <v>0</v>
      </c>
      <c r="AT197" s="138">
        <f t="shared" si="225"/>
        <v>0</v>
      </c>
      <c r="AU197" s="146">
        <f t="shared" si="225"/>
        <v>0</v>
      </c>
      <c r="AV197" s="146">
        <f t="shared" si="225"/>
        <v>0</v>
      </c>
      <c r="AW197" s="146">
        <f t="shared" si="225"/>
        <v>0</v>
      </c>
      <c r="AX197" s="146">
        <f t="shared" ref="AX197:AY197" si="229">SUMIF($E153:$E196,$E197,AX153:AX196)</f>
        <v>0</v>
      </c>
      <c r="AY197" s="146">
        <f t="shared" si="229"/>
        <v>0</v>
      </c>
      <c r="AZ197" s="146">
        <f t="shared" si="225"/>
        <v>0</v>
      </c>
      <c r="BA197" s="142">
        <f t="shared" si="225"/>
        <v>0</v>
      </c>
      <c r="BB197" s="142">
        <f t="shared" si="225"/>
        <v>0</v>
      </c>
      <c r="BC197" s="142">
        <f t="shared" si="225"/>
        <v>0</v>
      </c>
      <c r="BD197" s="142">
        <f t="shared" si="225"/>
        <v>0</v>
      </c>
      <c r="BE197" s="130">
        <f t="shared" si="225"/>
        <v>0</v>
      </c>
      <c r="BF197" s="130">
        <f t="shared" si="225"/>
        <v>0</v>
      </c>
      <c r="BG197" s="130">
        <f t="shared" si="225"/>
        <v>0</v>
      </c>
      <c r="BH197" s="130">
        <f t="shared" si="225"/>
        <v>0</v>
      </c>
      <c r="BI197" s="130">
        <f t="shared" si="225"/>
        <v>0</v>
      </c>
      <c r="BJ197" s="130">
        <f t="shared" si="225"/>
        <v>0</v>
      </c>
      <c r="BK197" s="135">
        <f t="shared" si="225"/>
        <v>0</v>
      </c>
      <c r="BL197" s="135">
        <f t="shared" si="225"/>
        <v>0</v>
      </c>
      <c r="BM197" s="135">
        <f t="shared" si="225"/>
        <v>0</v>
      </c>
      <c r="BN197" s="135">
        <f t="shared" si="225"/>
        <v>0</v>
      </c>
      <c r="BO197" s="135">
        <f t="shared" si="225"/>
        <v>0</v>
      </c>
      <c r="BP197" s="135">
        <f t="shared" si="225"/>
        <v>0</v>
      </c>
      <c r="BQ197" s="135">
        <f t="shared" si="225"/>
        <v>0</v>
      </c>
      <c r="BR197" s="135">
        <f t="shared" ref="BR197" si="230">SUMIF($E153:$E196,$E197,BR153:BR196)</f>
        <v>0</v>
      </c>
      <c r="BS197" s="135">
        <f t="shared" ref="BS197" si="231">SUMIF($E153:$E196,$E197,BS153:BS196)</f>
        <v>0</v>
      </c>
      <c r="BT197" s="135">
        <f t="shared" si="225"/>
        <v>0</v>
      </c>
      <c r="BU197" s="135">
        <f t="shared" si="225"/>
        <v>0</v>
      </c>
      <c r="BV197" s="135">
        <f t="shared" si="225"/>
        <v>0</v>
      </c>
      <c r="BW197" s="138">
        <f t="shared" si="225"/>
        <v>0</v>
      </c>
      <c r="BX197" s="138">
        <f t="shared" si="225"/>
        <v>0</v>
      </c>
      <c r="BY197" s="138">
        <f t="shared" si="225"/>
        <v>0</v>
      </c>
      <c r="BZ197" s="138">
        <f t="shared" si="225"/>
        <v>0</v>
      </c>
      <c r="CA197" s="138">
        <f t="shared" si="225"/>
        <v>0</v>
      </c>
      <c r="CB197" s="138">
        <f t="shared" ref="CB197" si="232">SUMIF($E153:$E196,$E197,CB153:CB196)</f>
        <v>0</v>
      </c>
      <c r="CC197" s="138">
        <f t="shared" si="225"/>
        <v>0</v>
      </c>
      <c r="CD197" s="138">
        <f t="shared" si="225"/>
        <v>0</v>
      </c>
      <c r="CE197" s="138">
        <f t="shared" si="225"/>
        <v>0</v>
      </c>
      <c r="CF197" s="138">
        <f t="shared" si="225"/>
        <v>0</v>
      </c>
      <c r="CG197" s="138">
        <f t="shared" si="225"/>
        <v>0</v>
      </c>
      <c r="CH197" s="138">
        <f t="shared" si="225"/>
        <v>0</v>
      </c>
      <c r="CI197" s="138">
        <f t="shared" si="225"/>
        <v>0</v>
      </c>
      <c r="CJ197" s="138">
        <f t="shared" si="225"/>
        <v>0</v>
      </c>
      <c r="CK197" s="138">
        <f t="shared" si="225"/>
        <v>0</v>
      </c>
      <c r="CL197" s="138">
        <f t="shared" si="225"/>
        <v>0</v>
      </c>
      <c r="CM197" s="138">
        <f t="shared" ref="CM197:DO197" si="233">SUMIF($E153:$E196,$E197,CM153:CM196)</f>
        <v>0</v>
      </c>
      <c r="CN197" s="138">
        <f t="shared" si="233"/>
        <v>0</v>
      </c>
      <c r="CO197" s="146">
        <f t="shared" si="233"/>
        <v>0</v>
      </c>
      <c r="CP197" s="146">
        <f t="shared" si="233"/>
        <v>0</v>
      </c>
      <c r="CQ197" s="146">
        <f t="shared" si="233"/>
        <v>0</v>
      </c>
      <c r="CR197" s="146">
        <f t="shared" si="233"/>
        <v>0</v>
      </c>
      <c r="CS197" s="146">
        <f t="shared" si="233"/>
        <v>0</v>
      </c>
      <c r="CT197" s="146">
        <f t="shared" si="233"/>
        <v>0</v>
      </c>
      <c r="CU197" s="146">
        <f t="shared" si="233"/>
        <v>0</v>
      </c>
      <c r="CV197" s="146">
        <f t="shared" si="233"/>
        <v>0</v>
      </c>
      <c r="CW197" s="146">
        <f t="shared" si="233"/>
        <v>0</v>
      </c>
      <c r="CX197" s="146">
        <f t="shared" si="233"/>
        <v>0</v>
      </c>
      <c r="CY197" s="146">
        <f t="shared" si="233"/>
        <v>0</v>
      </c>
      <c r="CZ197" s="146">
        <f t="shared" si="233"/>
        <v>0</v>
      </c>
      <c r="DA197" s="146">
        <f t="shared" si="233"/>
        <v>0</v>
      </c>
      <c r="DB197" s="146">
        <f t="shared" si="233"/>
        <v>0</v>
      </c>
      <c r="DC197" s="130">
        <f t="shared" si="233"/>
        <v>0</v>
      </c>
      <c r="DD197" s="130">
        <f t="shared" si="233"/>
        <v>0</v>
      </c>
      <c r="DE197" s="130">
        <f t="shared" si="233"/>
        <v>0</v>
      </c>
      <c r="DF197" s="130">
        <f t="shared" si="233"/>
        <v>0</v>
      </c>
      <c r="DG197" s="130">
        <f t="shared" si="233"/>
        <v>0</v>
      </c>
      <c r="DH197" s="130">
        <f t="shared" si="233"/>
        <v>0</v>
      </c>
      <c r="DI197" s="130">
        <f t="shared" si="233"/>
        <v>0</v>
      </c>
      <c r="DJ197" s="130">
        <f t="shared" si="233"/>
        <v>0</v>
      </c>
      <c r="DK197" s="636">
        <f t="shared" si="233"/>
        <v>0</v>
      </c>
      <c r="DL197" s="492">
        <f t="shared" si="233"/>
        <v>0</v>
      </c>
      <c r="DM197" s="492">
        <f t="shared" si="233"/>
        <v>0</v>
      </c>
      <c r="DN197" s="492">
        <f t="shared" si="233"/>
        <v>0</v>
      </c>
      <c r="DO197" s="683">
        <f t="shared" si="233"/>
        <v>0</v>
      </c>
      <c r="DP197" s="844"/>
      <c r="DQ197" s="844"/>
      <c r="DR197" s="844"/>
      <c r="DS197" s="844"/>
    </row>
    <row r="198" spans="2:123" ht="32.1" hidden="1" customHeight="1" outlineLevel="1" thickBot="1" x14ac:dyDescent="0.3">
      <c r="B198" s="811" t="s">
        <v>149</v>
      </c>
      <c r="C198" s="812">
        <f>C153+1</f>
        <v>45121</v>
      </c>
      <c r="D198" s="803" t="s">
        <v>133</v>
      </c>
      <c r="E198" s="774" t="s">
        <v>136</v>
      </c>
      <c r="F198" s="213" t="s">
        <v>7</v>
      </c>
      <c r="G198" s="205" t="s">
        <v>133</v>
      </c>
      <c r="H198" s="330"/>
      <c r="I198" s="969" t="s">
        <v>231</v>
      </c>
      <c r="J198" s="216"/>
      <c r="K198" s="216"/>
      <c r="L198" s="216"/>
      <c r="M198" s="216"/>
      <c r="N198" s="216"/>
      <c r="O198" s="216"/>
      <c r="P198" s="216"/>
      <c r="Q198" s="216"/>
      <c r="R198" s="216"/>
      <c r="S198" s="216"/>
      <c r="T198" s="216"/>
      <c r="U198" s="217"/>
      <c r="V198" s="217"/>
      <c r="W198" s="217"/>
      <c r="X198" s="217"/>
      <c r="Y198" s="217"/>
      <c r="Z198" s="217"/>
      <c r="AA198" s="217"/>
      <c r="AB198" s="217"/>
      <c r="AC198" s="217"/>
      <c r="AD198" s="217"/>
      <c r="AE198" s="217"/>
      <c r="AF198" s="217"/>
      <c r="AG198" s="217"/>
      <c r="AH198" s="217"/>
      <c r="AI198" s="217"/>
      <c r="AJ198" s="217"/>
      <c r="AK198" s="217"/>
      <c r="AL198" s="217"/>
      <c r="AM198" s="217"/>
      <c r="AN198" s="217"/>
      <c r="AO198" s="217"/>
      <c r="AP198" s="218"/>
      <c r="AQ198" s="218"/>
      <c r="AR198" s="218"/>
      <c r="AS198" s="218"/>
      <c r="AT198" s="218"/>
      <c r="AU198" s="219"/>
      <c r="AV198" s="219"/>
      <c r="AW198" s="219"/>
      <c r="AX198" s="219"/>
      <c r="AY198" s="219"/>
      <c r="AZ198" s="219"/>
      <c r="BA198" s="220"/>
      <c r="BB198" s="220"/>
      <c r="BC198" s="220"/>
      <c r="BD198" s="220"/>
      <c r="BE198" s="216"/>
      <c r="BF198" s="216"/>
      <c r="BG198" s="216"/>
      <c r="BH198" s="216"/>
      <c r="BI198" s="216"/>
      <c r="BJ198" s="221"/>
      <c r="BK198" s="217"/>
      <c r="BL198" s="217"/>
      <c r="BM198" s="217"/>
      <c r="BN198" s="217"/>
      <c r="BO198" s="217"/>
      <c r="BP198" s="217"/>
      <c r="BQ198" s="217"/>
      <c r="BR198" s="217"/>
      <c r="BS198" s="217"/>
      <c r="BT198" s="217"/>
      <c r="BU198" s="217"/>
      <c r="BV198" s="217"/>
      <c r="BW198" s="218"/>
      <c r="BX198" s="218"/>
      <c r="BY198" s="218"/>
      <c r="BZ198" s="218"/>
      <c r="CA198" s="218"/>
      <c r="CB198" s="218"/>
      <c r="CC198" s="218"/>
      <c r="CD198" s="218"/>
      <c r="CE198" s="218"/>
      <c r="CF198" s="218"/>
      <c r="CG198" s="218"/>
      <c r="CH198" s="222"/>
      <c r="CI198" s="218"/>
      <c r="CJ198" s="218"/>
      <c r="CK198" s="218"/>
      <c r="CL198" s="218"/>
      <c r="CM198" s="218"/>
      <c r="CN198" s="218"/>
      <c r="CO198" s="219"/>
      <c r="CP198" s="219"/>
      <c r="CQ198" s="219"/>
      <c r="CR198" s="514"/>
      <c r="CS198" s="514"/>
      <c r="CT198" s="514"/>
      <c r="CU198" s="514"/>
      <c r="CV198" s="514"/>
      <c r="CW198" s="514"/>
      <c r="CX198" s="514"/>
      <c r="CY198" s="515"/>
      <c r="CZ198" s="219"/>
      <c r="DA198" s="581"/>
      <c r="DB198" s="581"/>
      <c r="DC198" s="650"/>
      <c r="DD198" s="216"/>
      <c r="DE198" s="216"/>
      <c r="DF198" s="216"/>
      <c r="DG198" s="216"/>
      <c r="DH198" s="216"/>
      <c r="DI198" s="216"/>
      <c r="DJ198" s="216"/>
      <c r="DK198" s="612"/>
      <c r="DL198" s="494">
        <f t="shared" ref="DL198:DL207" si="234">SUM(J198:S198)*5+SUM(V198:AF198)+AH198*4+U198*2.5+AG198/0.75</f>
        <v>0</v>
      </c>
      <c r="DM198" s="122">
        <f t="shared" ref="DM198:DM207" si="235">SUM(J198:DK198)</f>
        <v>0</v>
      </c>
      <c r="DN198" s="122">
        <f t="shared" ref="DN198:DN207" si="236">SUM(BK198:BV198,)</f>
        <v>0</v>
      </c>
      <c r="DO198" s="124">
        <f t="shared" ref="DO198:DO207" si="237">SUM(AT198:AV198)+SUM(AW198:AZ198)*5</f>
        <v>0</v>
      </c>
    </row>
    <row r="199" spans="2:123" ht="32.1" hidden="1" customHeight="1" outlineLevel="1" thickBot="1" x14ac:dyDescent="0.3">
      <c r="B199" s="813"/>
      <c r="C199" s="814"/>
      <c r="D199" s="792"/>
      <c r="E199" s="772"/>
      <c r="F199" s="213" t="s">
        <v>7</v>
      </c>
      <c r="G199" s="339" t="s">
        <v>133</v>
      </c>
      <c r="H199" s="330"/>
      <c r="I199" s="969" t="s">
        <v>174</v>
      </c>
      <c r="J199" s="216"/>
      <c r="K199" s="216"/>
      <c r="L199" s="216"/>
      <c r="M199" s="216"/>
      <c r="N199" s="216"/>
      <c r="O199" s="216"/>
      <c r="P199" s="216"/>
      <c r="Q199" s="216"/>
      <c r="R199" s="216"/>
      <c r="S199" s="216"/>
      <c r="T199" s="216"/>
      <c r="U199" s="217"/>
      <c r="V199" s="217"/>
      <c r="W199" s="217"/>
      <c r="X199" s="217"/>
      <c r="Y199" s="217"/>
      <c r="Z199" s="217"/>
      <c r="AA199" s="217"/>
      <c r="AB199" s="217"/>
      <c r="AC199" s="217"/>
      <c r="AD199" s="217"/>
      <c r="AE199" s="217"/>
      <c r="AF199" s="217"/>
      <c r="AG199" s="217"/>
      <c r="AH199" s="217"/>
      <c r="AI199" s="217"/>
      <c r="AJ199" s="217"/>
      <c r="AK199" s="217"/>
      <c r="AL199" s="217"/>
      <c r="AM199" s="217"/>
      <c r="AN199" s="217"/>
      <c r="AO199" s="217"/>
      <c r="AP199" s="218"/>
      <c r="AQ199" s="218"/>
      <c r="AR199" s="218"/>
      <c r="AS199" s="218"/>
      <c r="AT199" s="218"/>
      <c r="AU199" s="219"/>
      <c r="AV199" s="219"/>
      <c r="AW199" s="219"/>
      <c r="AX199" s="219"/>
      <c r="AY199" s="219"/>
      <c r="AZ199" s="219"/>
      <c r="BA199" s="220"/>
      <c r="BB199" s="220"/>
      <c r="BC199" s="220"/>
      <c r="BD199" s="220"/>
      <c r="BE199" s="216"/>
      <c r="BF199" s="216"/>
      <c r="BG199" s="216"/>
      <c r="BH199" s="216"/>
      <c r="BI199" s="216"/>
      <c r="BJ199" s="221"/>
      <c r="BK199" s="217"/>
      <c r="BL199" s="217"/>
      <c r="BM199" s="217"/>
      <c r="BN199" s="217"/>
      <c r="BO199" s="217"/>
      <c r="BP199" s="217"/>
      <c r="BQ199" s="217"/>
      <c r="BR199" s="217"/>
      <c r="BS199" s="217"/>
      <c r="BT199" s="217"/>
      <c r="BU199" s="217"/>
      <c r="BV199" s="217"/>
      <c r="BW199" s="218"/>
      <c r="BX199" s="218"/>
      <c r="BY199" s="218"/>
      <c r="BZ199" s="218"/>
      <c r="CA199" s="218"/>
      <c r="CB199" s="218"/>
      <c r="CC199" s="218"/>
      <c r="CD199" s="218"/>
      <c r="CE199" s="218"/>
      <c r="CF199" s="218"/>
      <c r="CG199" s="218"/>
      <c r="CH199" s="222"/>
      <c r="CI199" s="218"/>
      <c r="CJ199" s="218"/>
      <c r="CK199" s="218"/>
      <c r="CL199" s="218"/>
      <c r="CM199" s="218"/>
      <c r="CN199" s="218"/>
      <c r="CO199" s="219"/>
      <c r="CP199" s="219"/>
      <c r="CQ199" s="219"/>
      <c r="CR199" s="514"/>
      <c r="CS199" s="514"/>
      <c r="CT199" s="521"/>
      <c r="CU199" s="514"/>
      <c r="CV199" s="521"/>
      <c r="CW199" s="514"/>
      <c r="CX199" s="514"/>
      <c r="CY199" s="515"/>
      <c r="CZ199" s="219"/>
      <c r="DA199" s="581"/>
      <c r="DB199" s="581"/>
      <c r="DC199" s="650"/>
      <c r="DD199" s="216"/>
      <c r="DE199" s="216"/>
      <c r="DF199" s="216"/>
      <c r="DG199" s="216"/>
      <c r="DH199" s="216"/>
      <c r="DI199" s="216"/>
      <c r="DJ199" s="216"/>
      <c r="DK199" s="612"/>
      <c r="DL199" s="495">
        <f t="shared" si="234"/>
        <v>0</v>
      </c>
      <c r="DM199" s="84">
        <f t="shared" si="235"/>
        <v>0</v>
      </c>
      <c r="DN199" s="84">
        <f t="shared" si="236"/>
        <v>0</v>
      </c>
      <c r="DO199" s="125">
        <f t="shared" si="237"/>
        <v>0</v>
      </c>
    </row>
    <row r="200" spans="2:123" ht="32.1" hidden="1" customHeight="1" outlineLevel="1" thickBot="1" x14ac:dyDescent="0.3">
      <c r="B200" s="813"/>
      <c r="C200" s="814"/>
      <c r="D200" s="792"/>
      <c r="E200" s="773"/>
      <c r="F200" s="426" t="s">
        <v>7</v>
      </c>
      <c r="G200" s="427" t="s">
        <v>133</v>
      </c>
      <c r="H200" s="330"/>
      <c r="I200" s="970" t="s">
        <v>176</v>
      </c>
      <c r="J200" s="227"/>
      <c r="K200" s="227"/>
      <c r="L200" s="227"/>
      <c r="M200" s="227"/>
      <c r="N200" s="227"/>
      <c r="O200" s="227"/>
      <c r="P200" s="227"/>
      <c r="Q200" s="227"/>
      <c r="R200" s="227"/>
      <c r="S200" s="227"/>
      <c r="T200" s="227"/>
      <c r="U200" s="228"/>
      <c r="V200" s="228"/>
      <c r="W200" s="228"/>
      <c r="X200" s="228"/>
      <c r="Y200" s="228"/>
      <c r="Z200" s="228"/>
      <c r="AA200" s="228"/>
      <c r="AB200" s="228"/>
      <c r="AC200" s="228"/>
      <c r="AD200" s="228"/>
      <c r="AE200" s="228"/>
      <c r="AF200" s="228"/>
      <c r="AG200" s="228"/>
      <c r="AH200" s="228"/>
      <c r="AI200" s="228"/>
      <c r="AJ200" s="228"/>
      <c r="AK200" s="228"/>
      <c r="AL200" s="228"/>
      <c r="AM200" s="228"/>
      <c r="AN200" s="228"/>
      <c r="AO200" s="228"/>
      <c r="AP200" s="229"/>
      <c r="AQ200" s="229"/>
      <c r="AR200" s="229"/>
      <c r="AS200" s="229"/>
      <c r="AT200" s="229"/>
      <c r="AU200" s="230"/>
      <c r="AV200" s="230"/>
      <c r="AW200" s="230"/>
      <c r="AX200" s="230"/>
      <c r="AY200" s="230"/>
      <c r="AZ200" s="230"/>
      <c r="BA200" s="232"/>
      <c r="BB200" s="232"/>
      <c r="BC200" s="232"/>
      <c r="BD200" s="232"/>
      <c r="BE200" s="227"/>
      <c r="BF200" s="227"/>
      <c r="BG200" s="227"/>
      <c r="BH200" s="227"/>
      <c r="BI200" s="227"/>
      <c r="BJ200" s="233"/>
      <c r="BK200" s="234"/>
      <c r="BL200" s="228"/>
      <c r="BM200" s="228"/>
      <c r="BN200" s="228"/>
      <c r="BO200" s="228"/>
      <c r="BP200" s="228"/>
      <c r="BQ200" s="228"/>
      <c r="BR200" s="228"/>
      <c r="BS200" s="228"/>
      <c r="BT200" s="228"/>
      <c r="BU200" s="228"/>
      <c r="BV200" s="228"/>
      <c r="BW200" s="229"/>
      <c r="BX200" s="229"/>
      <c r="BY200" s="229"/>
      <c r="BZ200" s="229"/>
      <c r="CA200" s="229"/>
      <c r="CB200" s="229"/>
      <c r="CC200" s="229"/>
      <c r="CD200" s="229"/>
      <c r="CE200" s="229"/>
      <c r="CF200" s="451"/>
      <c r="CG200" s="229"/>
      <c r="CH200" s="235"/>
      <c r="CI200" s="229"/>
      <c r="CJ200" s="229"/>
      <c r="CK200" s="229"/>
      <c r="CL200" s="229"/>
      <c r="CM200" s="229"/>
      <c r="CN200" s="229"/>
      <c r="CO200" s="230"/>
      <c r="CP200" s="230"/>
      <c r="CQ200" s="230"/>
      <c r="CR200" s="516"/>
      <c r="CS200" s="516"/>
      <c r="CT200" s="526"/>
      <c r="CU200" s="516"/>
      <c r="CV200" s="516"/>
      <c r="CW200" s="516"/>
      <c r="CX200" s="516"/>
      <c r="CY200" s="517"/>
      <c r="CZ200" s="230"/>
      <c r="DA200" s="582"/>
      <c r="DB200" s="582"/>
      <c r="DC200" s="651"/>
      <c r="DD200" s="227"/>
      <c r="DE200" s="227"/>
      <c r="DF200" s="227"/>
      <c r="DG200" s="227"/>
      <c r="DH200" s="227"/>
      <c r="DI200" s="227"/>
      <c r="DJ200" s="227"/>
      <c r="DK200" s="613"/>
      <c r="DL200" s="496">
        <f t="shared" si="234"/>
        <v>0</v>
      </c>
      <c r="DM200" s="120">
        <f t="shared" si="235"/>
        <v>0</v>
      </c>
      <c r="DN200" s="120">
        <f t="shared" si="236"/>
        <v>0</v>
      </c>
      <c r="DO200" s="358">
        <f t="shared" si="237"/>
        <v>0</v>
      </c>
    </row>
    <row r="201" spans="2:123" ht="32.1" hidden="1" customHeight="1" outlineLevel="1" thickBot="1" x14ac:dyDescent="0.3">
      <c r="B201" s="813"/>
      <c r="C201" s="814"/>
      <c r="D201" s="792"/>
      <c r="E201" s="772" t="s">
        <v>137</v>
      </c>
      <c r="F201" s="429" t="s">
        <v>7</v>
      </c>
      <c r="G201" s="430" t="s">
        <v>133</v>
      </c>
      <c r="H201" s="431"/>
      <c r="I201" s="971" t="s">
        <v>56</v>
      </c>
      <c r="J201" s="206"/>
      <c r="K201" s="206"/>
      <c r="L201" s="206"/>
      <c r="M201" s="206"/>
      <c r="N201" s="206"/>
      <c r="O201" s="206"/>
      <c r="P201" s="206"/>
      <c r="Q201" s="206"/>
      <c r="R201" s="206"/>
      <c r="S201" s="206"/>
      <c r="T201" s="206"/>
      <c r="U201" s="207"/>
      <c r="V201" s="207"/>
      <c r="W201" s="207"/>
      <c r="X201" s="207"/>
      <c r="Y201" s="207"/>
      <c r="Z201" s="207"/>
      <c r="AA201" s="207"/>
      <c r="AB201" s="207"/>
      <c r="AC201" s="207"/>
      <c r="AD201" s="207"/>
      <c r="AE201" s="207"/>
      <c r="AF201" s="207"/>
      <c r="AG201" s="207"/>
      <c r="AH201" s="207"/>
      <c r="AI201" s="207"/>
      <c r="AJ201" s="207"/>
      <c r="AK201" s="207"/>
      <c r="AL201" s="207"/>
      <c r="AM201" s="207"/>
      <c r="AN201" s="207"/>
      <c r="AO201" s="207"/>
      <c r="AP201" s="208"/>
      <c r="AQ201" s="208"/>
      <c r="AR201" s="208"/>
      <c r="AS201" s="208"/>
      <c r="AT201" s="208"/>
      <c r="AU201" s="209"/>
      <c r="AV201" s="209"/>
      <c r="AW201" s="209"/>
      <c r="AX201" s="209"/>
      <c r="AY201" s="209"/>
      <c r="AZ201" s="209"/>
      <c r="BA201" s="210"/>
      <c r="BB201" s="210"/>
      <c r="BC201" s="210"/>
      <c r="BD201" s="210"/>
      <c r="BE201" s="206"/>
      <c r="BF201" s="206"/>
      <c r="BG201" s="206"/>
      <c r="BH201" s="206"/>
      <c r="BI201" s="206"/>
      <c r="BJ201" s="211"/>
      <c r="BK201" s="454"/>
      <c r="BL201" s="207"/>
      <c r="BM201" s="207"/>
      <c r="BN201" s="207"/>
      <c r="BO201" s="207"/>
      <c r="BP201" s="207"/>
      <c r="BQ201" s="207"/>
      <c r="BR201" s="207"/>
      <c r="BS201" s="207"/>
      <c r="BT201" s="207"/>
      <c r="BU201" s="207"/>
      <c r="BV201" s="207"/>
      <c r="BW201" s="208"/>
      <c r="BX201" s="208"/>
      <c r="BY201" s="208"/>
      <c r="BZ201" s="208"/>
      <c r="CA201" s="208"/>
      <c r="CB201" s="208"/>
      <c r="CC201" s="208"/>
      <c r="CD201" s="208"/>
      <c r="CE201" s="208"/>
      <c r="CF201" s="455"/>
      <c r="CG201" s="208"/>
      <c r="CH201" s="212"/>
      <c r="CI201" s="208"/>
      <c r="CJ201" s="208"/>
      <c r="CK201" s="208"/>
      <c r="CL201" s="208"/>
      <c r="CM201" s="208"/>
      <c r="CN201" s="208"/>
      <c r="CO201" s="209"/>
      <c r="CP201" s="209"/>
      <c r="CQ201" s="209"/>
      <c r="CR201" s="512"/>
      <c r="CS201" s="512"/>
      <c r="CT201" s="519"/>
      <c r="CU201" s="512"/>
      <c r="CV201" s="512"/>
      <c r="CW201" s="512"/>
      <c r="CX201" s="512"/>
      <c r="CY201" s="513"/>
      <c r="CZ201" s="209"/>
      <c r="DA201" s="583"/>
      <c r="DB201" s="583"/>
      <c r="DC201" s="652"/>
      <c r="DD201" s="206"/>
      <c r="DE201" s="206"/>
      <c r="DF201" s="206"/>
      <c r="DG201" s="206"/>
      <c r="DH201" s="206"/>
      <c r="DI201" s="206"/>
      <c r="DJ201" s="206"/>
      <c r="DK201" s="611"/>
      <c r="DL201" s="494">
        <f t="shared" si="234"/>
        <v>0</v>
      </c>
      <c r="DM201" s="122">
        <f t="shared" si="235"/>
        <v>0</v>
      </c>
      <c r="DN201" s="122">
        <f t="shared" si="236"/>
        <v>0</v>
      </c>
      <c r="DO201" s="124">
        <f t="shared" si="237"/>
        <v>0</v>
      </c>
    </row>
    <row r="202" spans="2:123" ht="32.1" hidden="1" customHeight="1" outlineLevel="1" thickBot="1" x14ac:dyDescent="0.3">
      <c r="B202" s="813"/>
      <c r="C202" s="814"/>
      <c r="D202" s="792"/>
      <c r="E202" s="772"/>
      <c r="F202" s="213" t="s">
        <v>7</v>
      </c>
      <c r="G202" s="339" t="s">
        <v>133</v>
      </c>
      <c r="H202" s="330"/>
      <c r="I202" s="969" t="s">
        <v>71</v>
      </c>
      <c r="J202" s="216"/>
      <c r="K202" s="216"/>
      <c r="L202" s="216"/>
      <c r="M202" s="216"/>
      <c r="N202" s="216"/>
      <c r="O202" s="216"/>
      <c r="P202" s="216"/>
      <c r="Q202" s="216"/>
      <c r="R202" s="216"/>
      <c r="S202" s="216"/>
      <c r="T202" s="216"/>
      <c r="U202" s="217"/>
      <c r="V202" s="217"/>
      <c r="W202" s="217"/>
      <c r="X202" s="217"/>
      <c r="Y202" s="217"/>
      <c r="Z202" s="217"/>
      <c r="AA202" s="217"/>
      <c r="AB202" s="217"/>
      <c r="AC202" s="217"/>
      <c r="AD202" s="217"/>
      <c r="AE202" s="217"/>
      <c r="AF202" s="217"/>
      <c r="AG202" s="217"/>
      <c r="AH202" s="217"/>
      <c r="AI202" s="217"/>
      <c r="AJ202" s="217"/>
      <c r="AK202" s="217"/>
      <c r="AL202" s="217"/>
      <c r="AM202" s="217"/>
      <c r="AN202" s="217"/>
      <c r="AO202" s="217"/>
      <c r="AP202" s="218"/>
      <c r="AQ202" s="218"/>
      <c r="AR202" s="218"/>
      <c r="AS202" s="218"/>
      <c r="AT202" s="218"/>
      <c r="AU202" s="219"/>
      <c r="AV202" s="219"/>
      <c r="AW202" s="219"/>
      <c r="AX202" s="219"/>
      <c r="AY202" s="219"/>
      <c r="AZ202" s="219"/>
      <c r="BA202" s="220"/>
      <c r="BB202" s="220"/>
      <c r="BC202" s="220"/>
      <c r="BD202" s="220"/>
      <c r="BE202" s="216"/>
      <c r="BF202" s="216"/>
      <c r="BG202" s="216"/>
      <c r="BH202" s="216"/>
      <c r="BI202" s="216"/>
      <c r="BJ202" s="221"/>
      <c r="BK202" s="342"/>
      <c r="BL202" s="217"/>
      <c r="BM202" s="217"/>
      <c r="BN202" s="217"/>
      <c r="BO202" s="217"/>
      <c r="BP202" s="217"/>
      <c r="BQ202" s="217"/>
      <c r="BR202" s="217"/>
      <c r="BS202" s="217"/>
      <c r="BT202" s="217"/>
      <c r="BU202" s="217"/>
      <c r="BV202" s="217"/>
      <c r="BW202" s="218"/>
      <c r="BX202" s="218"/>
      <c r="BY202" s="218"/>
      <c r="BZ202" s="218"/>
      <c r="CA202" s="218"/>
      <c r="CB202" s="218"/>
      <c r="CC202" s="218"/>
      <c r="CD202" s="218"/>
      <c r="CE202" s="218"/>
      <c r="CF202" s="223"/>
      <c r="CG202" s="218"/>
      <c r="CH202" s="222"/>
      <c r="CI202" s="218"/>
      <c r="CJ202" s="218"/>
      <c r="CK202" s="218"/>
      <c r="CL202" s="218"/>
      <c r="CM202" s="218"/>
      <c r="CN202" s="218"/>
      <c r="CO202" s="219"/>
      <c r="CP202" s="219"/>
      <c r="CQ202" s="219"/>
      <c r="CR202" s="514"/>
      <c r="CS202" s="514"/>
      <c r="CT202" s="521"/>
      <c r="CU202" s="514"/>
      <c r="CV202" s="514"/>
      <c r="CW202" s="514"/>
      <c r="CX202" s="514"/>
      <c r="CY202" s="515"/>
      <c r="CZ202" s="219"/>
      <c r="DA202" s="581"/>
      <c r="DB202" s="581"/>
      <c r="DC202" s="650"/>
      <c r="DD202" s="216"/>
      <c r="DE202" s="216"/>
      <c r="DF202" s="216"/>
      <c r="DG202" s="216"/>
      <c r="DH202" s="216"/>
      <c r="DI202" s="216"/>
      <c r="DJ202" s="216"/>
      <c r="DK202" s="612"/>
      <c r="DL202" s="495">
        <f t="shared" si="234"/>
        <v>0</v>
      </c>
      <c r="DM202" s="84">
        <f t="shared" si="235"/>
        <v>0</v>
      </c>
      <c r="DN202" s="84">
        <f t="shared" si="236"/>
        <v>0</v>
      </c>
      <c r="DO202" s="125">
        <f t="shared" si="237"/>
        <v>0</v>
      </c>
    </row>
    <row r="203" spans="2:123" ht="32.1" hidden="1" customHeight="1" outlineLevel="1" thickBot="1" x14ac:dyDescent="0.3">
      <c r="B203" s="813"/>
      <c r="C203" s="814"/>
      <c r="D203" s="792"/>
      <c r="E203" s="772"/>
      <c r="F203" s="224" t="s">
        <v>7</v>
      </c>
      <c r="G203" s="432" t="s">
        <v>133</v>
      </c>
      <c r="H203" s="456"/>
      <c r="I203" s="958" t="s">
        <v>67</v>
      </c>
      <c r="J203" s="434"/>
      <c r="K203" s="434"/>
      <c r="L203" s="434"/>
      <c r="M203" s="434"/>
      <c r="N203" s="434"/>
      <c r="O203" s="434"/>
      <c r="P203" s="434"/>
      <c r="Q203" s="434"/>
      <c r="R203" s="434"/>
      <c r="S203" s="434"/>
      <c r="T203" s="434"/>
      <c r="U203" s="435"/>
      <c r="V203" s="435"/>
      <c r="W203" s="435"/>
      <c r="X203" s="435"/>
      <c r="Y203" s="435"/>
      <c r="Z203" s="435"/>
      <c r="AA203" s="435"/>
      <c r="AB203" s="435"/>
      <c r="AC203" s="435"/>
      <c r="AD203" s="435"/>
      <c r="AE203" s="435"/>
      <c r="AF203" s="435"/>
      <c r="AG203" s="435"/>
      <c r="AH203" s="435"/>
      <c r="AI203" s="435"/>
      <c r="AJ203" s="435"/>
      <c r="AK203" s="435"/>
      <c r="AL203" s="435"/>
      <c r="AM203" s="435"/>
      <c r="AN203" s="435"/>
      <c r="AO203" s="435"/>
      <c r="AP203" s="436"/>
      <c r="AQ203" s="436"/>
      <c r="AR203" s="436"/>
      <c r="AS203" s="436"/>
      <c r="AT203" s="436"/>
      <c r="AU203" s="437"/>
      <c r="AV203" s="437"/>
      <c r="AW203" s="437"/>
      <c r="AX203" s="437"/>
      <c r="AY203" s="437"/>
      <c r="AZ203" s="437"/>
      <c r="BA203" s="438"/>
      <c r="BB203" s="438"/>
      <c r="BC203" s="438"/>
      <c r="BD203" s="438"/>
      <c r="BE203" s="434"/>
      <c r="BF203" s="434"/>
      <c r="BG203" s="434"/>
      <c r="BH203" s="434"/>
      <c r="BI203" s="434"/>
      <c r="BJ203" s="439"/>
      <c r="BK203" s="457"/>
      <c r="BL203" s="435"/>
      <c r="BM203" s="435"/>
      <c r="BN203" s="435"/>
      <c r="BO203" s="435"/>
      <c r="BP203" s="435"/>
      <c r="BQ203" s="435"/>
      <c r="BR203" s="435"/>
      <c r="BS203" s="435"/>
      <c r="BT203" s="435"/>
      <c r="BU203" s="435"/>
      <c r="BV203" s="435"/>
      <c r="BW203" s="436"/>
      <c r="BX203" s="436"/>
      <c r="BY203" s="436"/>
      <c r="BZ203" s="436"/>
      <c r="CA203" s="436"/>
      <c r="CB203" s="436"/>
      <c r="CC203" s="436"/>
      <c r="CD203" s="436"/>
      <c r="CE203" s="436"/>
      <c r="CF203" s="458"/>
      <c r="CG203" s="436"/>
      <c r="CH203" s="440"/>
      <c r="CI203" s="436"/>
      <c r="CJ203" s="436"/>
      <c r="CK203" s="436"/>
      <c r="CL203" s="436"/>
      <c r="CM203" s="436"/>
      <c r="CN203" s="436"/>
      <c r="CO203" s="437"/>
      <c r="CP203" s="437"/>
      <c r="CQ203" s="437"/>
      <c r="CR203" s="522"/>
      <c r="CS203" s="522"/>
      <c r="CT203" s="560"/>
      <c r="CU203" s="522"/>
      <c r="CV203" s="522"/>
      <c r="CW203" s="522"/>
      <c r="CX203" s="522"/>
      <c r="CY203" s="523"/>
      <c r="CZ203" s="437"/>
      <c r="DA203" s="584"/>
      <c r="DB203" s="584"/>
      <c r="DC203" s="653"/>
      <c r="DD203" s="434"/>
      <c r="DE203" s="434"/>
      <c r="DF203" s="434"/>
      <c r="DG203" s="434"/>
      <c r="DH203" s="434"/>
      <c r="DI203" s="434"/>
      <c r="DJ203" s="434"/>
      <c r="DK203" s="614"/>
      <c r="DL203" s="497">
        <f t="shared" si="234"/>
        <v>0</v>
      </c>
      <c r="DM203" s="126">
        <f t="shared" si="235"/>
        <v>0</v>
      </c>
      <c r="DN203" s="126">
        <f t="shared" si="236"/>
        <v>0</v>
      </c>
      <c r="DO203" s="127">
        <f t="shared" si="237"/>
        <v>0</v>
      </c>
    </row>
    <row r="204" spans="2:123" ht="32.1" hidden="1" customHeight="1" outlineLevel="1" thickBot="1" x14ac:dyDescent="0.3">
      <c r="B204" s="813"/>
      <c r="C204" s="814"/>
      <c r="D204" s="792"/>
      <c r="E204" s="774" t="s">
        <v>138</v>
      </c>
      <c r="F204" s="328" t="s">
        <v>7</v>
      </c>
      <c r="G204" s="428" t="s">
        <v>133</v>
      </c>
      <c r="H204" s="330"/>
      <c r="I204" s="972" t="s">
        <v>179</v>
      </c>
      <c r="J204" s="331"/>
      <c r="K204" s="331"/>
      <c r="L204" s="331"/>
      <c r="M204" s="331"/>
      <c r="N204" s="331"/>
      <c r="O204" s="331"/>
      <c r="P204" s="331"/>
      <c r="Q204" s="331"/>
      <c r="R204" s="331"/>
      <c r="S204" s="331"/>
      <c r="T204" s="331"/>
      <c r="U204" s="332"/>
      <c r="V204" s="332"/>
      <c r="W204" s="332"/>
      <c r="X204" s="332"/>
      <c r="Y204" s="332"/>
      <c r="Z204" s="332"/>
      <c r="AA204" s="332"/>
      <c r="AB204" s="332"/>
      <c r="AC204" s="332"/>
      <c r="AD204" s="332"/>
      <c r="AE204" s="332"/>
      <c r="AF204" s="332"/>
      <c r="AG204" s="332"/>
      <c r="AH204" s="332"/>
      <c r="AI204" s="332"/>
      <c r="AJ204" s="332"/>
      <c r="AK204" s="332"/>
      <c r="AL204" s="332"/>
      <c r="AM204" s="332"/>
      <c r="AN204" s="332"/>
      <c r="AO204" s="332"/>
      <c r="AP204" s="333"/>
      <c r="AQ204" s="333"/>
      <c r="AR204" s="333"/>
      <c r="AS204" s="333"/>
      <c r="AT204" s="333"/>
      <c r="AU204" s="334"/>
      <c r="AV204" s="334"/>
      <c r="AW204" s="334"/>
      <c r="AX204" s="334"/>
      <c r="AY204" s="334"/>
      <c r="AZ204" s="334"/>
      <c r="BA204" s="335"/>
      <c r="BB204" s="335"/>
      <c r="BC204" s="335"/>
      <c r="BD204" s="335"/>
      <c r="BE204" s="331"/>
      <c r="BF204" s="331"/>
      <c r="BG204" s="331"/>
      <c r="BH204" s="331"/>
      <c r="BI204" s="331"/>
      <c r="BJ204" s="336"/>
      <c r="BK204" s="452"/>
      <c r="BL204" s="332"/>
      <c r="BM204" s="332"/>
      <c r="BN204" s="332"/>
      <c r="BO204" s="332"/>
      <c r="BP204" s="332"/>
      <c r="BQ204" s="332"/>
      <c r="BR204" s="332"/>
      <c r="BS204" s="332"/>
      <c r="BT204" s="332"/>
      <c r="BU204" s="332"/>
      <c r="BV204" s="332"/>
      <c r="BW204" s="333"/>
      <c r="BX204" s="333"/>
      <c r="BY204" s="333"/>
      <c r="BZ204" s="333"/>
      <c r="CA204" s="333"/>
      <c r="CB204" s="333"/>
      <c r="CC204" s="333"/>
      <c r="CD204" s="333"/>
      <c r="CE204" s="333"/>
      <c r="CF204" s="453"/>
      <c r="CG204" s="333"/>
      <c r="CH204" s="338"/>
      <c r="CI204" s="333"/>
      <c r="CJ204" s="333"/>
      <c r="CK204" s="333"/>
      <c r="CL204" s="333"/>
      <c r="CM204" s="333"/>
      <c r="CN204" s="333"/>
      <c r="CO204" s="334"/>
      <c r="CP204" s="334"/>
      <c r="CQ204" s="334"/>
      <c r="CR204" s="524"/>
      <c r="CS204" s="524"/>
      <c r="CT204" s="562"/>
      <c r="CU204" s="524"/>
      <c r="CV204" s="524"/>
      <c r="CW204" s="524"/>
      <c r="CX204" s="524"/>
      <c r="CY204" s="525"/>
      <c r="CZ204" s="334"/>
      <c r="DA204" s="585"/>
      <c r="DB204" s="585"/>
      <c r="DC204" s="654"/>
      <c r="DD204" s="331"/>
      <c r="DE204" s="331"/>
      <c r="DF204" s="331"/>
      <c r="DG204" s="331"/>
      <c r="DH204" s="331"/>
      <c r="DI204" s="331"/>
      <c r="DJ204" s="331"/>
      <c r="DK204" s="615"/>
      <c r="DL204" s="498">
        <f t="shared" si="234"/>
        <v>0</v>
      </c>
      <c r="DM204" s="121">
        <f t="shared" si="235"/>
        <v>0</v>
      </c>
      <c r="DN204" s="121">
        <f t="shared" si="236"/>
        <v>0</v>
      </c>
      <c r="DO204" s="357">
        <f t="shared" si="237"/>
        <v>0</v>
      </c>
    </row>
    <row r="205" spans="2:123" ht="32.1" hidden="1" customHeight="1" outlineLevel="1" thickBot="1" x14ac:dyDescent="0.3">
      <c r="B205" s="813"/>
      <c r="C205" s="814"/>
      <c r="D205" s="792"/>
      <c r="E205" s="772"/>
      <c r="F205" s="213" t="s">
        <v>7</v>
      </c>
      <c r="G205" s="339" t="s">
        <v>133</v>
      </c>
      <c r="H205" s="330"/>
      <c r="I205" s="969" t="s">
        <v>60</v>
      </c>
      <c r="J205" s="216"/>
      <c r="K205" s="216"/>
      <c r="L205" s="216"/>
      <c r="M205" s="216"/>
      <c r="N205" s="216"/>
      <c r="O205" s="216"/>
      <c r="P205" s="216"/>
      <c r="Q205" s="216"/>
      <c r="R205" s="216"/>
      <c r="S205" s="216"/>
      <c r="T205" s="216"/>
      <c r="U205" s="217"/>
      <c r="V205" s="217"/>
      <c r="W205" s="217"/>
      <c r="X205" s="217"/>
      <c r="Y205" s="217"/>
      <c r="Z205" s="217"/>
      <c r="AA205" s="217"/>
      <c r="AB205" s="217"/>
      <c r="AC205" s="217"/>
      <c r="AD205" s="217"/>
      <c r="AE205" s="217"/>
      <c r="AF205" s="217"/>
      <c r="AG205" s="217"/>
      <c r="AH205" s="217"/>
      <c r="AI205" s="217"/>
      <c r="AJ205" s="217"/>
      <c r="AK205" s="217"/>
      <c r="AL205" s="217"/>
      <c r="AM205" s="217"/>
      <c r="AN205" s="217"/>
      <c r="AO205" s="217"/>
      <c r="AP205" s="218"/>
      <c r="AQ205" s="218"/>
      <c r="AR205" s="218"/>
      <c r="AS205" s="218"/>
      <c r="AT205" s="218"/>
      <c r="AU205" s="219"/>
      <c r="AV205" s="219"/>
      <c r="AW205" s="219"/>
      <c r="AX205" s="219"/>
      <c r="AY205" s="219"/>
      <c r="AZ205" s="219"/>
      <c r="BA205" s="220"/>
      <c r="BB205" s="220"/>
      <c r="BC205" s="220"/>
      <c r="BD205" s="220"/>
      <c r="BE205" s="216"/>
      <c r="BF205" s="216"/>
      <c r="BG205" s="216"/>
      <c r="BH205" s="216"/>
      <c r="BI205" s="216"/>
      <c r="BJ205" s="221"/>
      <c r="BK205" s="342"/>
      <c r="BL205" s="217"/>
      <c r="BM205" s="217"/>
      <c r="BN205" s="217"/>
      <c r="BO205" s="217"/>
      <c r="BP205" s="217"/>
      <c r="BQ205" s="217"/>
      <c r="BR205" s="217"/>
      <c r="BS205" s="217"/>
      <c r="BT205" s="217"/>
      <c r="BU205" s="217"/>
      <c r="BV205" s="217"/>
      <c r="BW205" s="218"/>
      <c r="BX205" s="218"/>
      <c r="BY205" s="218"/>
      <c r="BZ205" s="218"/>
      <c r="CA205" s="218"/>
      <c r="CB205" s="218"/>
      <c r="CC205" s="218"/>
      <c r="CD205" s="218"/>
      <c r="CE205" s="218"/>
      <c r="CF205" s="223"/>
      <c r="CG205" s="218"/>
      <c r="CH205" s="222"/>
      <c r="CI205" s="218"/>
      <c r="CJ205" s="218"/>
      <c r="CK205" s="218"/>
      <c r="CL205" s="218"/>
      <c r="CM205" s="218"/>
      <c r="CN205" s="218"/>
      <c r="CO205" s="219"/>
      <c r="CP205" s="219"/>
      <c r="CQ205" s="219"/>
      <c r="CR205" s="514"/>
      <c r="CS205" s="514"/>
      <c r="CT205" s="521"/>
      <c r="CU205" s="514"/>
      <c r="CV205" s="514"/>
      <c r="CW205" s="514"/>
      <c r="CX205" s="514"/>
      <c r="CY205" s="515"/>
      <c r="CZ205" s="219"/>
      <c r="DA205" s="581"/>
      <c r="DB205" s="581"/>
      <c r="DC205" s="650"/>
      <c r="DD205" s="216"/>
      <c r="DE205" s="216"/>
      <c r="DF205" s="216"/>
      <c r="DG205" s="216"/>
      <c r="DH205" s="216"/>
      <c r="DI205" s="216"/>
      <c r="DJ205" s="216"/>
      <c r="DK205" s="612"/>
      <c r="DL205" s="495">
        <f t="shared" si="234"/>
        <v>0</v>
      </c>
      <c r="DM205" s="84">
        <f t="shared" si="235"/>
        <v>0</v>
      </c>
      <c r="DN205" s="84">
        <f t="shared" si="236"/>
        <v>0</v>
      </c>
      <c r="DO205" s="125">
        <f t="shared" si="237"/>
        <v>0</v>
      </c>
    </row>
    <row r="206" spans="2:123" ht="32.1" hidden="1" customHeight="1" outlineLevel="1" thickBot="1" x14ac:dyDescent="0.3">
      <c r="B206" s="813"/>
      <c r="C206" s="814"/>
      <c r="D206" s="792"/>
      <c r="E206" s="772"/>
      <c r="F206" s="213" t="s">
        <v>7</v>
      </c>
      <c r="G206" s="339" t="s">
        <v>133</v>
      </c>
      <c r="H206" s="330"/>
      <c r="I206" s="969" t="s">
        <v>63</v>
      </c>
      <c r="J206" s="216"/>
      <c r="K206" s="216"/>
      <c r="L206" s="216"/>
      <c r="M206" s="216"/>
      <c r="N206" s="216"/>
      <c r="O206" s="216"/>
      <c r="P206" s="216"/>
      <c r="Q206" s="216"/>
      <c r="R206" s="216"/>
      <c r="S206" s="216"/>
      <c r="T206" s="216"/>
      <c r="U206" s="217"/>
      <c r="V206" s="217"/>
      <c r="W206" s="217"/>
      <c r="X206" s="217"/>
      <c r="Y206" s="217"/>
      <c r="Z206" s="217"/>
      <c r="AA206" s="217"/>
      <c r="AB206" s="217"/>
      <c r="AC206" s="217"/>
      <c r="AD206" s="217"/>
      <c r="AE206" s="217"/>
      <c r="AF206" s="217"/>
      <c r="AG206" s="217"/>
      <c r="AH206" s="217"/>
      <c r="AI206" s="217"/>
      <c r="AJ206" s="217"/>
      <c r="AK206" s="217"/>
      <c r="AL206" s="217"/>
      <c r="AM206" s="217"/>
      <c r="AN206" s="217"/>
      <c r="AO206" s="217"/>
      <c r="AP206" s="218"/>
      <c r="AQ206" s="218"/>
      <c r="AR206" s="218"/>
      <c r="AS206" s="218"/>
      <c r="AT206" s="218"/>
      <c r="AU206" s="219"/>
      <c r="AV206" s="219"/>
      <c r="AW206" s="219"/>
      <c r="AX206" s="219"/>
      <c r="AY206" s="219"/>
      <c r="AZ206" s="219"/>
      <c r="BA206" s="220"/>
      <c r="BB206" s="220"/>
      <c r="BC206" s="220"/>
      <c r="BD206" s="220"/>
      <c r="BE206" s="216"/>
      <c r="BF206" s="216"/>
      <c r="BG206" s="216"/>
      <c r="BH206" s="216"/>
      <c r="BI206" s="216"/>
      <c r="BJ206" s="221"/>
      <c r="BK206" s="342"/>
      <c r="BL206" s="217"/>
      <c r="BM206" s="217"/>
      <c r="BN206" s="217"/>
      <c r="BO206" s="217"/>
      <c r="BP206" s="217"/>
      <c r="BQ206" s="217"/>
      <c r="BR206" s="217"/>
      <c r="BS206" s="217"/>
      <c r="BT206" s="217"/>
      <c r="BU206" s="217"/>
      <c r="BV206" s="217"/>
      <c r="BW206" s="218"/>
      <c r="BX206" s="218"/>
      <c r="BY206" s="218"/>
      <c r="BZ206" s="218"/>
      <c r="CA206" s="218"/>
      <c r="CB206" s="218"/>
      <c r="CC206" s="218"/>
      <c r="CD206" s="218"/>
      <c r="CE206" s="218"/>
      <c r="CF206" s="223"/>
      <c r="CG206" s="218"/>
      <c r="CH206" s="222"/>
      <c r="CI206" s="218"/>
      <c r="CJ206" s="218"/>
      <c r="CK206" s="218"/>
      <c r="CL206" s="218"/>
      <c r="CM206" s="218"/>
      <c r="CN206" s="218"/>
      <c r="CO206" s="219"/>
      <c r="CP206" s="219"/>
      <c r="CQ206" s="219"/>
      <c r="CR206" s="514"/>
      <c r="CS206" s="514"/>
      <c r="CT206" s="521"/>
      <c r="CU206" s="514"/>
      <c r="CV206" s="514"/>
      <c r="CW206" s="514"/>
      <c r="CX206" s="514"/>
      <c r="CY206" s="515"/>
      <c r="CZ206" s="219"/>
      <c r="DA206" s="581"/>
      <c r="DB206" s="581"/>
      <c r="DC206" s="650"/>
      <c r="DD206" s="216"/>
      <c r="DE206" s="216"/>
      <c r="DF206" s="216"/>
      <c r="DG206" s="216"/>
      <c r="DH206" s="216"/>
      <c r="DI206" s="216"/>
      <c r="DJ206" s="216"/>
      <c r="DK206" s="612"/>
      <c r="DL206" s="495">
        <f t="shared" si="234"/>
        <v>0</v>
      </c>
      <c r="DM206" s="84">
        <f t="shared" si="235"/>
        <v>0</v>
      </c>
      <c r="DN206" s="84">
        <f t="shared" si="236"/>
        <v>0</v>
      </c>
      <c r="DO206" s="125">
        <f t="shared" si="237"/>
        <v>0</v>
      </c>
    </row>
    <row r="207" spans="2:123" ht="32.1" hidden="1" customHeight="1" outlineLevel="1" thickBot="1" x14ac:dyDescent="0.3">
      <c r="B207" s="813"/>
      <c r="C207" s="814"/>
      <c r="D207" s="792"/>
      <c r="E207" s="772"/>
      <c r="F207" s="213" t="s">
        <v>7</v>
      </c>
      <c r="G207" s="339" t="s">
        <v>133</v>
      </c>
      <c r="H207" s="330"/>
      <c r="I207" s="969" t="s">
        <v>232</v>
      </c>
      <c r="J207" s="216"/>
      <c r="K207" s="216"/>
      <c r="L207" s="216"/>
      <c r="M207" s="216"/>
      <c r="N207" s="216"/>
      <c r="O207" s="216"/>
      <c r="P207" s="216"/>
      <c r="Q207" s="216"/>
      <c r="R207" s="216"/>
      <c r="S207" s="216"/>
      <c r="T207" s="216"/>
      <c r="U207" s="217"/>
      <c r="V207" s="217"/>
      <c r="W207" s="217"/>
      <c r="X207" s="217"/>
      <c r="Y207" s="217"/>
      <c r="Z207" s="217"/>
      <c r="AA207" s="217"/>
      <c r="AB207" s="217"/>
      <c r="AC207" s="217"/>
      <c r="AD207" s="217"/>
      <c r="AE207" s="217"/>
      <c r="AF207" s="217"/>
      <c r="AG207" s="217"/>
      <c r="AH207" s="217"/>
      <c r="AI207" s="217"/>
      <c r="AJ207" s="217"/>
      <c r="AK207" s="217"/>
      <c r="AL207" s="217"/>
      <c r="AM207" s="217"/>
      <c r="AN207" s="217"/>
      <c r="AO207" s="217"/>
      <c r="AP207" s="218"/>
      <c r="AQ207" s="218"/>
      <c r="AR207" s="218"/>
      <c r="AS207" s="218"/>
      <c r="AT207" s="218"/>
      <c r="AU207" s="219"/>
      <c r="AV207" s="219"/>
      <c r="AW207" s="219"/>
      <c r="AX207" s="219"/>
      <c r="AY207" s="219"/>
      <c r="AZ207" s="219"/>
      <c r="BA207" s="220"/>
      <c r="BB207" s="220"/>
      <c r="BC207" s="220"/>
      <c r="BD207" s="220"/>
      <c r="BE207" s="216"/>
      <c r="BF207" s="216"/>
      <c r="BG207" s="216"/>
      <c r="BH207" s="216"/>
      <c r="BI207" s="216"/>
      <c r="BJ207" s="221"/>
      <c r="BK207" s="342"/>
      <c r="BL207" s="217"/>
      <c r="BM207" s="217"/>
      <c r="BN207" s="217"/>
      <c r="BO207" s="217"/>
      <c r="BP207" s="217"/>
      <c r="BQ207" s="217"/>
      <c r="BR207" s="217"/>
      <c r="BS207" s="217"/>
      <c r="BT207" s="217"/>
      <c r="BU207" s="217"/>
      <c r="BV207" s="217"/>
      <c r="BW207" s="218"/>
      <c r="BX207" s="218"/>
      <c r="BY207" s="218"/>
      <c r="BZ207" s="218"/>
      <c r="CA207" s="218"/>
      <c r="CB207" s="218"/>
      <c r="CC207" s="218"/>
      <c r="CD207" s="218"/>
      <c r="CE207" s="218"/>
      <c r="CF207" s="223"/>
      <c r="CG207" s="218"/>
      <c r="CH207" s="222"/>
      <c r="CI207" s="218"/>
      <c r="CJ207" s="218"/>
      <c r="CK207" s="218"/>
      <c r="CL207" s="218"/>
      <c r="CM207" s="218"/>
      <c r="CN207" s="218"/>
      <c r="CO207" s="219"/>
      <c r="CP207" s="219"/>
      <c r="CQ207" s="219"/>
      <c r="CR207" s="514"/>
      <c r="CS207" s="514"/>
      <c r="CT207" s="521"/>
      <c r="CU207" s="514"/>
      <c r="CV207" s="514"/>
      <c r="CW207" s="514"/>
      <c r="CX207" s="514"/>
      <c r="CY207" s="515"/>
      <c r="CZ207" s="219"/>
      <c r="DA207" s="581"/>
      <c r="DB207" s="581"/>
      <c r="DC207" s="650"/>
      <c r="DD207" s="216"/>
      <c r="DE207" s="216"/>
      <c r="DF207" s="216"/>
      <c r="DG207" s="216"/>
      <c r="DH207" s="216"/>
      <c r="DI207" s="216"/>
      <c r="DJ207" s="216"/>
      <c r="DK207" s="612"/>
      <c r="DL207" s="497">
        <f t="shared" si="234"/>
        <v>0</v>
      </c>
      <c r="DM207" s="126">
        <f t="shared" si="235"/>
        <v>0</v>
      </c>
      <c r="DN207" s="126">
        <f t="shared" si="236"/>
        <v>0</v>
      </c>
      <c r="DO207" s="127">
        <f t="shared" si="237"/>
        <v>0</v>
      </c>
    </row>
    <row r="208" spans="2:123" s="834" customFormat="1" ht="16.5" hidden="1" customHeight="1" outlineLevel="1" thickBot="1" x14ac:dyDescent="0.35">
      <c r="B208" s="813"/>
      <c r="C208" s="814"/>
      <c r="D208" s="819"/>
      <c r="E208" s="820" t="s">
        <v>254</v>
      </c>
      <c r="F208" s="821"/>
      <c r="G208" s="822"/>
      <c r="H208" s="823"/>
      <c r="I208" s="903"/>
      <c r="J208" s="824">
        <f>SUM(J198:J207)</f>
        <v>0</v>
      </c>
      <c r="K208" s="824">
        <f t="shared" ref="K208:CL208" si="238">SUM(K198:K207)</f>
        <v>0</v>
      </c>
      <c r="L208" s="824">
        <f t="shared" si="238"/>
        <v>0</v>
      </c>
      <c r="M208" s="824">
        <f t="shared" si="238"/>
        <v>0</v>
      </c>
      <c r="N208" s="824">
        <f t="shared" si="238"/>
        <v>0</v>
      </c>
      <c r="O208" s="824">
        <f t="shared" si="238"/>
        <v>0</v>
      </c>
      <c r="P208" s="824">
        <f t="shared" si="238"/>
        <v>0</v>
      </c>
      <c r="Q208" s="824">
        <f t="shared" si="238"/>
        <v>0</v>
      </c>
      <c r="R208" s="824">
        <f t="shared" si="238"/>
        <v>0</v>
      </c>
      <c r="S208" s="824">
        <f t="shared" si="238"/>
        <v>0</v>
      </c>
      <c r="T208" s="824">
        <f t="shared" si="238"/>
        <v>0</v>
      </c>
      <c r="U208" s="825">
        <f t="shared" si="238"/>
        <v>0</v>
      </c>
      <c r="V208" s="825">
        <f t="shared" si="238"/>
        <v>0</v>
      </c>
      <c r="W208" s="825">
        <f t="shared" si="238"/>
        <v>0</v>
      </c>
      <c r="X208" s="825">
        <f t="shared" si="238"/>
        <v>0</v>
      </c>
      <c r="Y208" s="825">
        <f t="shared" si="238"/>
        <v>0</v>
      </c>
      <c r="Z208" s="825">
        <f t="shared" si="238"/>
        <v>0</v>
      </c>
      <c r="AA208" s="825">
        <f t="shared" si="238"/>
        <v>0</v>
      </c>
      <c r="AB208" s="825">
        <f t="shared" ref="AB208:AD208" si="239">SUM(AB198:AB207)</f>
        <v>0</v>
      </c>
      <c r="AC208" s="825">
        <f t="shared" si="239"/>
        <v>0</v>
      </c>
      <c r="AD208" s="825">
        <f t="shared" si="239"/>
        <v>0</v>
      </c>
      <c r="AE208" s="825">
        <f t="shared" si="238"/>
        <v>0</v>
      </c>
      <c r="AF208" s="825">
        <f t="shared" si="238"/>
        <v>0</v>
      </c>
      <c r="AG208" s="825">
        <f t="shared" si="238"/>
        <v>0</v>
      </c>
      <c r="AH208" s="825">
        <f t="shared" si="238"/>
        <v>0</v>
      </c>
      <c r="AI208" s="825">
        <f t="shared" ref="AI208:AO208" si="240">SUM(AI198:AI207)</f>
        <v>0</v>
      </c>
      <c r="AJ208" s="825">
        <f t="shared" si="240"/>
        <v>0</v>
      </c>
      <c r="AK208" s="825">
        <f t="shared" si="240"/>
        <v>0</v>
      </c>
      <c r="AL208" s="825">
        <f t="shared" si="240"/>
        <v>0</v>
      </c>
      <c r="AM208" s="825">
        <f t="shared" si="240"/>
        <v>0</v>
      </c>
      <c r="AN208" s="825">
        <f t="shared" si="240"/>
        <v>0</v>
      </c>
      <c r="AO208" s="825">
        <f t="shared" si="240"/>
        <v>0</v>
      </c>
      <c r="AP208" s="826">
        <f t="shared" si="238"/>
        <v>0</v>
      </c>
      <c r="AQ208" s="826">
        <f t="shared" ref="AQ208" si="241">SUM(AQ198:AQ207)</f>
        <v>0</v>
      </c>
      <c r="AR208" s="826">
        <f t="shared" si="238"/>
        <v>0</v>
      </c>
      <c r="AS208" s="826">
        <f t="shared" si="238"/>
        <v>0</v>
      </c>
      <c r="AT208" s="826">
        <f t="shared" si="238"/>
        <v>0</v>
      </c>
      <c r="AU208" s="827">
        <f t="shared" si="238"/>
        <v>0</v>
      </c>
      <c r="AV208" s="827">
        <f t="shared" si="238"/>
        <v>0</v>
      </c>
      <c r="AW208" s="827">
        <f t="shared" si="238"/>
        <v>0</v>
      </c>
      <c r="AX208" s="827">
        <f t="shared" ref="AX208:AY208" si="242">SUM(AX198:AX207)</f>
        <v>0</v>
      </c>
      <c r="AY208" s="827">
        <f t="shared" si="242"/>
        <v>0</v>
      </c>
      <c r="AZ208" s="827">
        <f t="shared" si="238"/>
        <v>0</v>
      </c>
      <c r="BA208" s="828">
        <f t="shared" si="238"/>
        <v>0</v>
      </c>
      <c r="BB208" s="828">
        <f t="shared" si="238"/>
        <v>0</v>
      </c>
      <c r="BC208" s="828">
        <f t="shared" si="238"/>
        <v>0</v>
      </c>
      <c r="BD208" s="828">
        <f t="shared" si="238"/>
        <v>0</v>
      </c>
      <c r="BE208" s="824">
        <f t="shared" si="238"/>
        <v>0</v>
      </c>
      <c r="BF208" s="824">
        <f t="shared" si="238"/>
        <v>0</v>
      </c>
      <c r="BG208" s="824">
        <f t="shared" si="238"/>
        <v>0</v>
      </c>
      <c r="BH208" s="824">
        <f t="shared" si="238"/>
        <v>0</v>
      </c>
      <c r="BI208" s="824">
        <f t="shared" si="238"/>
        <v>0</v>
      </c>
      <c r="BJ208" s="824">
        <f t="shared" si="238"/>
        <v>0</v>
      </c>
      <c r="BK208" s="825">
        <f t="shared" si="238"/>
        <v>0</v>
      </c>
      <c r="BL208" s="825">
        <f t="shared" si="238"/>
        <v>0</v>
      </c>
      <c r="BM208" s="825">
        <f t="shared" si="238"/>
        <v>0</v>
      </c>
      <c r="BN208" s="825">
        <f t="shared" si="238"/>
        <v>0</v>
      </c>
      <c r="BO208" s="825">
        <f t="shared" si="238"/>
        <v>0</v>
      </c>
      <c r="BP208" s="825">
        <f t="shared" si="238"/>
        <v>0</v>
      </c>
      <c r="BQ208" s="825">
        <f t="shared" si="238"/>
        <v>0</v>
      </c>
      <c r="BR208" s="825">
        <f t="shared" ref="BR208" si="243">SUM(BR198:BR207)</f>
        <v>0</v>
      </c>
      <c r="BS208" s="825">
        <f t="shared" ref="BS208" si="244">SUM(BS198:BS207)</f>
        <v>0</v>
      </c>
      <c r="BT208" s="825">
        <f t="shared" si="238"/>
        <v>0</v>
      </c>
      <c r="BU208" s="825">
        <f t="shared" si="238"/>
        <v>0</v>
      </c>
      <c r="BV208" s="825">
        <f t="shared" si="238"/>
        <v>0</v>
      </c>
      <c r="BW208" s="826">
        <f t="shared" si="238"/>
        <v>0</v>
      </c>
      <c r="BX208" s="826">
        <f t="shared" si="238"/>
        <v>0</v>
      </c>
      <c r="BY208" s="826">
        <f t="shared" si="238"/>
        <v>0</v>
      </c>
      <c r="BZ208" s="826">
        <f t="shared" si="238"/>
        <v>0</v>
      </c>
      <c r="CA208" s="826">
        <f t="shared" si="238"/>
        <v>0</v>
      </c>
      <c r="CB208" s="826">
        <f t="shared" ref="CB208" si="245">SUM(CB198:CB207)</f>
        <v>0</v>
      </c>
      <c r="CC208" s="826">
        <f t="shared" si="238"/>
        <v>0</v>
      </c>
      <c r="CD208" s="826">
        <f t="shared" si="238"/>
        <v>0</v>
      </c>
      <c r="CE208" s="826">
        <f t="shared" si="238"/>
        <v>0</v>
      </c>
      <c r="CF208" s="826">
        <f t="shared" si="238"/>
        <v>0</v>
      </c>
      <c r="CG208" s="826">
        <f t="shared" si="238"/>
        <v>0</v>
      </c>
      <c r="CH208" s="826">
        <f t="shared" si="238"/>
        <v>0</v>
      </c>
      <c r="CI208" s="826">
        <f t="shared" si="238"/>
        <v>0</v>
      </c>
      <c r="CJ208" s="826">
        <f t="shared" si="238"/>
        <v>0</v>
      </c>
      <c r="CK208" s="826">
        <f t="shared" si="238"/>
        <v>0</v>
      </c>
      <c r="CL208" s="826">
        <f t="shared" si="238"/>
        <v>0</v>
      </c>
      <c r="CM208" s="826">
        <f t="shared" ref="CM208:DO208" si="246">SUM(CM198:CM207)</f>
        <v>0</v>
      </c>
      <c r="CN208" s="826">
        <f t="shared" si="246"/>
        <v>0</v>
      </c>
      <c r="CO208" s="827">
        <f t="shared" si="246"/>
        <v>0</v>
      </c>
      <c r="CP208" s="827">
        <f t="shared" si="246"/>
        <v>0</v>
      </c>
      <c r="CQ208" s="827">
        <f t="shared" si="246"/>
        <v>0</v>
      </c>
      <c r="CR208" s="827">
        <f t="shared" si="246"/>
        <v>0</v>
      </c>
      <c r="CS208" s="827">
        <f t="shared" si="246"/>
        <v>0</v>
      </c>
      <c r="CT208" s="827">
        <f t="shared" si="246"/>
        <v>0</v>
      </c>
      <c r="CU208" s="827">
        <f t="shared" si="246"/>
        <v>0</v>
      </c>
      <c r="CV208" s="827">
        <f t="shared" si="246"/>
        <v>0</v>
      </c>
      <c r="CW208" s="827">
        <f t="shared" si="246"/>
        <v>0</v>
      </c>
      <c r="CX208" s="827">
        <f t="shared" si="246"/>
        <v>0</v>
      </c>
      <c r="CY208" s="827">
        <f t="shared" si="246"/>
        <v>0</v>
      </c>
      <c r="CZ208" s="827">
        <f t="shared" si="246"/>
        <v>0</v>
      </c>
      <c r="DA208" s="827">
        <f t="shared" si="246"/>
        <v>0</v>
      </c>
      <c r="DB208" s="827">
        <f t="shared" si="246"/>
        <v>0</v>
      </c>
      <c r="DC208" s="824">
        <f t="shared" si="246"/>
        <v>0</v>
      </c>
      <c r="DD208" s="824">
        <f t="shared" si="246"/>
        <v>0</v>
      </c>
      <c r="DE208" s="824">
        <f t="shared" si="246"/>
        <v>0</v>
      </c>
      <c r="DF208" s="824">
        <f t="shared" si="246"/>
        <v>0</v>
      </c>
      <c r="DG208" s="824">
        <f t="shared" si="246"/>
        <v>0</v>
      </c>
      <c r="DH208" s="824">
        <f t="shared" si="246"/>
        <v>0</v>
      </c>
      <c r="DI208" s="824">
        <f t="shared" si="246"/>
        <v>0</v>
      </c>
      <c r="DJ208" s="824">
        <f t="shared" si="246"/>
        <v>0</v>
      </c>
      <c r="DK208" s="829">
        <f t="shared" si="246"/>
        <v>0</v>
      </c>
      <c r="DL208" s="830">
        <f t="shared" si="246"/>
        <v>0</v>
      </c>
      <c r="DM208" s="831">
        <f t="shared" si="246"/>
        <v>0</v>
      </c>
      <c r="DN208" s="831">
        <f t="shared" si="246"/>
        <v>0</v>
      </c>
      <c r="DO208" s="832">
        <f t="shared" si="246"/>
        <v>0</v>
      </c>
      <c r="DP208" s="833"/>
      <c r="DQ208" s="833"/>
      <c r="DR208" s="833"/>
      <c r="DS208" s="833"/>
    </row>
    <row r="209" spans="2:123" ht="32.1" hidden="1" customHeight="1" outlineLevel="1" thickBot="1" x14ac:dyDescent="0.3">
      <c r="B209" s="813"/>
      <c r="C209" s="814"/>
      <c r="D209" s="796" t="s">
        <v>134</v>
      </c>
      <c r="E209" s="776" t="s">
        <v>135</v>
      </c>
      <c r="F209" s="246" t="s">
        <v>7</v>
      </c>
      <c r="G209" s="248" t="s">
        <v>134</v>
      </c>
      <c r="H209" s="359"/>
      <c r="I209" s="929" t="s">
        <v>233</v>
      </c>
      <c r="J209" s="249"/>
      <c r="K209" s="249"/>
      <c r="L209" s="249"/>
      <c r="M209" s="249"/>
      <c r="N209" s="249"/>
      <c r="O209" s="249"/>
      <c r="P209" s="249"/>
      <c r="Q209" s="249"/>
      <c r="R209" s="249"/>
      <c r="S209" s="249"/>
      <c r="T209" s="249"/>
      <c r="U209" s="250"/>
      <c r="V209" s="250"/>
      <c r="W209" s="250"/>
      <c r="X209" s="250"/>
      <c r="Y209" s="250"/>
      <c r="Z209" s="250"/>
      <c r="AA209" s="250"/>
      <c r="AB209" s="250"/>
      <c r="AC209" s="250"/>
      <c r="AD209" s="250"/>
      <c r="AE209" s="250"/>
      <c r="AF209" s="250"/>
      <c r="AG209" s="250"/>
      <c r="AH209" s="250"/>
      <c r="AI209" s="250"/>
      <c r="AJ209" s="250"/>
      <c r="AK209" s="250"/>
      <c r="AL209" s="250"/>
      <c r="AM209" s="250"/>
      <c r="AN209" s="250"/>
      <c r="AO209" s="250"/>
      <c r="AP209" s="251"/>
      <c r="AQ209" s="251"/>
      <c r="AR209" s="251"/>
      <c r="AS209" s="251"/>
      <c r="AT209" s="251"/>
      <c r="AU209" s="252"/>
      <c r="AV209" s="252"/>
      <c r="AW209" s="252"/>
      <c r="AX209" s="252"/>
      <c r="AY209" s="252"/>
      <c r="AZ209" s="252"/>
      <c r="BA209" s="369"/>
      <c r="BB209" s="369"/>
      <c r="BC209" s="369"/>
      <c r="BD209" s="253"/>
      <c r="BE209" s="249"/>
      <c r="BF209" s="249"/>
      <c r="BG209" s="249"/>
      <c r="BH209" s="249"/>
      <c r="BI209" s="249"/>
      <c r="BJ209" s="254"/>
      <c r="BK209" s="250"/>
      <c r="BL209" s="250"/>
      <c r="BM209" s="250"/>
      <c r="BN209" s="250"/>
      <c r="BO209" s="250"/>
      <c r="BP209" s="250"/>
      <c r="BQ209" s="250"/>
      <c r="BR209" s="250"/>
      <c r="BS209" s="250"/>
      <c r="BT209" s="250"/>
      <c r="BU209" s="250"/>
      <c r="BV209" s="250"/>
      <c r="BW209" s="251"/>
      <c r="BX209" s="251"/>
      <c r="BY209" s="251"/>
      <c r="BZ209" s="251"/>
      <c r="CA209" s="251"/>
      <c r="CB209" s="251"/>
      <c r="CC209" s="251"/>
      <c r="CD209" s="251"/>
      <c r="CE209" s="251"/>
      <c r="CF209" s="251"/>
      <c r="CG209" s="251"/>
      <c r="CH209" s="255"/>
      <c r="CI209" s="251"/>
      <c r="CJ209" s="251"/>
      <c r="CK209" s="251"/>
      <c r="CL209" s="251"/>
      <c r="CM209" s="251"/>
      <c r="CN209" s="251"/>
      <c r="CO209" s="252"/>
      <c r="CP209" s="252"/>
      <c r="CQ209" s="252"/>
      <c r="CR209" s="529"/>
      <c r="CS209" s="252"/>
      <c r="CT209" s="529"/>
      <c r="CU209" s="529"/>
      <c r="CV209" s="529"/>
      <c r="CW209" s="529"/>
      <c r="CX209" s="529"/>
      <c r="CY209" s="530"/>
      <c r="CZ209" s="252"/>
      <c r="DA209" s="586"/>
      <c r="DB209" s="586"/>
      <c r="DC209" s="655"/>
      <c r="DD209" s="249"/>
      <c r="DE209" s="249"/>
      <c r="DF209" s="249"/>
      <c r="DG209" s="249"/>
      <c r="DH209" s="249"/>
      <c r="DI209" s="249"/>
      <c r="DJ209" s="249"/>
      <c r="DK209" s="617"/>
      <c r="DL209" s="495">
        <f t="shared" ref="DL209:DL222" si="247">SUM(J209:S209)*5+SUM(V209:AF209)+AH209*4+U209*2.5+AG209/0.75</f>
        <v>0</v>
      </c>
      <c r="DM209" s="84">
        <f t="shared" ref="DM209:DM222" si="248">SUM(J209:DK209)</f>
        <v>0</v>
      </c>
      <c r="DN209" s="84">
        <f t="shared" ref="DN209:DN222" si="249">SUM(BK209:BV209,)</f>
        <v>0</v>
      </c>
      <c r="DO209" s="125">
        <f t="shared" ref="DO209:DO222" si="250">SUM(AT209:AV209)+SUM(AW209:AZ209)*5</f>
        <v>0</v>
      </c>
    </row>
    <row r="210" spans="2:123" ht="32.1" hidden="1" customHeight="1" outlineLevel="1" thickBot="1" x14ac:dyDescent="0.3">
      <c r="B210" s="813"/>
      <c r="C210" s="814"/>
      <c r="D210" s="804"/>
      <c r="E210" s="776"/>
      <c r="F210" s="246" t="s">
        <v>7</v>
      </c>
      <c r="G210" s="248" t="s">
        <v>134</v>
      </c>
      <c r="H210" s="359"/>
      <c r="I210" s="929" t="s">
        <v>180</v>
      </c>
      <c r="J210" s="249"/>
      <c r="K210" s="249"/>
      <c r="L210" s="249"/>
      <c r="M210" s="249"/>
      <c r="N210" s="249"/>
      <c r="O210" s="249"/>
      <c r="P210" s="249"/>
      <c r="Q210" s="249"/>
      <c r="R210" s="249"/>
      <c r="S210" s="249"/>
      <c r="T210" s="249"/>
      <c r="U210" s="250"/>
      <c r="V210" s="250"/>
      <c r="W210" s="250"/>
      <c r="X210" s="250"/>
      <c r="Y210" s="250"/>
      <c r="Z210" s="250"/>
      <c r="AA210" s="250"/>
      <c r="AB210" s="250"/>
      <c r="AC210" s="250"/>
      <c r="AD210" s="250"/>
      <c r="AE210" s="250"/>
      <c r="AF210" s="250"/>
      <c r="AG210" s="250"/>
      <c r="AH210" s="250"/>
      <c r="AI210" s="250"/>
      <c r="AJ210" s="250"/>
      <c r="AK210" s="250"/>
      <c r="AL210" s="250"/>
      <c r="AM210" s="250"/>
      <c r="AN210" s="250"/>
      <c r="AO210" s="250"/>
      <c r="AP210" s="251"/>
      <c r="AQ210" s="251"/>
      <c r="AR210" s="251"/>
      <c r="AS210" s="251"/>
      <c r="AT210" s="251"/>
      <c r="AU210" s="252"/>
      <c r="AV210" s="252"/>
      <c r="AW210" s="252"/>
      <c r="AX210" s="252"/>
      <c r="AY210" s="252"/>
      <c r="AZ210" s="252"/>
      <c r="BA210" s="253"/>
      <c r="BB210" s="253"/>
      <c r="BC210" s="253"/>
      <c r="BD210" s="253"/>
      <c r="BE210" s="249"/>
      <c r="BF210" s="249"/>
      <c r="BG210" s="249"/>
      <c r="BH210" s="249"/>
      <c r="BI210" s="249"/>
      <c r="BJ210" s="254"/>
      <c r="BK210" s="250"/>
      <c r="BL210" s="250"/>
      <c r="BM210" s="250"/>
      <c r="BN210" s="250"/>
      <c r="BO210" s="250"/>
      <c r="BP210" s="250"/>
      <c r="BQ210" s="250"/>
      <c r="BR210" s="250"/>
      <c r="BS210" s="250"/>
      <c r="BT210" s="250"/>
      <c r="BU210" s="250"/>
      <c r="BV210" s="250"/>
      <c r="BW210" s="251"/>
      <c r="BX210" s="251"/>
      <c r="BY210" s="251"/>
      <c r="BZ210" s="251"/>
      <c r="CA210" s="251"/>
      <c r="CB210" s="251"/>
      <c r="CC210" s="251"/>
      <c r="CD210" s="251"/>
      <c r="CE210" s="251"/>
      <c r="CF210" s="251"/>
      <c r="CG210" s="251"/>
      <c r="CH210" s="255"/>
      <c r="CI210" s="251"/>
      <c r="CJ210" s="251"/>
      <c r="CK210" s="251"/>
      <c r="CL210" s="251"/>
      <c r="CM210" s="251"/>
      <c r="CN210" s="251"/>
      <c r="CO210" s="252"/>
      <c r="CP210" s="252"/>
      <c r="CQ210" s="252"/>
      <c r="CR210" s="529"/>
      <c r="CS210" s="529"/>
      <c r="CT210" s="529"/>
      <c r="CU210" s="529"/>
      <c r="CV210" s="529"/>
      <c r="CW210" s="529"/>
      <c r="CX210" s="529"/>
      <c r="CY210" s="530"/>
      <c r="CZ210" s="252"/>
      <c r="DA210" s="586"/>
      <c r="DB210" s="586"/>
      <c r="DC210" s="655"/>
      <c r="DD210" s="249"/>
      <c r="DE210" s="249"/>
      <c r="DF210" s="249"/>
      <c r="DG210" s="249"/>
      <c r="DH210" s="249"/>
      <c r="DI210" s="249"/>
      <c r="DJ210" s="249"/>
      <c r="DK210" s="617"/>
      <c r="DL210" s="495">
        <f t="shared" si="247"/>
        <v>0</v>
      </c>
      <c r="DM210" s="84">
        <f t="shared" si="248"/>
        <v>0</v>
      </c>
      <c r="DN210" s="84">
        <f t="shared" si="249"/>
        <v>0</v>
      </c>
      <c r="DO210" s="125">
        <f t="shared" si="250"/>
        <v>0</v>
      </c>
    </row>
    <row r="211" spans="2:123" ht="32.1" hidden="1" customHeight="1" outlineLevel="1" thickBot="1" x14ac:dyDescent="0.3">
      <c r="B211" s="813"/>
      <c r="C211" s="814"/>
      <c r="D211" s="804"/>
      <c r="E211" s="777"/>
      <c r="F211" s="400" t="s">
        <v>7</v>
      </c>
      <c r="G211" s="401" t="s">
        <v>134</v>
      </c>
      <c r="H211" s="361"/>
      <c r="I211" s="973"/>
      <c r="J211" s="261"/>
      <c r="K211" s="261"/>
      <c r="L211" s="261"/>
      <c r="M211" s="261"/>
      <c r="N211" s="261"/>
      <c r="O211" s="261"/>
      <c r="P211" s="261"/>
      <c r="Q211" s="261"/>
      <c r="R211" s="261"/>
      <c r="S211" s="261"/>
      <c r="T211" s="261"/>
      <c r="U211" s="262"/>
      <c r="V211" s="262"/>
      <c r="W211" s="262"/>
      <c r="X211" s="262"/>
      <c r="Y211" s="262"/>
      <c r="Z211" s="262"/>
      <c r="AA211" s="262"/>
      <c r="AB211" s="262"/>
      <c r="AC211" s="262"/>
      <c r="AD211" s="262"/>
      <c r="AE211" s="262"/>
      <c r="AF211" s="262"/>
      <c r="AG211" s="262"/>
      <c r="AH211" s="262"/>
      <c r="AI211" s="262"/>
      <c r="AJ211" s="262"/>
      <c r="AK211" s="262"/>
      <c r="AL211" s="262"/>
      <c r="AM211" s="262"/>
      <c r="AN211" s="262"/>
      <c r="AO211" s="262"/>
      <c r="AP211" s="263"/>
      <c r="AQ211" s="263"/>
      <c r="AR211" s="263"/>
      <c r="AS211" s="263"/>
      <c r="AT211" s="263"/>
      <c r="AU211" s="264"/>
      <c r="AV211" s="264"/>
      <c r="AW211" s="264"/>
      <c r="AX211" s="264"/>
      <c r="AY211" s="264"/>
      <c r="AZ211" s="264"/>
      <c r="BA211" s="265"/>
      <c r="BB211" s="265"/>
      <c r="BC211" s="265"/>
      <c r="BD211" s="265"/>
      <c r="BE211" s="261"/>
      <c r="BF211" s="261"/>
      <c r="BG211" s="261"/>
      <c r="BH211" s="261"/>
      <c r="BI211" s="261"/>
      <c r="BJ211" s="266"/>
      <c r="BK211" s="262"/>
      <c r="BL211" s="262"/>
      <c r="BM211" s="262"/>
      <c r="BN211" s="262"/>
      <c r="BO211" s="262"/>
      <c r="BP211" s="262"/>
      <c r="BQ211" s="262"/>
      <c r="BR211" s="262"/>
      <c r="BS211" s="262"/>
      <c r="BT211" s="262"/>
      <c r="BU211" s="262"/>
      <c r="BV211" s="262"/>
      <c r="BW211" s="263"/>
      <c r="BX211" s="263"/>
      <c r="BY211" s="263"/>
      <c r="BZ211" s="263"/>
      <c r="CA211" s="263"/>
      <c r="CB211" s="263"/>
      <c r="CC211" s="263"/>
      <c r="CD211" s="263"/>
      <c r="CE211" s="263"/>
      <c r="CF211" s="263"/>
      <c r="CG211" s="263"/>
      <c r="CH211" s="267"/>
      <c r="CI211" s="263"/>
      <c r="CJ211" s="263"/>
      <c r="CK211" s="263"/>
      <c r="CL211" s="263"/>
      <c r="CM211" s="263"/>
      <c r="CN211" s="263"/>
      <c r="CO211" s="264"/>
      <c r="CP211" s="264"/>
      <c r="CQ211" s="264"/>
      <c r="CR211" s="531"/>
      <c r="CS211" s="531"/>
      <c r="CT211" s="531"/>
      <c r="CU211" s="531"/>
      <c r="CV211" s="531"/>
      <c r="CW211" s="531"/>
      <c r="CX211" s="531"/>
      <c r="CY211" s="532"/>
      <c r="CZ211" s="264"/>
      <c r="DA211" s="587"/>
      <c r="DB211" s="587"/>
      <c r="DC211" s="656"/>
      <c r="DD211" s="261"/>
      <c r="DE211" s="261"/>
      <c r="DF211" s="261"/>
      <c r="DG211" s="261"/>
      <c r="DH211" s="261"/>
      <c r="DI211" s="261"/>
      <c r="DJ211" s="261"/>
      <c r="DK211" s="618"/>
      <c r="DL211" s="496">
        <f t="shared" si="247"/>
        <v>0</v>
      </c>
      <c r="DM211" s="120">
        <f t="shared" si="248"/>
        <v>0</v>
      </c>
      <c r="DN211" s="120">
        <f t="shared" si="249"/>
        <v>0</v>
      </c>
      <c r="DO211" s="358">
        <f t="shared" si="250"/>
        <v>0</v>
      </c>
    </row>
    <row r="212" spans="2:123" ht="32.1" hidden="1" customHeight="1" outlineLevel="1" thickBot="1" x14ac:dyDescent="0.3">
      <c r="B212" s="813"/>
      <c r="C212" s="814"/>
      <c r="D212" s="804"/>
      <c r="E212" s="776" t="s">
        <v>136</v>
      </c>
      <c r="F212" s="236" t="s">
        <v>7</v>
      </c>
      <c r="G212" s="238" t="s">
        <v>134</v>
      </c>
      <c r="H212" s="425"/>
      <c r="I212" s="922" t="s">
        <v>144</v>
      </c>
      <c r="J212" s="407"/>
      <c r="K212" s="407"/>
      <c r="L212" s="407"/>
      <c r="M212" s="407"/>
      <c r="N212" s="407"/>
      <c r="O212" s="407"/>
      <c r="P212" s="407"/>
      <c r="Q212" s="407"/>
      <c r="R212" s="407"/>
      <c r="S212" s="407"/>
      <c r="T212" s="407"/>
      <c r="U212" s="408"/>
      <c r="V212" s="408"/>
      <c r="W212" s="408"/>
      <c r="X212" s="408"/>
      <c r="Y212" s="408"/>
      <c r="Z212" s="408"/>
      <c r="AA212" s="408"/>
      <c r="AB212" s="408"/>
      <c r="AC212" s="408"/>
      <c r="AD212" s="408"/>
      <c r="AE212" s="408"/>
      <c r="AF212" s="408"/>
      <c r="AG212" s="408"/>
      <c r="AH212" s="408"/>
      <c r="AI212" s="408"/>
      <c r="AJ212" s="408"/>
      <c r="AK212" s="408"/>
      <c r="AL212" s="408"/>
      <c r="AM212" s="408"/>
      <c r="AN212" s="408"/>
      <c r="AO212" s="408"/>
      <c r="AP212" s="409"/>
      <c r="AQ212" s="409"/>
      <c r="AR212" s="409"/>
      <c r="AS212" s="409"/>
      <c r="AT212" s="409"/>
      <c r="AU212" s="410"/>
      <c r="AV212" s="410"/>
      <c r="AW212" s="410"/>
      <c r="AX212" s="410"/>
      <c r="AY212" s="410"/>
      <c r="AZ212" s="410"/>
      <c r="BA212" s="411"/>
      <c r="BB212" s="411"/>
      <c r="BC212" s="411"/>
      <c r="BD212" s="411"/>
      <c r="BE212" s="407"/>
      <c r="BF212" s="407"/>
      <c r="BG212" s="407"/>
      <c r="BH212" s="407"/>
      <c r="BI212" s="407"/>
      <c r="BJ212" s="412"/>
      <c r="BK212" s="408"/>
      <c r="BL212" s="408"/>
      <c r="BM212" s="408"/>
      <c r="BN212" s="408"/>
      <c r="BO212" s="408"/>
      <c r="BP212" s="408"/>
      <c r="BQ212" s="408"/>
      <c r="BR212" s="408"/>
      <c r="BS212" s="408"/>
      <c r="BT212" s="408"/>
      <c r="BU212" s="408"/>
      <c r="BV212" s="408"/>
      <c r="BW212" s="409"/>
      <c r="BX212" s="409"/>
      <c r="BY212" s="409"/>
      <c r="BZ212" s="409"/>
      <c r="CA212" s="409"/>
      <c r="CB212" s="409"/>
      <c r="CC212" s="409"/>
      <c r="CD212" s="409"/>
      <c r="CE212" s="409"/>
      <c r="CF212" s="409"/>
      <c r="CG212" s="409"/>
      <c r="CH212" s="414"/>
      <c r="CI212" s="409"/>
      <c r="CJ212" s="450"/>
      <c r="CK212" s="450"/>
      <c r="CL212" s="450"/>
      <c r="CM212" s="409"/>
      <c r="CN212" s="409"/>
      <c r="CO212" s="410"/>
      <c r="CP212" s="410"/>
      <c r="CQ212" s="410"/>
      <c r="CR212" s="533"/>
      <c r="CS212" s="533"/>
      <c r="CT212" s="533"/>
      <c r="CU212" s="533"/>
      <c r="CV212" s="533"/>
      <c r="CW212" s="533"/>
      <c r="CX212" s="533"/>
      <c r="CY212" s="534"/>
      <c r="CZ212" s="410"/>
      <c r="DA212" s="588"/>
      <c r="DB212" s="588"/>
      <c r="DC212" s="657"/>
      <c r="DD212" s="407"/>
      <c r="DE212" s="407"/>
      <c r="DF212" s="407"/>
      <c r="DG212" s="407"/>
      <c r="DH212" s="407"/>
      <c r="DI212" s="407"/>
      <c r="DJ212" s="407"/>
      <c r="DK212" s="619"/>
      <c r="DL212" s="494">
        <f t="shared" si="247"/>
        <v>0</v>
      </c>
      <c r="DM212" s="122">
        <f t="shared" si="248"/>
        <v>0</v>
      </c>
      <c r="DN212" s="122">
        <f t="shared" si="249"/>
        <v>0</v>
      </c>
      <c r="DO212" s="124">
        <f t="shared" si="250"/>
        <v>0</v>
      </c>
    </row>
    <row r="213" spans="2:123" ht="32.1" hidden="1" customHeight="1" outlineLevel="1" thickBot="1" x14ac:dyDescent="0.3">
      <c r="B213" s="813"/>
      <c r="C213" s="814"/>
      <c r="D213" s="804"/>
      <c r="E213" s="776"/>
      <c r="F213" s="246" t="s">
        <v>7</v>
      </c>
      <c r="G213" s="248" t="s">
        <v>134</v>
      </c>
      <c r="H213" s="359"/>
      <c r="I213" s="929" t="s">
        <v>56</v>
      </c>
      <c r="J213" s="249"/>
      <c r="K213" s="249"/>
      <c r="L213" s="249"/>
      <c r="M213" s="249"/>
      <c r="N213" s="249"/>
      <c r="O213" s="249"/>
      <c r="P213" s="249"/>
      <c r="Q213" s="249"/>
      <c r="R213" s="249"/>
      <c r="S213" s="249"/>
      <c r="T213" s="249"/>
      <c r="U213" s="250"/>
      <c r="V213" s="250"/>
      <c r="W213" s="250"/>
      <c r="X213" s="250"/>
      <c r="Y213" s="250"/>
      <c r="Z213" s="250"/>
      <c r="AA213" s="250"/>
      <c r="AB213" s="250"/>
      <c r="AC213" s="250"/>
      <c r="AD213" s="250"/>
      <c r="AE213" s="250"/>
      <c r="AF213" s="250"/>
      <c r="AG213" s="250"/>
      <c r="AH213" s="250"/>
      <c r="AI213" s="250"/>
      <c r="AJ213" s="250"/>
      <c r="AK213" s="250"/>
      <c r="AL213" s="250"/>
      <c r="AM213" s="250"/>
      <c r="AN213" s="250"/>
      <c r="AO213" s="250"/>
      <c r="AP213" s="257"/>
      <c r="AQ213" s="257"/>
      <c r="AR213" s="257"/>
      <c r="AS213" s="251"/>
      <c r="AT213" s="251"/>
      <c r="AU213" s="252"/>
      <c r="AV213" s="252"/>
      <c r="AW213" s="252"/>
      <c r="AX213" s="252"/>
      <c r="AY213" s="252"/>
      <c r="AZ213" s="252"/>
      <c r="BA213" s="253"/>
      <c r="BB213" s="253"/>
      <c r="BC213" s="253"/>
      <c r="BD213" s="253"/>
      <c r="BE213" s="249"/>
      <c r="BF213" s="249"/>
      <c r="BG213" s="249"/>
      <c r="BH213" s="249"/>
      <c r="BI213" s="249"/>
      <c r="BJ213" s="254"/>
      <c r="BK213" s="250"/>
      <c r="BL213" s="250"/>
      <c r="BM213" s="250"/>
      <c r="BN213" s="250"/>
      <c r="BO213" s="250"/>
      <c r="BP213" s="250"/>
      <c r="BQ213" s="250"/>
      <c r="BR213" s="250"/>
      <c r="BS213" s="250"/>
      <c r="BT213" s="250"/>
      <c r="BU213" s="250"/>
      <c r="BV213" s="250"/>
      <c r="BW213" s="251"/>
      <c r="BX213" s="251"/>
      <c r="BY213" s="251"/>
      <c r="BZ213" s="251"/>
      <c r="CA213" s="251"/>
      <c r="CB213" s="251"/>
      <c r="CC213" s="251"/>
      <c r="CD213" s="251"/>
      <c r="CE213" s="251"/>
      <c r="CF213" s="251"/>
      <c r="CG213" s="251"/>
      <c r="CH213" s="255"/>
      <c r="CI213" s="251"/>
      <c r="CJ213" s="251"/>
      <c r="CK213" s="251"/>
      <c r="CL213" s="251"/>
      <c r="CM213" s="251"/>
      <c r="CN213" s="251"/>
      <c r="CO213" s="252"/>
      <c r="CP213" s="252"/>
      <c r="CQ213" s="252"/>
      <c r="CR213" s="529"/>
      <c r="CS213" s="529"/>
      <c r="CT213" s="529"/>
      <c r="CU213" s="529"/>
      <c r="CV213" s="529"/>
      <c r="CW213" s="529"/>
      <c r="CX213" s="529"/>
      <c r="CY213" s="530"/>
      <c r="CZ213" s="252"/>
      <c r="DA213" s="586"/>
      <c r="DB213" s="586"/>
      <c r="DC213" s="655"/>
      <c r="DD213" s="249"/>
      <c r="DE213" s="249"/>
      <c r="DF213" s="249"/>
      <c r="DG213" s="249"/>
      <c r="DH213" s="249"/>
      <c r="DI213" s="249"/>
      <c r="DJ213" s="249"/>
      <c r="DK213" s="617"/>
      <c r="DL213" s="495">
        <f t="shared" si="247"/>
        <v>0</v>
      </c>
      <c r="DM213" s="84">
        <f t="shared" si="248"/>
        <v>0</v>
      </c>
      <c r="DN213" s="84">
        <f t="shared" si="249"/>
        <v>0</v>
      </c>
      <c r="DO213" s="125">
        <f t="shared" si="250"/>
        <v>0</v>
      </c>
    </row>
    <row r="214" spans="2:123" ht="32.1" hidden="1" customHeight="1" outlineLevel="1" thickBot="1" x14ac:dyDescent="0.3">
      <c r="B214" s="813"/>
      <c r="C214" s="814"/>
      <c r="D214" s="804"/>
      <c r="E214" s="776"/>
      <c r="F214" s="258" t="s">
        <v>7</v>
      </c>
      <c r="G214" s="415" t="s">
        <v>134</v>
      </c>
      <c r="H214" s="363"/>
      <c r="I214" s="960" t="s">
        <v>67</v>
      </c>
      <c r="J214" s="417"/>
      <c r="K214" s="417"/>
      <c r="L214" s="417"/>
      <c r="M214" s="417"/>
      <c r="N214" s="417"/>
      <c r="O214" s="417"/>
      <c r="P214" s="417"/>
      <c r="Q214" s="417"/>
      <c r="R214" s="417"/>
      <c r="S214" s="417"/>
      <c r="T214" s="417"/>
      <c r="U214" s="418"/>
      <c r="V214" s="418"/>
      <c r="W214" s="418"/>
      <c r="X214" s="418"/>
      <c r="Y214" s="418"/>
      <c r="Z214" s="418"/>
      <c r="AA214" s="418"/>
      <c r="AB214" s="418"/>
      <c r="AC214" s="418"/>
      <c r="AD214" s="418"/>
      <c r="AE214" s="418"/>
      <c r="AF214" s="418"/>
      <c r="AG214" s="418"/>
      <c r="AH214" s="418"/>
      <c r="AI214" s="418"/>
      <c r="AJ214" s="418"/>
      <c r="AK214" s="418"/>
      <c r="AL214" s="418"/>
      <c r="AM214" s="418"/>
      <c r="AN214" s="418"/>
      <c r="AO214" s="418"/>
      <c r="AP214" s="449"/>
      <c r="AQ214" s="449"/>
      <c r="AR214" s="449"/>
      <c r="AS214" s="419"/>
      <c r="AT214" s="419"/>
      <c r="AU214" s="420"/>
      <c r="AV214" s="420"/>
      <c r="AW214" s="420"/>
      <c r="AX214" s="420"/>
      <c r="AY214" s="420"/>
      <c r="AZ214" s="420"/>
      <c r="BA214" s="421"/>
      <c r="BB214" s="421"/>
      <c r="BC214" s="421"/>
      <c r="BD214" s="421"/>
      <c r="BE214" s="417"/>
      <c r="BF214" s="417"/>
      <c r="BG214" s="417"/>
      <c r="BH214" s="417"/>
      <c r="BI214" s="417"/>
      <c r="BJ214" s="422"/>
      <c r="BK214" s="418"/>
      <c r="BL214" s="418"/>
      <c r="BM214" s="418"/>
      <c r="BN214" s="418"/>
      <c r="BO214" s="418"/>
      <c r="BP214" s="418"/>
      <c r="BQ214" s="418"/>
      <c r="BR214" s="418"/>
      <c r="BS214" s="418"/>
      <c r="BT214" s="418"/>
      <c r="BU214" s="418"/>
      <c r="BV214" s="418"/>
      <c r="BW214" s="419"/>
      <c r="BX214" s="419"/>
      <c r="BY214" s="419"/>
      <c r="BZ214" s="419"/>
      <c r="CA214" s="419"/>
      <c r="CB214" s="419"/>
      <c r="CC214" s="419"/>
      <c r="CD214" s="419"/>
      <c r="CE214" s="419"/>
      <c r="CF214" s="419"/>
      <c r="CG214" s="419"/>
      <c r="CH214" s="424"/>
      <c r="CI214" s="419"/>
      <c r="CJ214" s="419"/>
      <c r="CK214" s="419"/>
      <c r="CL214" s="419"/>
      <c r="CM214" s="419"/>
      <c r="CN214" s="419"/>
      <c r="CO214" s="420"/>
      <c r="CP214" s="420"/>
      <c r="CQ214" s="420"/>
      <c r="CR214" s="535"/>
      <c r="CS214" s="535"/>
      <c r="CT214" s="535"/>
      <c r="CU214" s="535"/>
      <c r="CV214" s="535"/>
      <c r="CW214" s="535"/>
      <c r="CX214" s="535"/>
      <c r="CY214" s="536"/>
      <c r="CZ214" s="420"/>
      <c r="DA214" s="589"/>
      <c r="DB214" s="589"/>
      <c r="DC214" s="658"/>
      <c r="DD214" s="417"/>
      <c r="DE214" s="417"/>
      <c r="DF214" s="417"/>
      <c r="DG214" s="417"/>
      <c r="DH214" s="417"/>
      <c r="DI214" s="417"/>
      <c r="DJ214" s="417"/>
      <c r="DK214" s="620"/>
      <c r="DL214" s="497">
        <f t="shared" si="247"/>
        <v>0</v>
      </c>
      <c r="DM214" s="126">
        <f t="shared" si="248"/>
        <v>0</v>
      </c>
      <c r="DN214" s="126">
        <f t="shared" si="249"/>
        <v>0</v>
      </c>
      <c r="DO214" s="127">
        <f t="shared" si="250"/>
        <v>0</v>
      </c>
    </row>
    <row r="215" spans="2:123" ht="32.1" hidden="1" customHeight="1" outlineLevel="1" thickBot="1" x14ac:dyDescent="0.3">
      <c r="B215" s="813"/>
      <c r="C215" s="814"/>
      <c r="D215" s="804"/>
      <c r="E215" s="776" t="s">
        <v>137</v>
      </c>
      <c r="F215" s="236" t="s">
        <v>7</v>
      </c>
      <c r="G215" s="238" t="s">
        <v>134</v>
      </c>
      <c r="H215" s="425"/>
      <c r="I215" s="922" t="s">
        <v>234</v>
      </c>
      <c r="J215" s="407"/>
      <c r="K215" s="407"/>
      <c r="L215" s="407"/>
      <c r="M215" s="407"/>
      <c r="N215" s="407"/>
      <c r="O215" s="407"/>
      <c r="P215" s="407"/>
      <c r="Q215" s="407"/>
      <c r="R215" s="407"/>
      <c r="S215" s="407"/>
      <c r="T215" s="407"/>
      <c r="U215" s="408"/>
      <c r="V215" s="408"/>
      <c r="W215" s="408"/>
      <c r="X215" s="408"/>
      <c r="Y215" s="408"/>
      <c r="Z215" s="408"/>
      <c r="AA215" s="408"/>
      <c r="AB215" s="408"/>
      <c r="AC215" s="408"/>
      <c r="AD215" s="408"/>
      <c r="AE215" s="408"/>
      <c r="AF215" s="408"/>
      <c r="AG215" s="408"/>
      <c r="AH215" s="408"/>
      <c r="AI215" s="408"/>
      <c r="AJ215" s="408"/>
      <c r="AK215" s="408"/>
      <c r="AL215" s="408"/>
      <c r="AM215" s="408"/>
      <c r="AN215" s="408"/>
      <c r="AO215" s="408"/>
      <c r="AP215" s="448"/>
      <c r="AQ215" s="448"/>
      <c r="AR215" s="448"/>
      <c r="AS215" s="409"/>
      <c r="AT215" s="409"/>
      <c r="AU215" s="410"/>
      <c r="AV215" s="410"/>
      <c r="AW215" s="410"/>
      <c r="AX215" s="410"/>
      <c r="AY215" s="410"/>
      <c r="AZ215" s="410"/>
      <c r="BA215" s="411"/>
      <c r="BB215" s="411"/>
      <c r="BC215" s="411"/>
      <c r="BD215" s="411"/>
      <c r="BE215" s="407"/>
      <c r="BF215" s="407"/>
      <c r="BG215" s="407"/>
      <c r="BH215" s="407"/>
      <c r="BI215" s="407"/>
      <c r="BJ215" s="412"/>
      <c r="BK215" s="408"/>
      <c r="BL215" s="408"/>
      <c r="BM215" s="408"/>
      <c r="BN215" s="408"/>
      <c r="BO215" s="408"/>
      <c r="BP215" s="408"/>
      <c r="BQ215" s="408"/>
      <c r="BR215" s="408"/>
      <c r="BS215" s="408"/>
      <c r="BT215" s="408"/>
      <c r="BU215" s="408"/>
      <c r="BV215" s="408"/>
      <c r="BW215" s="409"/>
      <c r="BX215" s="409"/>
      <c r="BY215" s="409"/>
      <c r="BZ215" s="409"/>
      <c r="CA215" s="409"/>
      <c r="CB215" s="409"/>
      <c r="CC215" s="409"/>
      <c r="CD215" s="409"/>
      <c r="CE215" s="409"/>
      <c r="CF215" s="409"/>
      <c r="CG215" s="409"/>
      <c r="CH215" s="414"/>
      <c r="CI215" s="409"/>
      <c r="CJ215" s="409"/>
      <c r="CK215" s="409"/>
      <c r="CL215" s="409"/>
      <c r="CM215" s="409"/>
      <c r="CN215" s="409"/>
      <c r="CO215" s="410"/>
      <c r="CP215" s="410"/>
      <c r="CQ215" s="410"/>
      <c r="CR215" s="533"/>
      <c r="CS215" s="533"/>
      <c r="CT215" s="533"/>
      <c r="CU215" s="533"/>
      <c r="CV215" s="533"/>
      <c r="CW215" s="533"/>
      <c r="CX215" s="533"/>
      <c r="CY215" s="534"/>
      <c r="CZ215" s="410"/>
      <c r="DA215" s="588"/>
      <c r="DB215" s="588"/>
      <c r="DC215" s="657"/>
      <c r="DD215" s="407"/>
      <c r="DE215" s="407"/>
      <c r="DF215" s="407"/>
      <c r="DG215" s="407"/>
      <c r="DH215" s="407"/>
      <c r="DI215" s="407"/>
      <c r="DJ215" s="407"/>
      <c r="DK215" s="619"/>
      <c r="DL215" s="494">
        <f t="shared" si="247"/>
        <v>0</v>
      </c>
      <c r="DM215" s="122">
        <f t="shared" si="248"/>
        <v>0</v>
      </c>
      <c r="DN215" s="122">
        <f t="shared" si="249"/>
        <v>0</v>
      </c>
      <c r="DO215" s="124">
        <f t="shared" si="250"/>
        <v>0</v>
      </c>
    </row>
    <row r="216" spans="2:123" ht="32.1" hidden="1" customHeight="1" outlineLevel="1" thickBot="1" x14ac:dyDescent="0.3">
      <c r="B216" s="813"/>
      <c r="C216" s="814"/>
      <c r="D216" s="804"/>
      <c r="E216" s="776"/>
      <c r="F216" s="246" t="s">
        <v>7</v>
      </c>
      <c r="G216" s="248" t="s">
        <v>134</v>
      </c>
      <c r="H216" s="359"/>
      <c r="I216" s="929" t="s">
        <v>180</v>
      </c>
      <c r="J216" s="249"/>
      <c r="K216" s="249"/>
      <c r="L216" s="249"/>
      <c r="M216" s="249"/>
      <c r="N216" s="249"/>
      <c r="O216" s="249"/>
      <c r="P216" s="249"/>
      <c r="Q216" s="249"/>
      <c r="R216" s="249"/>
      <c r="S216" s="249"/>
      <c r="T216" s="249"/>
      <c r="U216" s="250"/>
      <c r="V216" s="250"/>
      <c r="W216" s="250"/>
      <c r="X216" s="250"/>
      <c r="Y216" s="250"/>
      <c r="Z216" s="250"/>
      <c r="AA216" s="250"/>
      <c r="AB216" s="250"/>
      <c r="AC216" s="250"/>
      <c r="AD216" s="250"/>
      <c r="AE216" s="250"/>
      <c r="AF216" s="250"/>
      <c r="AG216" s="250"/>
      <c r="AH216" s="250"/>
      <c r="AI216" s="250"/>
      <c r="AJ216" s="250"/>
      <c r="AK216" s="250"/>
      <c r="AL216" s="250"/>
      <c r="AM216" s="250"/>
      <c r="AN216" s="250"/>
      <c r="AO216" s="250"/>
      <c r="AP216" s="257"/>
      <c r="AQ216" s="257"/>
      <c r="AR216" s="257"/>
      <c r="AS216" s="251"/>
      <c r="AT216" s="251"/>
      <c r="AU216" s="252"/>
      <c r="AV216" s="252"/>
      <c r="AW216" s="252"/>
      <c r="AX216" s="252"/>
      <c r="AY216" s="252"/>
      <c r="AZ216" s="252"/>
      <c r="BA216" s="253"/>
      <c r="BB216" s="253"/>
      <c r="BC216" s="253"/>
      <c r="BD216" s="253"/>
      <c r="BE216" s="249"/>
      <c r="BF216" s="249"/>
      <c r="BG216" s="249"/>
      <c r="BH216" s="249"/>
      <c r="BI216" s="249"/>
      <c r="BJ216" s="254"/>
      <c r="BK216" s="250"/>
      <c r="BL216" s="250"/>
      <c r="BM216" s="250"/>
      <c r="BN216" s="250"/>
      <c r="BO216" s="250"/>
      <c r="BP216" s="250"/>
      <c r="BQ216" s="250"/>
      <c r="BR216" s="250"/>
      <c r="BS216" s="250"/>
      <c r="BT216" s="250"/>
      <c r="BU216" s="250"/>
      <c r="BV216" s="250"/>
      <c r="BW216" s="251"/>
      <c r="BX216" s="251"/>
      <c r="BY216" s="251"/>
      <c r="BZ216" s="251"/>
      <c r="CA216" s="251"/>
      <c r="CB216" s="251"/>
      <c r="CC216" s="251"/>
      <c r="CD216" s="251"/>
      <c r="CE216" s="251"/>
      <c r="CF216" s="251"/>
      <c r="CG216" s="251"/>
      <c r="CH216" s="255"/>
      <c r="CI216" s="251"/>
      <c r="CJ216" s="251"/>
      <c r="CK216" s="251"/>
      <c r="CL216" s="251"/>
      <c r="CM216" s="251"/>
      <c r="CN216" s="251"/>
      <c r="CO216" s="252"/>
      <c r="CP216" s="252"/>
      <c r="CQ216" s="252"/>
      <c r="CR216" s="529"/>
      <c r="CS216" s="529"/>
      <c r="CT216" s="529"/>
      <c r="CU216" s="529"/>
      <c r="CV216" s="529"/>
      <c r="CW216" s="529"/>
      <c r="CX216" s="529"/>
      <c r="CY216" s="530"/>
      <c r="CZ216" s="252"/>
      <c r="DA216" s="586"/>
      <c r="DB216" s="586"/>
      <c r="DC216" s="655"/>
      <c r="DD216" s="249"/>
      <c r="DE216" s="249"/>
      <c r="DF216" s="249"/>
      <c r="DG216" s="249"/>
      <c r="DH216" s="249"/>
      <c r="DI216" s="249"/>
      <c r="DJ216" s="249"/>
      <c r="DK216" s="617"/>
      <c r="DL216" s="495">
        <f t="shared" si="247"/>
        <v>0</v>
      </c>
      <c r="DM216" s="84">
        <f t="shared" si="248"/>
        <v>0</v>
      </c>
      <c r="DN216" s="84">
        <f t="shared" si="249"/>
        <v>0</v>
      </c>
      <c r="DO216" s="125">
        <f t="shared" si="250"/>
        <v>0</v>
      </c>
    </row>
    <row r="217" spans="2:123" ht="32.1" hidden="1" customHeight="1" outlineLevel="1" thickBot="1" x14ac:dyDescent="0.3">
      <c r="B217" s="813"/>
      <c r="C217" s="814"/>
      <c r="D217" s="804"/>
      <c r="E217" s="776"/>
      <c r="F217" s="246" t="s">
        <v>7</v>
      </c>
      <c r="G217" s="248" t="s">
        <v>134</v>
      </c>
      <c r="H217" s="359"/>
      <c r="I217" s="929"/>
      <c r="J217" s="249"/>
      <c r="K217" s="249"/>
      <c r="L217" s="249"/>
      <c r="M217" s="249"/>
      <c r="N217" s="249"/>
      <c r="O217" s="249"/>
      <c r="P217" s="249"/>
      <c r="Q217" s="249"/>
      <c r="R217" s="249"/>
      <c r="S217" s="249"/>
      <c r="T217" s="249"/>
      <c r="U217" s="250"/>
      <c r="V217" s="250"/>
      <c r="W217" s="250"/>
      <c r="X217" s="250"/>
      <c r="Y217" s="250"/>
      <c r="Z217" s="250"/>
      <c r="AA217" s="250"/>
      <c r="AB217" s="250"/>
      <c r="AC217" s="250"/>
      <c r="AD217" s="250"/>
      <c r="AE217" s="250"/>
      <c r="AF217" s="250"/>
      <c r="AG217" s="250"/>
      <c r="AH217" s="250"/>
      <c r="AI217" s="250"/>
      <c r="AJ217" s="250"/>
      <c r="AK217" s="250"/>
      <c r="AL217" s="250"/>
      <c r="AM217" s="250"/>
      <c r="AN217" s="250"/>
      <c r="AO217" s="250"/>
      <c r="AP217" s="257"/>
      <c r="AQ217" s="257"/>
      <c r="AR217" s="257"/>
      <c r="AS217" s="251"/>
      <c r="AT217" s="251"/>
      <c r="AU217" s="252"/>
      <c r="AV217" s="252"/>
      <c r="AW217" s="252"/>
      <c r="AX217" s="252"/>
      <c r="AY217" s="252"/>
      <c r="AZ217" s="252"/>
      <c r="BA217" s="253"/>
      <c r="BB217" s="253"/>
      <c r="BC217" s="253"/>
      <c r="BD217" s="253"/>
      <c r="BE217" s="249"/>
      <c r="BF217" s="249"/>
      <c r="BG217" s="249"/>
      <c r="BH217" s="249"/>
      <c r="BI217" s="249"/>
      <c r="BJ217" s="254"/>
      <c r="BK217" s="250"/>
      <c r="BL217" s="250"/>
      <c r="BM217" s="250"/>
      <c r="BN217" s="250"/>
      <c r="BO217" s="250"/>
      <c r="BP217" s="250"/>
      <c r="BQ217" s="250"/>
      <c r="BR217" s="250"/>
      <c r="BS217" s="250"/>
      <c r="BT217" s="250"/>
      <c r="BU217" s="250"/>
      <c r="BV217" s="250"/>
      <c r="BW217" s="251"/>
      <c r="BX217" s="251"/>
      <c r="BY217" s="251"/>
      <c r="BZ217" s="251"/>
      <c r="CA217" s="251"/>
      <c r="CB217" s="251"/>
      <c r="CC217" s="251"/>
      <c r="CD217" s="251"/>
      <c r="CE217" s="251"/>
      <c r="CF217" s="251"/>
      <c r="CG217" s="251"/>
      <c r="CH217" s="255"/>
      <c r="CI217" s="251"/>
      <c r="CJ217" s="251"/>
      <c r="CK217" s="251"/>
      <c r="CL217" s="251"/>
      <c r="CM217" s="251"/>
      <c r="CN217" s="251"/>
      <c r="CO217" s="252"/>
      <c r="CP217" s="252"/>
      <c r="CQ217" s="252"/>
      <c r="CR217" s="529"/>
      <c r="CS217" s="529"/>
      <c r="CT217" s="529"/>
      <c r="CU217" s="529"/>
      <c r="CV217" s="529"/>
      <c r="CW217" s="529"/>
      <c r="CX217" s="529"/>
      <c r="CY217" s="530"/>
      <c r="CZ217" s="252"/>
      <c r="DA217" s="586"/>
      <c r="DB217" s="586"/>
      <c r="DC217" s="655"/>
      <c r="DD217" s="249"/>
      <c r="DE217" s="249"/>
      <c r="DF217" s="249"/>
      <c r="DG217" s="249"/>
      <c r="DH217" s="249"/>
      <c r="DI217" s="249"/>
      <c r="DJ217" s="249"/>
      <c r="DK217" s="617"/>
      <c r="DL217" s="495">
        <f t="shared" si="247"/>
        <v>0</v>
      </c>
      <c r="DM217" s="84">
        <f t="shared" si="248"/>
        <v>0</v>
      </c>
      <c r="DN217" s="84">
        <f t="shared" si="249"/>
        <v>0</v>
      </c>
      <c r="DO217" s="125">
        <f t="shared" si="250"/>
        <v>0</v>
      </c>
    </row>
    <row r="218" spans="2:123" ht="32.1" hidden="1" customHeight="1" outlineLevel="1" thickBot="1" x14ac:dyDescent="0.3">
      <c r="B218" s="813"/>
      <c r="C218" s="814"/>
      <c r="D218" s="804"/>
      <c r="E218" s="776"/>
      <c r="F218" s="258" t="s">
        <v>7</v>
      </c>
      <c r="G218" s="415" t="s">
        <v>134</v>
      </c>
      <c r="H218" s="416"/>
      <c r="I218" s="961"/>
      <c r="J218" s="417"/>
      <c r="K218" s="417"/>
      <c r="L218" s="417"/>
      <c r="M218" s="417"/>
      <c r="N218" s="417"/>
      <c r="O218" s="417"/>
      <c r="P218" s="417"/>
      <c r="Q218" s="417"/>
      <c r="R218" s="417"/>
      <c r="S218" s="417"/>
      <c r="T218" s="417"/>
      <c r="U218" s="418"/>
      <c r="V218" s="418"/>
      <c r="W218" s="418"/>
      <c r="X218" s="418"/>
      <c r="Y218" s="418"/>
      <c r="Z218" s="418"/>
      <c r="AA218" s="418"/>
      <c r="AB218" s="418"/>
      <c r="AC218" s="418"/>
      <c r="AD218" s="418"/>
      <c r="AE218" s="418"/>
      <c r="AF218" s="418"/>
      <c r="AG218" s="418"/>
      <c r="AH218" s="418"/>
      <c r="AI218" s="418"/>
      <c r="AJ218" s="418"/>
      <c r="AK218" s="418"/>
      <c r="AL218" s="418"/>
      <c r="AM218" s="418"/>
      <c r="AN218" s="418"/>
      <c r="AO218" s="418"/>
      <c r="AP218" s="449"/>
      <c r="AQ218" s="449"/>
      <c r="AR218" s="449"/>
      <c r="AS218" s="419"/>
      <c r="AT218" s="419"/>
      <c r="AU218" s="420"/>
      <c r="AV218" s="420"/>
      <c r="AW218" s="420"/>
      <c r="AX218" s="420"/>
      <c r="AY218" s="420"/>
      <c r="AZ218" s="420"/>
      <c r="BA218" s="421"/>
      <c r="BB218" s="421"/>
      <c r="BC218" s="421"/>
      <c r="BD218" s="421"/>
      <c r="BE218" s="417"/>
      <c r="BF218" s="417"/>
      <c r="BG218" s="417"/>
      <c r="BH218" s="417"/>
      <c r="BI218" s="417"/>
      <c r="BJ218" s="422"/>
      <c r="BK218" s="418"/>
      <c r="BL218" s="418"/>
      <c r="BM218" s="418"/>
      <c r="BN218" s="418"/>
      <c r="BO218" s="418"/>
      <c r="BP218" s="418"/>
      <c r="BQ218" s="418"/>
      <c r="BR218" s="418"/>
      <c r="BS218" s="418"/>
      <c r="BT218" s="418"/>
      <c r="BU218" s="418"/>
      <c r="BV218" s="418"/>
      <c r="BW218" s="419"/>
      <c r="BX218" s="419"/>
      <c r="BY218" s="419"/>
      <c r="BZ218" s="419"/>
      <c r="CA218" s="419"/>
      <c r="CB218" s="419"/>
      <c r="CC218" s="419"/>
      <c r="CD218" s="419"/>
      <c r="CE218" s="419"/>
      <c r="CF218" s="419"/>
      <c r="CG218" s="419"/>
      <c r="CH218" s="424"/>
      <c r="CI218" s="419"/>
      <c r="CJ218" s="419"/>
      <c r="CK218" s="419"/>
      <c r="CL218" s="419"/>
      <c r="CM218" s="419"/>
      <c r="CN218" s="419"/>
      <c r="CO218" s="420"/>
      <c r="CP218" s="420"/>
      <c r="CQ218" s="420"/>
      <c r="CR218" s="535"/>
      <c r="CS218" s="535"/>
      <c r="CT218" s="535"/>
      <c r="CU218" s="535"/>
      <c r="CV218" s="535"/>
      <c r="CW218" s="535"/>
      <c r="CX218" s="535"/>
      <c r="CY218" s="536"/>
      <c r="CZ218" s="420"/>
      <c r="DA218" s="589"/>
      <c r="DB218" s="589"/>
      <c r="DC218" s="658"/>
      <c r="DD218" s="417"/>
      <c r="DE218" s="417"/>
      <c r="DF218" s="417"/>
      <c r="DG218" s="417"/>
      <c r="DH218" s="417"/>
      <c r="DI218" s="417"/>
      <c r="DJ218" s="417"/>
      <c r="DK218" s="620"/>
      <c r="DL218" s="497">
        <f t="shared" si="247"/>
        <v>0</v>
      </c>
      <c r="DM218" s="126">
        <f t="shared" si="248"/>
        <v>0</v>
      </c>
      <c r="DN218" s="126">
        <f t="shared" si="249"/>
        <v>0</v>
      </c>
      <c r="DO218" s="127">
        <f t="shared" si="250"/>
        <v>0</v>
      </c>
    </row>
    <row r="219" spans="2:123" ht="32.1" hidden="1" customHeight="1" outlineLevel="1" thickBot="1" x14ac:dyDescent="0.3">
      <c r="B219" s="813"/>
      <c r="C219" s="814"/>
      <c r="D219" s="804"/>
      <c r="E219" s="775" t="s">
        <v>138</v>
      </c>
      <c r="F219" s="403" t="s">
        <v>7</v>
      </c>
      <c r="G219" s="404" t="s">
        <v>134</v>
      </c>
      <c r="H219" s="359"/>
      <c r="I219" s="948" t="s">
        <v>186</v>
      </c>
      <c r="J219" s="239"/>
      <c r="K219" s="239"/>
      <c r="L219" s="239"/>
      <c r="M219" s="239"/>
      <c r="N219" s="239"/>
      <c r="O219" s="239"/>
      <c r="P219" s="239"/>
      <c r="Q219" s="239"/>
      <c r="R219" s="239"/>
      <c r="S219" s="239"/>
      <c r="T219" s="239"/>
      <c r="U219" s="240"/>
      <c r="V219" s="240"/>
      <c r="W219" s="240"/>
      <c r="X219" s="240"/>
      <c r="Y219" s="240"/>
      <c r="Z219" s="240"/>
      <c r="AA219" s="240"/>
      <c r="AB219" s="240"/>
      <c r="AC219" s="240"/>
      <c r="AD219" s="240"/>
      <c r="AE219" s="240"/>
      <c r="AF219" s="240"/>
      <c r="AG219" s="240"/>
      <c r="AH219" s="240"/>
      <c r="AI219" s="240"/>
      <c r="AJ219" s="240"/>
      <c r="AK219" s="240"/>
      <c r="AL219" s="240"/>
      <c r="AM219" s="240"/>
      <c r="AN219" s="240"/>
      <c r="AO219" s="240"/>
      <c r="AP219" s="447"/>
      <c r="AQ219" s="447"/>
      <c r="AR219" s="447"/>
      <c r="AS219" s="241"/>
      <c r="AT219" s="241"/>
      <c r="AU219" s="242"/>
      <c r="AV219" s="242"/>
      <c r="AW219" s="242"/>
      <c r="AX219" s="242"/>
      <c r="AY219" s="242"/>
      <c r="AZ219" s="242"/>
      <c r="BA219" s="243"/>
      <c r="BB219" s="243"/>
      <c r="BC219" s="243"/>
      <c r="BD219" s="243"/>
      <c r="BE219" s="239"/>
      <c r="BF219" s="239"/>
      <c r="BG219" s="239"/>
      <c r="BH219" s="239"/>
      <c r="BI219" s="239"/>
      <c r="BJ219" s="244"/>
      <c r="BK219" s="240"/>
      <c r="BL219" s="240"/>
      <c r="BM219" s="240"/>
      <c r="BN219" s="240"/>
      <c r="BO219" s="240"/>
      <c r="BP219" s="240"/>
      <c r="BQ219" s="240"/>
      <c r="BR219" s="240"/>
      <c r="BS219" s="240"/>
      <c r="BT219" s="240"/>
      <c r="BU219" s="240"/>
      <c r="BV219" s="240"/>
      <c r="BW219" s="241"/>
      <c r="BX219" s="241"/>
      <c r="BY219" s="241"/>
      <c r="BZ219" s="241"/>
      <c r="CA219" s="241"/>
      <c r="CB219" s="241"/>
      <c r="CC219" s="241"/>
      <c r="CD219" s="241"/>
      <c r="CE219" s="241"/>
      <c r="CF219" s="241"/>
      <c r="CG219" s="241"/>
      <c r="CH219" s="245"/>
      <c r="CI219" s="241"/>
      <c r="CJ219" s="241"/>
      <c r="CK219" s="241"/>
      <c r="CL219" s="241"/>
      <c r="CM219" s="241"/>
      <c r="CN219" s="241"/>
      <c r="CO219" s="242"/>
      <c r="CP219" s="242"/>
      <c r="CQ219" s="242"/>
      <c r="CR219" s="527"/>
      <c r="CS219" s="527"/>
      <c r="CT219" s="527"/>
      <c r="CU219" s="527"/>
      <c r="CV219" s="527"/>
      <c r="CW219" s="527"/>
      <c r="CX219" s="527"/>
      <c r="CY219" s="528"/>
      <c r="CZ219" s="242"/>
      <c r="DA219" s="590"/>
      <c r="DB219" s="590"/>
      <c r="DC219" s="659"/>
      <c r="DD219" s="239"/>
      <c r="DE219" s="239"/>
      <c r="DF219" s="239"/>
      <c r="DG219" s="239"/>
      <c r="DH219" s="239"/>
      <c r="DI219" s="239"/>
      <c r="DJ219" s="239"/>
      <c r="DK219" s="616"/>
      <c r="DL219" s="498">
        <f t="shared" si="247"/>
        <v>0</v>
      </c>
      <c r="DM219" s="121">
        <f t="shared" si="248"/>
        <v>0</v>
      </c>
      <c r="DN219" s="121">
        <f t="shared" si="249"/>
        <v>0</v>
      </c>
      <c r="DO219" s="357">
        <f t="shared" si="250"/>
        <v>0</v>
      </c>
    </row>
    <row r="220" spans="2:123" ht="32.1" hidden="1" customHeight="1" outlineLevel="1" thickBot="1" x14ac:dyDescent="0.3">
      <c r="B220" s="813"/>
      <c r="C220" s="814"/>
      <c r="D220" s="804"/>
      <c r="E220" s="776"/>
      <c r="F220" s="246" t="s">
        <v>7</v>
      </c>
      <c r="G220" s="248" t="s">
        <v>134</v>
      </c>
      <c r="H220" s="359"/>
      <c r="I220" s="944" t="s">
        <v>94</v>
      </c>
      <c r="J220" s="249"/>
      <c r="K220" s="249"/>
      <c r="L220" s="249"/>
      <c r="M220" s="249"/>
      <c r="N220" s="249"/>
      <c r="O220" s="249"/>
      <c r="P220" s="249"/>
      <c r="Q220" s="249"/>
      <c r="R220" s="249"/>
      <c r="S220" s="249"/>
      <c r="T220" s="249"/>
      <c r="U220" s="250"/>
      <c r="V220" s="250"/>
      <c r="W220" s="250"/>
      <c r="X220" s="250"/>
      <c r="Y220" s="250"/>
      <c r="Z220" s="250"/>
      <c r="AA220" s="250"/>
      <c r="AB220" s="250"/>
      <c r="AC220" s="250"/>
      <c r="AD220" s="250"/>
      <c r="AE220" s="250"/>
      <c r="AF220" s="250"/>
      <c r="AG220" s="250"/>
      <c r="AH220" s="250"/>
      <c r="AI220" s="250"/>
      <c r="AJ220" s="250"/>
      <c r="AK220" s="250"/>
      <c r="AL220" s="250"/>
      <c r="AM220" s="250"/>
      <c r="AN220" s="250"/>
      <c r="AO220" s="250"/>
      <c r="AP220" s="257"/>
      <c r="AQ220" s="257"/>
      <c r="AR220" s="257"/>
      <c r="AS220" s="251"/>
      <c r="AT220" s="251"/>
      <c r="AU220" s="252"/>
      <c r="AV220" s="252"/>
      <c r="AW220" s="252"/>
      <c r="AX220" s="252"/>
      <c r="AY220" s="252"/>
      <c r="AZ220" s="252"/>
      <c r="BA220" s="253"/>
      <c r="BB220" s="253"/>
      <c r="BC220" s="253"/>
      <c r="BD220" s="253"/>
      <c r="BE220" s="249"/>
      <c r="BF220" s="249"/>
      <c r="BG220" s="249"/>
      <c r="BH220" s="249"/>
      <c r="BI220" s="249"/>
      <c r="BJ220" s="254"/>
      <c r="BK220" s="250"/>
      <c r="BL220" s="250"/>
      <c r="BM220" s="250"/>
      <c r="BN220" s="250"/>
      <c r="BO220" s="250"/>
      <c r="BP220" s="250"/>
      <c r="BQ220" s="250"/>
      <c r="BR220" s="250"/>
      <c r="BS220" s="250"/>
      <c r="BT220" s="250"/>
      <c r="BU220" s="250"/>
      <c r="BV220" s="250"/>
      <c r="BW220" s="251"/>
      <c r="BX220" s="251"/>
      <c r="BY220" s="251"/>
      <c r="BZ220" s="251"/>
      <c r="CA220" s="251"/>
      <c r="CB220" s="251"/>
      <c r="CC220" s="251"/>
      <c r="CD220" s="251"/>
      <c r="CE220" s="251"/>
      <c r="CF220" s="251"/>
      <c r="CG220" s="251"/>
      <c r="CH220" s="255"/>
      <c r="CI220" s="251"/>
      <c r="CJ220" s="251"/>
      <c r="CK220" s="251"/>
      <c r="CL220" s="251"/>
      <c r="CM220" s="251"/>
      <c r="CN220" s="251"/>
      <c r="CO220" s="252"/>
      <c r="CP220" s="252"/>
      <c r="CQ220" s="252"/>
      <c r="CR220" s="529"/>
      <c r="CS220" s="529"/>
      <c r="CT220" s="529"/>
      <c r="CU220" s="529"/>
      <c r="CV220" s="529"/>
      <c r="CW220" s="529"/>
      <c r="CX220" s="529"/>
      <c r="CY220" s="530"/>
      <c r="CZ220" s="252"/>
      <c r="DA220" s="586"/>
      <c r="DB220" s="586"/>
      <c r="DC220" s="655"/>
      <c r="DD220" s="249"/>
      <c r="DE220" s="249"/>
      <c r="DF220" s="249"/>
      <c r="DG220" s="249"/>
      <c r="DH220" s="249"/>
      <c r="DI220" s="249"/>
      <c r="DJ220" s="249"/>
      <c r="DK220" s="617"/>
      <c r="DL220" s="495">
        <f t="shared" si="247"/>
        <v>0</v>
      </c>
      <c r="DM220" s="84">
        <f t="shared" si="248"/>
        <v>0</v>
      </c>
      <c r="DN220" s="84">
        <f t="shared" si="249"/>
        <v>0</v>
      </c>
      <c r="DO220" s="125">
        <f t="shared" si="250"/>
        <v>0</v>
      </c>
    </row>
    <row r="221" spans="2:123" ht="32.1" hidden="1" customHeight="1" outlineLevel="1" thickBot="1" x14ac:dyDescent="0.3">
      <c r="B221" s="813"/>
      <c r="C221" s="814"/>
      <c r="D221" s="804"/>
      <c r="E221" s="776"/>
      <c r="F221" s="246" t="s">
        <v>7</v>
      </c>
      <c r="G221" s="248" t="s">
        <v>134</v>
      </c>
      <c r="H221" s="359"/>
      <c r="I221" s="929"/>
      <c r="J221" s="249"/>
      <c r="K221" s="249"/>
      <c r="L221" s="249"/>
      <c r="M221" s="249"/>
      <c r="N221" s="249"/>
      <c r="O221" s="249"/>
      <c r="P221" s="249"/>
      <c r="Q221" s="249"/>
      <c r="R221" s="249"/>
      <c r="S221" s="249"/>
      <c r="T221" s="249"/>
      <c r="U221" s="250"/>
      <c r="V221" s="250"/>
      <c r="W221" s="250"/>
      <c r="X221" s="250"/>
      <c r="Y221" s="250"/>
      <c r="Z221" s="250"/>
      <c r="AA221" s="250"/>
      <c r="AB221" s="250"/>
      <c r="AC221" s="250"/>
      <c r="AD221" s="250"/>
      <c r="AE221" s="250"/>
      <c r="AF221" s="250"/>
      <c r="AG221" s="250"/>
      <c r="AH221" s="250"/>
      <c r="AI221" s="250"/>
      <c r="AJ221" s="250"/>
      <c r="AK221" s="250"/>
      <c r="AL221" s="250"/>
      <c r="AM221" s="250"/>
      <c r="AN221" s="250"/>
      <c r="AO221" s="250"/>
      <c r="AP221" s="257"/>
      <c r="AQ221" s="257"/>
      <c r="AR221" s="257"/>
      <c r="AS221" s="251"/>
      <c r="AT221" s="251"/>
      <c r="AU221" s="252"/>
      <c r="AV221" s="252"/>
      <c r="AW221" s="252"/>
      <c r="AX221" s="252"/>
      <c r="AY221" s="252"/>
      <c r="AZ221" s="252"/>
      <c r="BA221" s="253"/>
      <c r="BB221" s="253"/>
      <c r="BC221" s="253"/>
      <c r="BD221" s="253"/>
      <c r="BE221" s="249"/>
      <c r="BF221" s="249"/>
      <c r="BG221" s="249"/>
      <c r="BH221" s="249"/>
      <c r="BI221" s="249"/>
      <c r="BJ221" s="254"/>
      <c r="BK221" s="250"/>
      <c r="BL221" s="250"/>
      <c r="BM221" s="250"/>
      <c r="BN221" s="250"/>
      <c r="BO221" s="250"/>
      <c r="BP221" s="250"/>
      <c r="BQ221" s="250"/>
      <c r="BR221" s="250"/>
      <c r="BS221" s="250"/>
      <c r="BT221" s="250"/>
      <c r="BU221" s="250"/>
      <c r="BV221" s="250"/>
      <c r="BW221" s="251"/>
      <c r="BX221" s="251"/>
      <c r="BY221" s="251"/>
      <c r="BZ221" s="251"/>
      <c r="CA221" s="251"/>
      <c r="CB221" s="251"/>
      <c r="CC221" s="251"/>
      <c r="CD221" s="251"/>
      <c r="CE221" s="251"/>
      <c r="CF221" s="251"/>
      <c r="CG221" s="251"/>
      <c r="CH221" s="255"/>
      <c r="CI221" s="251"/>
      <c r="CJ221" s="251"/>
      <c r="CK221" s="251"/>
      <c r="CL221" s="251"/>
      <c r="CM221" s="251"/>
      <c r="CN221" s="251"/>
      <c r="CO221" s="252"/>
      <c r="CP221" s="252"/>
      <c r="CQ221" s="252"/>
      <c r="CR221" s="529"/>
      <c r="CS221" s="529"/>
      <c r="CT221" s="529"/>
      <c r="CU221" s="529"/>
      <c r="CV221" s="529"/>
      <c r="CW221" s="529"/>
      <c r="CX221" s="529"/>
      <c r="CY221" s="530"/>
      <c r="CZ221" s="252"/>
      <c r="DA221" s="586"/>
      <c r="DB221" s="586"/>
      <c r="DC221" s="655"/>
      <c r="DD221" s="249"/>
      <c r="DE221" s="249"/>
      <c r="DF221" s="249"/>
      <c r="DG221" s="249"/>
      <c r="DH221" s="249"/>
      <c r="DI221" s="249"/>
      <c r="DJ221" s="249"/>
      <c r="DK221" s="617"/>
      <c r="DL221" s="495">
        <f t="shared" si="247"/>
        <v>0</v>
      </c>
      <c r="DM221" s="84">
        <f t="shared" si="248"/>
        <v>0</v>
      </c>
      <c r="DN221" s="84">
        <f t="shared" si="249"/>
        <v>0</v>
      </c>
      <c r="DO221" s="125">
        <f t="shared" si="250"/>
        <v>0</v>
      </c>
    </row>
    <row r="222" spans="2:123" ht="32.1" hidden="1" customHeight="1" outlineLevel="1" thickBot="1" x14ac:dyDescent="0.3">
      <c r="B222" s="813"/>
      <c r="C222" s="814"/>
      <c r="D222" s="794"/>
      <c r="E222" s="776"/>
      <c r="F222" s="246" t="s">
        <v>7</v>
      </c>
      <c r="G222" s="248" t="s">
        <v>134</v>
      </c>
      <c r="H222" s="359"/>
      <c r="I222" s="929"/>
      <c r="J222" s="249"/>
      <c r="K222" s="249"/>
      <c r="L222" s="249"/>
      <c r="M222" s="249"/>
      <c r="N222" s="249"/>
      <c r="O222" s="249"/>
      <c r="P222" s="249"/>
      <c r="Q222" s="249"/>
      <c r="R222" s="249"/>
      <c r="S222" s="249"/>
      <c r="T222" s="249"/>
      <c r="U222" s="250"/>
      <c r="V222" s="250"/>
      <c r="W222" s="250"/>
      <c r="X222" s="250"/>
      <c r="Y222" s="250"/>
      <c r="Z222" s="250"/>
      <c r="AA222" s="250"/>
      <c r="AB222" s="250"/>
      <c r="AC222" s="250"/>
      <c r="AD222" s="250"/>
      <c r="AE222" s="250"/>
      <c r="AF222" s="250"/>
      <c r="AG222" s="250"/>
      <c r="AH222" s="250"/>
      <c r="AI222" s="250"/>
      <c r="AJ222" s="250"/>
      <c r="AK222" s="250"/>
      <c r="AL222" s="250"/>
      <c r="AM222" s="250"/>
      <c r="AN222" s="250"/>
      <c r="AO222" s="250"/>
      <c r="AP222" s="257"/>
      <c r="AQ222" s="257"/>
      <c r="AR222" s="257"/>
      <c r="AS222" s="251"/>
      <c r="AT222" s="251"/>
      <c r="AU222" s="252"/>
      <c r="AV222" s="252"/>
      <c r="AW222" s="252"/>
      <c r="AX222" s="252"/>
      <c r="AY222" s="252"/>
      <c r="AZ222" s="252"/>
      <c r="BA222" s="253"/>
      <c r="BB222" s="253"/>
      <c r="BC222" s="253"/>
      <c r="BD222" s="253"/>
      <c r="BE222" s="249"/>
      <c r="BF222" s="249"/>
      <c r="BG222" s="249"/>
      <c r="BH222" s="249"/>
      <c r="BI222" s="249"/>
      <c r="BJ222" s="254"/>
      <c r="BK222" s="250"/>
      <c r="BL222" s="250"/>
      <c r="BM222" s="250"/>
      <c r="BN222" s="250"/>
      <c r="BO222" s="250"/>
      <c r="BP222" s="250"/>
      <c r="BQ222" s="250"/>
      <c r="BR222" s="250"/>
      <c r="BS222" s="250"/>
      <c r="BT222" s="250"/>
      <c r="BU222" s="250"/>
      <c r="BV222" s="250"/>
      <c r="BW222" s="251"/>
      <c r="BX222" s="251"/>
      <c r="BY222" s="251"/>
      <c r="BZ222" s="251"/>
      <c r="CA222" s="251"/>
      <c r="CB222" s="251"/>
      <c r="CC222" s="251"/>
      <c r="CD222" s="251"/>
      <c r="CE222" s="251"/>
      <c r="CF222" s="251"/>
      <c r="CG222" s="251"/>
      <c r="CH222" s="255"/>
      <c r="CI222" s="251"/>
      <c r="CJ222" s="251"/>
      <c r="CK222" s="251"/>
      <c r="CL222" s="251"/>
      <c r="CM222" s="251"/>
      <c r="CN222" s="251"/>
      <c r="CO222" s="252"/>
      <c r="CP222" s="252"/>
      <c r="CQ222" s="252"/>
      <c r="CR222" s="529"/>
      <c r="CS222" s="529"/>
      <c r="CT222" s="529"/>
      <c r="CU222" s="529"/>
      <c r="CV222" s="529"/>
      <c r="CW222" s="529"/>
      <c r="CX222" s="529"/>
      <c r="CY222" s="530"/>
      <c r="CZ222" s="252"/>
      <c r="DA222" s="586"/>
      <c r="DB222" s="586"/>
      <c r="DC222" s="655"/>
      <c r="DD222" s="249"/>
      <c r="DE222" s="249"/>
      <c r="DF222" s="249"/>
      <c r="DG222" s="249"/>
      <c r="DH222" s="249"/>
      <c r="DI222" s="249"/>
      <c r="DJ222" s="249"/>
      <c r="DK222" s="617"/>
      <c r="DL222" s="495">
        <f t="shared" si="247"/>
        <v>0</v>
      </c>
      <c r="DM222" s="84">
        <f t="shared" si="248"/>
        <v>0</v>
      </c>
      <c r="DN222" s="84">
        <f t="shared" si="249"/>
        <v>0</v>
      </c>
      <c r="DO222" s="125">
        <f t="shared" si="250"/>
        <v>0</v>
      </c>
    </row>
    <row r="223" spans="2:123" s="834" customFormat="1" ht="16.5" hidden="1" customHeight="1" outlineLevel="1" thickBot="1" x14ac:dyDescent="0.35">
      <c r="B223" s="813"/>
      <c r="C223" s="814"/>
      <c r="D223" s="819"/>
      <c r="E223" s="820" t="s">
        <v>254</v>
      </c>
      <c r="F223" s="821"/>
      <c r="G223" s="822"/>
      <c r="H223" s="823"/>
      <c r="I223" s="903"/>
      <c r="J223" s="824">
        <f>SUM(J209:J222)</f>
        <v>0</v>
      </c>
      <c r="K223" s="824">
        <f t="shared" ref="K223:CL223" si="251">SUM(K209:K222)</f>
        <v>0</v>
      </c>
      <c r="L223" s="824">
        <f t="shared" si="251"/>
        <v>0</v>
      </c>
      <c r="M223" s="824">
        <f t="shared" si="251"/>
        <v>0</v>
      </c>
      <c r="N223" s="824">
        <f t="shared" si="251"/>
        <v>0</v>
      </c>
      <c r="O223" s="824">
        <f t="shared" si="251"/>
        <v>0</v>
      </c>
      <c r="P223" s="824">
        <f t="shared" si="251"/>
        <v>0</v>
      </c>
      <c r="Q223" s="824">
        <f t="shared" si="251"/>
        <v>0</v>
      </c>
      <c r="R223" s="824">
        <f t="shared" si="251"/>
        <v>0</v>
      </c>
      <c r="S223" s="824">
        <f t="shared" si="251"/>
        <v>0</v>
      </c>
      <c r="T223" s="824">
        <f t="shared" si="251"/>
        <v>0</v>
      </c>
      <c r="U223" s="825">
        <f t="shared" si="251"/>
        <v>0</v>
      </c>
      <c r="V223" s="825">
        <f t="shared" si="251"/>
        <v>0</v>
      </c>
      <c r="W223" s="825">
        <f t="shared" si="251"/>
        <v>0</v>
      </c>
      <c r="X223" s="825">
        <f t="shared" si="251"/>
        <v>0</v>
      </c>
      <c r="Y223" s="825">
        <f t="shared" si="251"/>
        <v>0</v>
      </c>
      <c r="Z223" s="825">
        <f t="shared" si="251"/>
        <v>0</v>
      </c>
      <c r="AA223" s="825">
        <f t="shared" si="251"/>
        <v>0</v>
      </c>
      <c r="AB223" s="825">
        <f t="shared" ref="AB223:AD223" si="252">SUM(AB209:AB222)</f>
        <v>0</v>
      </c>
      <c r="AC223" s="825">
        <f t="shared" si="252"/>
        <v>0</v>
      </c>
      <c r="AD223" s="825">
        <f t="shared" si="252"/>
        <v>0</v>
      </c>
      <c r="AE223" s="825">
        <f t="shared" si="251"/>
        <v>0</v>
      </c>
      <c r="AF223" s="825">
        <f t="shared" si="251"/>
        <v>0</v>
      </c>
      <c r="AG223" s="825">
        <f t="shared" si="251"/>
        <v>0</v>
      </c>
      <c r="AH223" s="825">
        <f t="shared" si="251"/>
        <v>0</v>
      </c>
      <c r="AI223" s="825">
        <f t="shared" ref="AI223:AO223" si="253">SUM(AI209:AI222)</f>
        <v>0</v>
      </c>
      <c r="AJ223" s="825">
        <f t="shared" si="253"/>
        <v>0</v>
      </c>
      <c r="AK223" s="825">
        <f t="shared" si="253"/>
        <v>0</v>
      </c>
      <c r="AL223" s="825">
        <f t="shared" si="253"/>
        <v>0</v>
      </c>
      <c r="AM223" s="825">
        <f t="shared" si="253"/>
        <v>0</v>
      </c>
      <c r="AN223" s="825">
        <f t="shared" si="253"/>
        <v>0</v>
      </c>
      <c r="AO223" s="825">
        <f t="shared" si="253"/>
        <v>0</v>
      </c>
      <c r="AP223" s="826">
        <f t="shared" si="251"/>
        <v>0</v>
      </c>
      <c r="AQ223" s="826">
        <f t="shared" ref="AQ223" si="254">SUM(AQ209:AQ222)</f>
        <v>0</v>
      </c>
      <c r="AR223" s="826">
        <f t="shared" si="251"/>
        <v>0</v>
      </c>
      <c r="AS223" s="826">
        <f t="shared" si="251"/>
        <v>0</v>
      </c>
      <c r="AT223" s="826">
        <f t="shared" si="251"/>
        <v>0</v>
      </c>
      <c r="AU223" s="827">
        <f t="shared" si="251"/>
        <v>0</v>
      </c>
      <c r="AV223" s="827">
        <f t="shared" si="251"/>
        <v>0</v>
      </c>
      <c r="AW223" s="827">
        <f t="shared" si="251"/>
        <v>0</v>
      </c>
      <c r="AX223" s="827">
        <f t="shared" ref="AX223:AY223" si="255">SUM(AX209:AX222)</f>
        <v>0</v>
      </c>
      <c r="AY223" s="827">
        <f t="shared" si="255"/>
        <v>0</v>
      </c>
      <c r="AZ223" s="827">
        <f t="shared" si="251"/>
        <v>0</v>
      </c>
      <c r="BA223" s="828">
        <f t="shared" si="251"/>
        <v>0</v>
      </c>
      <c r="BB223" s="828">
        <f t="shared" si="251"/>
        <v>0</v>
      </c>
      <c r="BC223" s="828">
        <f t="shared" si="251"/>
        <v>0</v>
      </c>
      <c r="BD223" s="828">
        <f t="shared" si="251"/>
        <v>0</v>
      </c>
      <c r="BE223" s="824">
        <f t="shared" si="251"/>
        <v>0</v>
      </c>
      <c r="BF223" s="824">
        <f t="shared" si="251"/>
        <v>0</v>
      </c>
      <c r="BG223" s="824">
        <f t="shared" si="251"/>
        <v>0</v>
      </c>
      <c r="BH223" s="824">
        <f t="shared" si="251"/>
        <v>0</v>
      </c>
      <c r="BI223" s="824">
        <f t="shared" si="251"/>
        <v>0</v>
      </c>
      <c r="BJ223" s="824">
        <f t="shared" si="251"/>
        <v>0</v>
      </c>
      <c r="BK223" s="825">
        <f t="shared" si="251"/>
        <v>0</v>
      </c>
      <c r="BL223" s="825">
        <f t="shared" si="251"/>
        <v>0</v>
      </c>
      <c r="BM223" s="825">
        <f t="shared" si="251"/>
        <v>0</v>
      </c>
      <c r="BN223" s="825">
        <f t="shared" si="251"/>
        <v>0</v>
      </c>
      <c r="BO223" s="825">
        <f t="shared" si="251"/>
        <v>0</v>
      </c>
      <c r="BP223" s="825">
        <f t="shared" si="251"/>
        <v>0</v>
      </c>
      <c r="BQ223" s="825">
        <f t="shared" si="251"/>
        <v>0</v>
      </c>
      <c r="BR223" s="825">
        <f t="shared" ref="BR223" si="256">SUM(BR209:BR222)</f>
        <v>0</v>
      </c>
      <c r="BS223" s="825">
        <f t="shared" ref="BS223" si="257">SUM(BS209:BS222)</f>
        <v>0</v>
      </c>
      <c r="BT223" s="825">
        <f t="shared" si="251"/>
        <v>0</v>
      </c>
      <c r="BU223" s="825">
        <f t="shared" si="251"/>
        <v>0</v>
      </c>
      <c r="BV223" s="825">
        <f t="shared" si="251"/>
        <v>0</v>
      </c>
      <c r="BW223" s="826">
        <f t="shared" si="251"/>
        <v>0</v>
      </c>
      <c r="BX223" s="826">
        <f t="shared" si="251"/>
        <v>0</v>
      </c>
      <c r="BY223" s="826">
        <f t="shared" si="251"/>
        <v>0</v>
      </c>
      <c r="BZ223" s="826">
        <f t="shared" si="251"/>
        <v>0</v>
      </c>
      <c r="CA223" s="826">
        <f t="shared" si="251"/>
        <v>0</v>
      </c>
      <c r="CB223" s="826">
        <f t="shared" ref="CB223" si="258">SUM(CB209:CB222)</f>
        <v>0</v>
      </c>
      <c r="CC223" s="826">
        <f t="shared" si="251"/>
        <v>0</v>
      </c>
      <c r="CD223" s="826">
        <f t="shared" si="251"/>
        <v>0</v>
      </c>
      <c r="CE223" s="826">
        <f t="shared" si="251"/>
        <v>0</v>
      </c>
      <c r="CF223" s="826">
        <f t="shared" si="251"/>
        <v>0</v>
      </c>
      <c r="CG223" s="826">
        <f t="shared" si="251"/>
        <v>0</v>
      </c>
      <c r="CH223" s="826">
        <f t="shared" si="251"/>
        <v>0</v>
      </c>
      <c r="CI223" s="826">
        <f t="shared" si="251"/>
        <v>0</v>
      </c>
      <c r="CJ223" s="826">
        <f t="shared" si="251"/>
        <v>0</v>
      </c>
      <c r="CK223" s="826">
        <f t="shared" si="251"/>
        <v>0</v>
      </c>
      <c r="CL223" s="826">
        <f t="shared" si="251"/>
        <v>0</v>
      </c>
      <c r="CM223" s="826">
        <f t="shared" ref="CM223:DO223" si="259">SUM(CM209:CM222)</f>
        <v>0</v>
      </c>
      <c r="CN223" s="826">
        <f t="shared" si="259"/>
        <v>0</v>
      </c>
      <c r="CO223" s="827">
        <f t="shared" si="259"/>
        <v>0</v>
      </c>
      <c r="CP223" s="827">
        <f t="shared" si="259"/>
        <v>0</v>
      </c>
      <c r="CQ223" s="827">
        <f t="shared" si="259"/>
        <v>0</v>
      </c>
      <c r="CR223" s="827">
        <f t="shared" si="259"/>
        <v>0</v>
      </c>
      <c r="CS223" s="827">
        <f t="shared" si="259"/>
        <v>0</v>
      </c>
      <c r="CT223" s="827">
        <f t="shared" si="259"/>
        <v>0</v>
      </c>
      <c r="CU223" s="827">
        <f t="shared" si="259"/>
        <v>0</v>
      </c>
      <c r="CV223" s="827">
        <f t="shared" si="259"/>
        <v>0</v>
      </c>
      <c r="CW223" s="827">
        <f t="shared" si="259"/>
        <v>0</v>
      </c>
      <c r="CX223" s="827">
        <f t="shared" si="259"/>
        <v>0</v>
      </c>
      <c r="CY223" s="827">
        <f t="shared" si="259"/>
        <v>0</v>
      </c>
      <c r="CZ223" s="827">
        <f t="shared" si="259"/>
        <v>0</v>
      </c>
      <c r="DA223" s="827">
        <f t="shared" si="259"/>
        <v>0</v>
      </c>
      <c r="DB223" s="827">
        <f t="shared" si="259"/>
        <v>0</v>
      </c>
      <c r="DC223" s="824">
        <f t="shared" si="259"/>
        <v>0</v>
      </c>
      <c r="DD223" s="824">
        <f t="shared" si="259"/>
        <v>0</v>
      </c>
      <c r="DE223" s="824">
        <f t="shared" si="259"/>
        <v>0</v>
      </c>
      <c r="DF223" s="824">
        <f t="shared" si="259"/>
        <v>0</v>
      </c>
      <c r="DG223" s="824">
        <f t="shared" si="259"/>
        <v>0</v>
      </c>
      <c r="DH223" s="824">
        <f t="shared" si="259"/>
        <v>0</v>
      </c>
      <c r="DI223" s="824">
        <f t="shared" si="259"/>
        <v>0</v>
      </c>
      <c r="DJ223" s="824">
        <f t="shared" si="259"/>
        <v>0</v>
      </c>
      <c r="DK223" s="829">
        <f t="shared" si="259"/>
        <v>0</v>
      </c>
      <c r="DL223" s="830">
        <f t="shared" si="259"/>
        <v>0</v>
      </c>
      <c r="DM223" s="831">
        <f t="shared" si="259"/>
        <v>0</v>
      </c>
      <c r="DN223" s="831">
        <f t="shared" si="259"/>
        <v>0</v>
      </c>
      <c r="DO223" s="832">
        <f t="shared" si="259"/>
        <v>0</v>
      </c>
      <c r="DP223" s="833"/>
      <c r="DQ223" s="833"/>
      <c r="DR223" s="833"/>
      <c r="DS223" s="833"/>
    </row>
    <row r="224" spans="2:123" ht="32.1" hidden="1" customHeight="1" outlineLevel="1" x14ac:dyDescent="0.25">
      <c r="B224" s="813"/>
      <c r="C224" s="814"/>
      <c r="D224" s="799" t="s">
        <v>139</v>
      </c>
      <c r="E224" s="780" t="s">
        <v>136</v>
      </c>
      <c r="F224" s="278" t="s">
        <v>7</v>
      </c>
      <c r="G224" s="280" t="s">
        <v>139</v>
      </c>
      <c r="H224" s="351"/>
      <c r="I224" s="931" t="s">
        <v>150</v>
      </c>
      <c r="J224" s="281"/>
      <c r="K224" s="281"/>
      <c r="L224" s="281"/>
      <c r="M224" s="281"/>
      <c r="N224" s="281"/>
      <c r="O224" s="281"/>
      <c r="P224" s="281"/>
      <c r="Q224" s="281"/>
      <c r="R224" s="281"/>
      <c r="S224" s="281"/>
      <c r="T224" s="281"/>
      <c r="U224" s="282"/>
      <c r="V224" s="282"/>
      <c r="W224" s="282"/>
      <c r="X224" s="282"/>
      <c r="Y224" s="282"/>
      <c r="Z224" s="282"/>
      <c r="AA224" s="282"/>
      <c r="AB224" s="282"/>
      <c r="AC224" s="282"/>
      <c r="AD224" s="282"/>
      <c r="AE224" s="282"/>
      <c r="AF224" s="282"/>
      <c r="AG224" s="282"/>
      <c r="AH224" s="282"/>
      <c r="AI224" s="282"/>
      <c r="AJ224" s="282"/>
      <c r="AK224" s="282"/>
      <c r="AL224" s="282"/>
      <c r="AM224" s="282"/>
      <c r="AN224" s="282"/>
      <c r="AO224" s="282"/>
      <c r="AP224" s="354"/>
      <c r="AQ224" s="354"/>
      <c r="AR224" s="354"/>
      <c r="AS224" s="283"/>
      <c r="AT224" s="283"/>
      <c r="AU224" s="284"/>
      <c r="AV224" s="284"/>
      <c r="AW224" s="284"/>
      <c r="AX224" s="284"/>
      <c r="AY224" s="284"/>
      <c r="AZ224" s="284"/>
      <c r="BA224" s="285"/>
      <c r="BB224" s="285"/>
      <c r="BC224" s="285"/>
      <c r="BD224" s="285"/>
      <c r="BE224" s="281"/>
      <c r="BF224" s="281"/>
      <c r="BG224" s="281"/>
      <c r="BH224" s="281"/>
      <c r="BI224" s="281"/>
      <c r="BJ224" s="286"/>
      <c r="BK224" s="282"/>
      <c r="BL224" s="282"/>
      <c r="BM224" s="282"/>
      <c r="BN224" s="282"/>
      <c r="BO224" s="282"/>
      <c r="BP224" s="282"/>
      <c r="BQ224" s="282"/>
      <c r="BR224" s="282"/>
      <c r="BS224" s="282"/>
      <c r="BT224" s="282"/>
      <c r="BU224" s="282"/>
      <c r="BV224" s="282"/>
      <c r="BW224" s="283"/>
      <c r="BX224" s="283"/>
      <c r="BY224" s="283"/>
      <c r="BZ224" s="283"/>
      <c r="CA224" s="283"/>
      <c r="CB224" s="283"/>
      <c r="CC224" s="283"/>
      <c r="CD224" s="283"/>
      <c r="CE224" s="283"/>
      <c r="CF224" s="283"/>
      <c r="CG224" s="283"/>
      <c r="CH224" s="287"/>
      <c r="CI224" s="283"/>
      <c r="CJ224" s="283"/>
      <c r="CK224" s="283"/>
      <c r="CL224" s="283"/>
      <c r="CM224" s="283"/>
      <c r="CN224" s="283"/>
      <c r="CO224" s="284"/>
      <c r="CP224" s="284"/>
      <c r="CQ224" s="284"/>
      <c r="CR224" s="542"/>
      <c r="CS224" s="542"/>
      <c r="CT224" s="542"/>
      <c r="CU224" s="542"/>
      <c r="CV224" s="542"/>
      <c r="CW224" s="542"/>
      <c r="CX224" s="542"/>
      <c r="CY224" s="543"/>
      <c r="CZ224" s="284"/>
      <c r="DA224" s="579"/>
      <c r="DB224" s="579"/>
      <c r="DC224" s="648"/>
      <c r="DD224" s="281"/>
      <c r="DE224" s="281"/>
      <c r="DF224" s="281"/>
      <c r="DG224" s="281"/>
      <c r="DH224" s="281"/>
      <c r="DI224" s="281"/>
      <c r="DJ224" s="281"/>
      <c r="DK224" s="629"/>
      <c r="DL224" s="495">
        <f t="shared" ref="DL224:DL235" si="260">SUM(J224:S224)*5+SUM(V224:AF224)+AH224*4+U224*2.5+AG224/0.75</f>
        <v>0</v>
      </c>
      <c r="DM224" s="84">
        <f t="shared" ref="DM224:DM235" si="261">SUM(J224:DK224)</f>
        <v>0</v>
      </c>
      <c r="DN224" s="84">
        <f t="shared" ref="DN224:DN235" si="262">SUM(BK224:BV224,)</f>
        <v>0</v>
      </c>
      <c r="DO224" s="125">
        <f t="shared" ref="DO224:DO235" si="263">SUM(AT224:AV224)+SUM(AW224:AZ224)*5</f>
        <v>0</v>
      </c>
    </row>
    <row r="225" spans="2:123" ht="32.1" hidden="1" customHeight="1" outlineLevel="1" x14ac:dyDescent="0.25">
      <c r="B225" s="813"/>
      <c r="C225" s="814"/>
      <c r="D225" s="805"/>
      <c r="E225" s="785"/>
      <c r="F225" s="278" t="s">
        <v>7</v>
      </c>
      <c r="G225" s="280" t="s">
        <v>139</v>
      </c>
      <c r="H225" s="351"/>
      <c r="I225" s="931" t="s">
        <v>56</v>
      </c>
      <c r="J225" s="281"/>
      <c r="K225" s="281"/>
      <c r="L225" s="281"/>
      <c r="M225" s="281"/>
      <c r="N225" s="281"/>
      <c r="O225" s="281"/>
      <c r="P225" s="281"/>
      <c r="Q225" s="281"/>
      <c r="R225" s="281"/>
      <c r="S225" s="281"/>
      <c r="T225" s="281"/>
      <c r="U225" s="282"/>
      <c r="V225" s="282"/>
      <c r="W225" s="282"/>
      <c r="X225" s="282"/>
      <c r="Y225" s="282"/>
      <c r="Z225" s="282"/>
      <c r="AA225" s="282"/>
      <c r="AB225" s="282"/>
      <c r="AC225" s="282"/>
      <c r="AD225" s="282"/>
      <c r="AE225" s="282"/>
      <c r="AF225" s="282"/>
      <c r="AG225" s="282"/>
      <c r="AH225" s="282"/>
      <c r="AI225" s="282"/>
      <c r="AJ225" s="282"/>
      <c r="AK225" s="282"/>
      <c r="AL225" s="282"/>
      <c r="AM225" s="282"/>
      <c r="AN225" s="282"/>
      <c r="AO225" s="282"/>
      <c r="AP225" s="354"/>
      <c r="AQ225" s="354"/>
      <c r="AR225" s="354"/>
      <c r="AS225" s="283"/>
      <c r="AT225" s="283"/>
      <c r="AU225" s="284"/>
      <c r="AV225" s="284"/>
      <c r="AW225" s="284"/>
      <c r="AX225" s="284"/>
      <c r="AY225" s="284"/>
      <c r="AZ225" s="284"/>
      <c r="BA225" s="285"/>
      <c r="BB225" s="285"/>
      <c r="BC225" s="285"/>
      <c r="BD225" s="285"/>
      <c r="BE225" s="281"/>
      <c r="BF225" s="281"/>
      <c r="BG225" s="281"/>
      <c r="BH225" s="281"/>
      <c r="BI225" s="281"/>
      <c r="BJ225" s="286"/>
      <c r="BK225" s="282"/>
      <c r="BL225" s="282"/>
      <c r="BM225" s="282"/>
      <c r="BN225" s="282"/>
      <c r="BO225" s="282"/>
      <c r="BP225" s="282"/>
      <c r="BQ225" s="282"/>
      <c r="BR225" s="282"/>
      <c r="BS225" s="282"/>
      <c r="BT225" s="282"/>
      <c r="BU225" s="282"/>
      <c r="BV225" s="282"/>
      <c r="BW225" s="283"/>
      <c r="BX225" s="283"/>
      <c r="BY225" s="283"/>
      <c r="BZ225" s="283"/>
      <c r="CA225" s="283"/>
      <c r="CB225" s="283"/>
      <c r="CC225" s="283"/>
      <c r="CD225" s="283"/>
      <c r="CE225" s="283"/>
      <c r="CF225" s="283"/>
      <c r="CG225" s="283"/>
      <c r="CH225" s="287"/>
      <c r="CI225" s="283"/>
      <c r="CJ225" s="283"/>
      <c r="CK225" s="283"/>
      <c r="CL225" s="283"/>
      <c r="CM225" s="283"/>
      <c r="CN225" s="283"/>
      <c r="CO225" s="284"/>
      <c r="CP225" s="284"/>
      <c r="CQ225" s="284"/>
      <c r="CR225" s="542"/>
      <c r="CS225" s="542"/>
      <c r="CT225" s="542"/>
      <c r="CU225" s="542"/>
      <c r="CV225" s="542"/>
      <c r="CW225" s="542"/>
      <c r="CX225" s="542"/>
      <c r="CY225" s="543"/>
      <c r="CZ225" s="284"/>
      <c r="DA225" s="579"/>
      <c r="DB225" s="579"/>
      <c r="DC225" s="648"/>
      <c r="DD225" s="281"/>
      <c r="DE225" s="281"/>
      <c r="DF225" s="281"/>
      <c r="DG225" s="281"/>
      <c r="DH225" s="281"/>
      <c r="DI225" s="281"/>
      <c r="DJ225" s="281"/>
      <c r="DK225" s="629"/>
      <c r="DL225" s="495">
        <f t="shared" si="260"/>
        <v>0</v>
      </c>
      <c r="DM225" s="84">
        <f t="shared" si="261"/>
        <v>0</v>
      </c>
      <c r="DN225" s="84">
        <f t="shared" si="262"/>
        <v>0</v>
      </c>
      <c r="DO225" s="125">
        <f t="shared" si="263"/>
        <v>0</v>
      </c>
    </row>
    <row r="226" spans="2:123" ht="32.1" hidden="1" customHeight="1" outlineLevel="1" x14ac:dyDescent="0.25">
      <c r="B226" s="813"/>
      <c r="C226" s="814"/>
      <c r="D226" s="805"/>
      <c r="E226" s="785"/>
      <c r="F226" s="278" t="s">
        <v>7</v>
      </c>
      <c r="G226" s="280" t="s">
        <v>139</v>
      </c>
      <c r="H226" s="353"/>
      <c r="I226" s="964" t="s">
        <v>67</v>
      </c>
      <c r="J226" s="281"/>
      <c r="K226" s="281"/>
      <c r="L226" s="281"/>
      <c r="M226" s="281"/>
      <c r="N226" s="281"/>
      <c r="O226" s="281"/>
      <c r="P226" s="281"/>
      <c r="Q226" s="281"/>
      <c r="R226" s="281"/>
      <c r="S226" s="281"/>
      <c r="T226" s="281"/>
      <c r="U226" s="282"/>
      <c r="V226" s="282"/>
      <c r="W226" s="282"/>
      <c r="X226" s="282"/>
      <c r="Y226" s="282"/>
      <c r="Z226" s="282"/>
      <c r="AA226" s="282"/>
      <c r="AB226" s="282"/>
      <c r="AC226" s="282"/>
      <c r="AD226" s="282"/>
      <c r="AE226" s="282"/>
      <c r="AF226" s="282"/>
      <c r="AG226" s="282"/>
      <c r="AH226" s="282"/>
      <c r="AI226" s="282"/>
      <c r="AJ226" s="282"/>
      <c r="AK226" s="282"/>
      <c r="AL226" s="282"/>
      <c r="AM226" s="282"/>
      <c r="AN226" s="282"/>
      <c r="AO226" s="282"/>
      <c r="AP226" s="354"/>
      <c r="AQ226" s="354"/>
      <c r="AR226" s="354"/>
      <c r="AS226" s="283"/>
      <c r="AT226" s="283"/>
      <c r="AU226" s="284"/>
      <c r="AV226" s="284"/>
      <c r="AW226" s="284"/>
      <c r="AX226" s="284"/>
      <c r="AY226" s="284"/>
      <c r="AZ226" s="284"/>
      <c r="BA226" s="285"/>
      <c r="BB226" s="285"/>
      <c r="BC226" s="285"/>
      <c r="BD226" s="285"/>
      <c r="BE226" s="281"/>
      <c r="BF226" s="281"/>
      <c r="BG226" s="281"/>
      <c r="BH226" s="281"/>
      <c r="BI226" s="281"/>
      <c r="BJ226" s="286"/>
      <c r="BK226" s="282"/>
      <c r="BL226" s="282"/>
      <c r="BM226" s="282"/>
      <c r="BN226" s="282"/>
      <c r="BO226" s="282"/>
      <c r="BP226" s="282"/>
      <c r="BQ226" s="282"/>
      <c r="BR226" s="282"/>
      <c r="BS226" s="282"/>
      <c r="BT226" s="282"/>
      <c r="BU226" s="282"/>
      <c r="BV226" s="282"/>
      <c r="BW226" s="283"/>
      <c r="BX226" s="283"/>
      <c r="BY226" s="283"/>
      <c r="BZ226" s="283"/>
      <c r="CA226" s="283"/>
      <c r="CB226" s="283"/>
      <c r="CC226" s="283"/>
      <c r="CD226" s="283"/>
      <c r="CE226" s="283"/>
      <c r="CF226" s="283"/>
      <c r="CG226" s="283"/>
      <c r="CH226" s="287"/>
      <c r="CI226" s="283"/>
      <c r="CJ226" s="283"/>
      <c r="CK226" s="283"/>
      <c r="CL226" s="283"/>
      <c r="CM226" s="283"/>
      <c r="CN226" s="283"/>
      <c r="CO226" s="284"/>
      <c r="CP226" s="284"/>
      <c r="CQ226" s="284"/>
      <c r="CR226" s="542"/>
      <c r="CS226" s="542"/>
      <c r="CT226" s="542"/>
      <c r="CU226" s="542"/>
      <c r="CV226" s="542"/>
      <c r="CW226" s="542"/>
      <c r="CX226" s="542"/>
      <c r="CY226" s="543"/>
      <c r="CZ226" s="284"/>
      <c r="DA226" s="579"/>
      <c r="DB226" s="579"/>
      <c r="DC226" s="648"/>
      <c r="DD226" s="281"/>
      <c r="DE226" s="281"/>
      <c r="DF226" s="281"/>
      <c r="DG226" s="281"/>
      <c r="DH226" s="281"/>
      <c r="DI226" s="281"/>
      <c r="DJ226" s="281"/>
      <c r="DK226" s="629"/>
      <c r="DL226" s="495">
        <f t="shared" si="260"/>
        <v>0</v>
      </c>
      <c r="DM226" s="84">
        <f t="shared" si="261"/>
        <v>0</v>
      </c>
      <c r="DN226" s="84">
        <f t="shared" si="262"/>
        <v>0</v>
      </c>
      <c r="DO226" s="125">
        <f t="shared" si="263"/>
        <v>0</v>
      </c>
    </row>
    <row r="227" spans="2:123" ht="32.1" hidden="1" customHeight="1" outlineLevel="1" thickBot="1" x14ac:dyDescent="0.4">
      <c r="B227" s="813"/>
      <c r="C227" s="814"/>
      <c r="D227" s="805"/>
      <c r="E227" s="785"/>
      <c r="F227" s="372" t="s">
        <v>7</v>
      </c>
      <c r="G227" s="373" t="s">
        <v>139</v>
      </c>
      <c r="H227" s="351"/>
      <c r="I227" s="974"/>
      <c r="J227" s="291"/>
      <c r="K227" s="291"/>
      <c r="L227" s="291"/>
      <c r="M227" s="291"/>
      <c r="N227" s="291"/>
      <c r="O227" s="291"/>
      <c r="P227" s="291"/>
      <c r="Q227" s="291"/>
      <c r="R227" s="291"/>
      <c r="S227" s="291"/>
      <c r="T227" s="291"/>
      <c r="U227" s="292"/>
      <c r="V227" s="292"/>
      <c r="W227" s="292"/>
      <c r="X227" s="292"/>
      <c r="Y227" s="292"/>
      <c r="Z227" s="292"/>
      <c r="AA227" s="292"/>
      <c r="AB227" s="292"/>
      <c r="AC227" s="292"/>
      <c r="AD227" s="292"/>
      <c r="AE227" s="292"/>
      <c r="AF227" s="292"/>
      <c r="AG227" s="292"/>
      <c r="AH227" s="292"/>
      <c r="AI227" s="292"/>
      <c r="AJ227" s="292"/>
      <c r="AK227" s="292"/>
      <c r="AL227" s="292"/>
      <c r="AM227" s="292"/>
      <c r="AN227" s="292"/>
      <c r="AO227" s="292"/>
      <c r="AP227" s="293"/>
      <c r="AQ227" s="293"/>
      <c r="AR227" s="293"/>
      <c r="AS227" s="293"/>
      <c r="AT227" s="293"/>
      <c r="AU227" s="294"/>
      <c r="AV227" s="294"/>
      <c r="AW227" s="294"/>
      <c r="AX227" s="294"/>
      <c r="AY227" s="294"/>
      <c r="AZ227" s="294"/>
      <c r="BA227" s="295"/>
      <c r="BB227" s="295"/>
      <c r="BC227" s="295"/>
      <c r="BD227" s="295"/>
      <c r="BE227" s="291"/>
      <c r="BF227" s="291"/>
      <c r="BG227" s="291"/>
      <c r="BH227" s="291"/>
      <c r="BI227" s="291"/>
      <c r="BJ227" s="296"/>
      <c r="BK227" s="292"/>
      <c r="BL227" s="292"/>
      <c r="BM227" s="292"/>
      <c r="BN227" s="292"/>
      <c r="BO227" s="292"/>
      <c r="BP227" s="292"/>
      <c r="BQ227" s="292"/>
      <c r="BR227" s="292"/>
      <c r="BS227" s="292"/>
      <c r="BT227" s="292"/>
      <c r="BU227" s="292"/>
      <c r="BV227" s="292"/>
      <c r="BW227" s="293"/>
      <c r="BX227" s="293"/>
      <c r="BY227" s="293"/>
      <c r="BZ227" s="293"/>
      <c r="CA227" s="293"/>
      <c r="CB227" s="293"/>
      <c r="CC227" s="293"/>
      <c r="CD227" s="293"/>
      <c r="CE227" s="293"/>
      <c r="CF227" s="293"/>
      <c r="CG227" s="293"/>
      <c r="CH227" s="297"/>
      <c r="CI227" s="293"/>
      <c r="CJ227" s="293"/>
      <c r="CK227" s="293"/>
      <c r="CL227" s="293"/>
      <c r="CM227" s="293"/>
      <c r="CN227" s="293"/>
      <c r="CO227" s="294"/>
      <c r="CP227" s="294"/>
      <c r="CQ227" s="294"/>
      <c r="CR227" s="544"/>
      <c r="CS227" s="544"/>
      <c r="CT227" s="544"/>
      <c r="CU227" s="544"/>
      <c r="CV227" s="544"/>
      <c r="CW227" s="544"/>
      <c r="CX227" s="544"/>
      <c r="CY227" s="545"/>
      <c r="CZ227" s="294"/>
      <c r="DA227" s="591"/>
      <c r="DB227" s="591"/>
      <c r="DC227" s="660"/>
      <c r="DD227" s="660"/>
      <c r="DE227" s="660"/>
      <c r="DF227" s="660"/>
      <c r="DG227" s="660"/>
      <c r="DH227" s="660"/>
      <c r="DI227" s="660"/>
      <c r="DJ227" s="660"/>
      <c r="DK227" s="661"/>
      <c r="DL227" s="496">
        <f t="shared" si="260"/>
        <v>0</v>
      </c>
      <c r="DM227" s="120">
        <f t="shared" si="261"/>
        <v>0</v>
      </c>
      <c r="DN227" s="120">
        <f t="shared" si="262"/>
        <v>0</v>
      </c>
      <c r="DO227" s="358">
        <f t="shared" si="263"/>
        <v>0</v>
      </c>
    </row>
    <row r="228" spans="2:123" ht="32.1" hidden="1" customHeight="1" outlineLevel="1" thickBot="1" x14ac:dyDescent="0.3">
      <c r="B228" s="813"/>
      <c r="C228" s="814"/>
      <c r="D228" s="805"/>
      <c r="E228" s="779" t="s">
        <v>137</v>
      </c>
      <c r="F228" s="268" t="s">
        <v>7</v>
      </c>
      <c r="G228" s="270" t="s">
        <v>139</v>
      </c>
      <c r="H228" s="443"/>
      <c r="I228" s="934" t="s">
        <v>189</v>
      </c>
      <c r="J228" s="379"/>
      <c r="K228" s="379"/>
      <c r="L228" s="379"/>
      <c r="M228" s="379"/>
      <c r="N228" s="379"/>
      <c r="O228" s="379"/>
      <c r="P228" s="379"/>
      <c r="Q228" s="379"/>
      <c r="R228" s="379"/>
      <c r="S228" s="379"/>
      <c r="T228" s="379"/>
      <c r="U228" s="380"/>
      <c r="V228" s="380"/>
      <c r="W228" s="380"/>
      <c r="X228" s="380"/>
      <c r="Y228" s="380"/>
      <c r="Z228" s="380"/>
      <c r="AA228" s="380"/>
      <c r="AB228" s="380"/>
      <c r="AC228" s="380"/>
      <c r="AD228" s="380"/>
      <c r="AE228" s="380"/>
      <c r="AF228" s="380"/>
      <c r="AG228" s="380"/>
      <c r="AH228" s="380"/>
      <c r="AI228" s="380"/>
      <c r="AJ228" s="380"/>
      <c r="AK228" s="380"/>
      <c r="AL228" s="380"/>
      <c r="AM228" s="380"/>
      <c r="AN228" s="380"/>
      <c r="AO228" s="380"/>
      <c r="AP228" s="381"/>
      <c r="AQ228" s="381"/>
      <c r="AR228" s="381"/>
      <c r="AS228" s="381"/>
      <c r="AT228" s="381"/>
      <c r="AU228" s="382"/>
      <c r="AV228" s="382"/>
      <c r="AW228" s="382"/>
      <c r="AX228" s="382"/>
      <c r="AY228" s="382"/>
      <c r="AZ228" s="382"/>
      <c r="BA228" s="383"/>
      <c r="BB228" s="383"/>
      <c r="BC228" s="383"/>
      <c r="BD228" s="383"/>
      <c r="BE228" s="379"/>
      <c r="BF228" s="379"/>
      <c r="BG228" s="379"/>
      <c r="BH228" s="379"/>
      <c r="BI228" s="379"/>
      <c r="BJ228" s="384"/>
      <c r="BK228" s="380"/>
      <c r="BL228" s="380"/>
      <c r="BM228" s="380"/>
      <c r="BN228" s="380"/>
      <c r="BO228" s="380"/>
      <c r="BP228" s="380"/>
      <c r="BQ228" s="380"/>
      <c r="BR228" s="380"/>
      <c r="BS228" s="380"/>
      <c r="BT228" s="380"/>
      <c r="BU228" s="380"/>
      <c r="BV228" s="380"/>
      <c r="BW228" s="381"/>
      <c r="BX228" s="381"/>
      <c r="BY228" s="381"/>
      <c r="BZ228" s="381"/>
      <c r="CA228" s="381"/>
      <c r="CB228" s="381"/>
      <c r="CC228" s="381"/>
      <c r="CD228" s="381"/>
      <c r="CE228" s="381"/>
      <c r="CF228" s="381"/>
      <c r="CG228" s="381"/>
      <c r="CH228" s="386"/>
      <c r="CI228" s="381"/>
      <c r="CJ228" s="381"/>
      <c r="CK228" s="381"/>
      <c r="CL228" s="381"/>
      <c r="CM228" s="381"/>
      <c r="CN228" s="381"/>
      <c r="CO228" s="382"/>
      <c r="CP228" s="382"/>
      <c r="CQ228" s="382"/>
      <c r="CR228" s="546"/>
      <c r="CS228" s="546"/>
      <c r="CT228" s="546"/>
      <c r="CU228" s="546"/>
      <c r="CV228" s="546"/>
      <c r="CW228" s="546"/>
      <c r="CX228" s="546"/>
      <c r="CY228" s="547"/>
      <c r="CZ228" s="382"/>
      <c r="DA228" s="382"/>
      <c r="DB228" s="382"/>
      <c r="DC228" s="379"/>
      <c r="DD228" s="643"/>
      <c r="DE228" s="643"/>
      <c r="DF228" s="643"/>
      <c r="DG228" s="643"/>
      <c r="DH228" s="643"/>
      <c r="DI228" s="643"/>
      <c r="DJ228" s="643"/>
      <c r="DK228" s="631"/>
      <c r="DL228" s="494">
        <f t="shared" si="260"/>
        <v>0</v>
      </c>
      <c r="DM228" s="122">
        <f t="shared" si="261"/>
        <v>0</v>
      </c>
      <c r="DN228" s="122">
        <f t="shared" si="262"/>
        <v>0</v>
      </c>
      <c r="DO228" s="124">
        <f t="shared" si="263"/>
        <v>0</v>
      </c>
    </row>
    <row r="229" spans="2:123" ht="32.1" hidden="1" customHeight="1" outlineLevel="1" thickBot="1" x14ac:dyDescent="0.3">
      <c r="B229" s="813"/>
      <c r="C229" s="814"/>
      <c r="D229" s="805"/>
      <c r="E229" s="779"/>
      <c r="F229" s="278" t="s">
        <v>7</v>
      </c>
      <c r="G229" s="280" t="s">
        <v>139</v>
      </c>
      <c r="H229" s="351"/>
      <c r="I229" s="931" t="s">
        <v>214</v>
      </c>
      <c r="J229" s="281"/>
      <c r="K229" s="281"/>
      <c r="L229" s="281"/>
      <c r="M229" s="281"/>
      <c r="N229" s="281"/>
      <c r="O229" s="281"/>
      <c r="P229" s="281"/>
      <c r="Q229" s="281"/>
      <c r="R229" s="281"/>
      <c r="S229" s="281"/>
      <c r="T229" s="281"/>
      <c r="U229" s="282"/>
      <c r="V229" s="282"/>
      <c r="W229" s="282"/>
      <c r="X229" s="282"/>
      <c r="Y229" s="282"/>
      <c r="Z229" s="282"/>
      <c r="AA229" s="282"/>
      <c r="AB229" s="282"/>
      <c r="AC229" s="282"/>
      <c r="AD229" s="282"/>
      <c r="AE229" s="282"/>
      <c r="AF229" s="282"/>
      <c r="AG229" s="282"/>
      <c r="AH229" s="282"/>
      <c r="AI229" s="282"/>
      <c r="AJ229" s="282"/>
      <c r="AK229" s="282"/>
      <c r="AL229" s="282"/>
      <c r="AM229" s="282"/>
      <c r="AN229" s="282"/>
      <c r="AO229" s="282"/>
      <c r="AP229" s="283"/>
      <c r="AQ229" s="283"/>
      <c r="AR229" s="283"/>
      <c r="AS229" s="283"/>
      <c r="AT229" s="283"/>
      <c r="AU229" s="284"/>
      <c r="AV229" s="284"/>
      <c r="AW229" s="284"/>
      <c r="AX229" s="284"/>
      <c r="AY229" s="284"/>
      <c r="AZ229" s="284"/>
      <c r="BA229" s="285"/>
      <c r="BB229" s="285"/>
      <c r="BC229" s="285"/>
      <c r="BD229" s="285"/>
      <c r="BE229" s="281"/>
      <c r="BF229" s="281"/>
      <c r="BG229" s="281"/>
      <c r="BH229" s="281"/>
      <c r="BI229" s="281"/>
      <c r="BJ229" s="286"/>
      <c r="BK229" s="282"/>
      <c r="BL229" s="282"/>
      <c r="BM229" s="282"/>
      <c r="BN229" s="282"/>
      <c r="BO229" s="282"/>
      <c r="BP229" s="282"/>
      <c r="BQ229" s="282"/>
      <c r="BR229" s="282"/>
      <c r="BS229" s="282"/>
      <c r="BT229" s="282"/>
      <c r="BU229" s="282"/>
      <c r="BV229" s="282"/>
      <c r="BW229" s="283"/>
      <c r="BX229" s="283"/>
      <c r="BY229" s="283"/>
      <c r="BZ229" s="283"/>
      <c r="CA229" s="283"/>
      <c r="CB229" s="283"/>
      <c r="CC229" s="283"/>
      <c r="CD229" s="283"/>
      <c r="CE229" s="283"/>
      <c r="CF229" s="283"/>
      <c r="CG229" s="283"/>
      <c r="CH229" s="287"/>
      <c r="CI229" s="283"/>
      <c r="CJ229" s="283"/>
      <c r="CK229" s="283"/>
      <c r="CL229" s="283"/>
      <c r="CM229" s="283"/>
      <c r="CN229" s="283"/>
      <c r="CO229" s="284"/>
      <c r="CP229" s="284"/>
      <c r="CQ229" s="284"/>
      <c r="CR229" s="542"/>
      <c r="CS229" s="542"/>
      <c r="CT229" s="542"/>
      <c r="CU229" s="542"/>
      <c r="CV229" s="542"/>
      <c r="CW229" s="542"/>
      <c r="CX229" s="542"/>
      <c r="CY229" s="543"/>
      <c r="CZ229" s="284"/>
      <c r="DA229" s="592"/>
      <c r="DB229" s="592"/>
      <c r="DC229" s="662"/>
      <c r="DD229" s="281"/>
      <c r="DE229" s="281"/>
      <c r="DF229" s="281"/>
      <c r="DG229" s="281"/>
      <c r="DH229" s="281"/>
      <c r="DI229" s="281"/>
      <c r="DJ229" s="281"/>
      <c r="DK229" s="629"/>
      <c r="DL229" s="495">
        <f t="shared" si="260"/>
        <v>0</v>
      </c>
      <c r="DM229" s="84">
        <f t="shared" si="261"/>
        <v>0</v>
      </c>
      <c r="DN229" s="84">
        <f t="shared" si="262"/>
        <v>0</v>
      </c>
      <c r="DO229" s="125">
        <f t="shared" si="263"/>
        <v>0</v>
      </c>
    </row>
    <row r="230" spans="2:123" ht="32.1" hidden="1" customHeight="1" outlineLevel="1" thickBot="1" x14ac:dyDescent="0.3">
      <c r="B230" s="813"/>
      <c r="C230" s="814"/>
      <c r="D230" s="805"/>
      <c r="E230" s="779"/>
      <c r="F230" s="278" t="s">
        <v>7</v>
      </c>
      <c r="G230" s="280" t="s">
        <v>139</v>
      </c>
      <c r="H230" s="351"/>
      <c r="I230" s="931" t="s">
        <v>235</v>
      </c>
      <c r="J230" s="281"/>
      <c r="K230" s="281"/>
      <c r="L230" s="281"/>
      <c r="M230" s="281"/>
      <c r="N230" s="281"/>
      <c r="O230" s="281"/>
      <c r="P230" s="281"/>
      <c r="Q230" s="281"/>
      <c r="R230" s="281"/>
      <c r="S230" s="281"/>
      <c r="T230" s="281"/>
      <c r="U230" s="282"/>
      <c r="V230" s="282"/>
      <c r="W230" s="282"/>
      <c r="X230" s="282"/>
      <c r="Y230" s="282"/>
      <c r="Z230" s="282"/>
      <c r="AA230" s="282"/>
      <c r="AB230" s="282"/>
      <c r="AC230" s="282"/>
      <c r="AD230" s="282"/>
      <c r="AE230" s="282"/>
      <c r="AF230" s="282"/>
      <c r="AG230" s="282"/>
      <c r="AH230" s="282"/>
      <c r="AI230" s="282"/>
      <c r="AJ230" s="282"/>
      <c r="AK230" s="282"/>
      <c r="AL230" s="282"/>
      <c r="AM230" s="282"/>
      <c r="AN230" s="282"/>
      <c r="AO230" s="282"/>
      <c r="AP230" s="283"/>
      <c r="AQ230" s="283"/>
      <c r="AR230" s="283"/>
      <c r="AS230" s="283"/>
      <c r="AT230" s="283"/>
      <c r="AU230" s="284"/>
      <c r="AV230" s="284"/>
      <c r="AW230" s="284"/>
      <c r="AX230" s="284"/>
      <c r="AY230" s="284"/>
      <c r="AZ230" s="284"/>
      <c r="BA230" s="285"/>
      <c r="BB230" s="285"/>
      <c r="BC230" s="285"/>
      <c r="BD230" s="285"/>
      <c r="BE230" s="281"/>
      <c r="BF230" s="281"/>
      <c r="BG230" s="281"/>
      <c r="BH230" s="281"/>
      <c r="BI230" s="281"/>
      <c r="BJ230" s="286"/>
      <c r="BK230" s="282"/>
      <c r="BL230" s="282"/>
      <c r="BM230" s="282"/>
      <c r="BN230" s="282"/>
      <c r="BO230" s="282"/>
      <c r="BP230" s="282"/>
      <c r="BQ230" s="282"/>
      <c r="BR230" s="282"/>
      <c r="BS230" s="282"/>
      <c r="BT230" s="282"/>
      <c r="BU230" s="282"/>
      <c r="BV230" s="282"/>
      <c r="BW230" s="283"/>
      <c r="BX230" s="283"/>
      <c r="BY230" s="283"/>
      <c r="BZ230" s="283"/>
      <c r="CA230" s="283"/>
      <c r="CB230" s="283"/>
      <c r="CC230" s="283"/>
      <c r="CD230" s="283"/>
      <c r="CE230" s="283"/>
      <c r="CF230" s="283"/>
      <c r="CG230" s="283"/>
      <c r="CH230" s="287"/>
      <c r="CI230" s="283"/>
      <c r="CJ230" s="283"/>
      <c r="CK230" s="283"/>
      <c r="CL230" s="283"/>
      <c r="CM230" s="283"/>
      <c r="CN230" s="283"/>
      <c r="CO230" s="284"/>
      <c r="CP230" s="284"/>
      <c r="CQ230" s="284"/>
      <c r="CR230" s="542"/>
      <c r="CS230" s="542"/>
      <c r="CT230" s="542"/>
      <c r="CU230" s="542"/>
      <c r="CV230" s="542"/>
      <c r="CW230" s="542"/>
      <c r="CX230" s="542"/>
      <c r="CY230" s="543"/>
      <c r="CZ230" s="284"/>
      <c r="DA230" s="592"/>
      <c r="DB230" s="592"/>
      <c r="DC230" s="662"/>
      <c r="DD230" s="281"/>
      <c r="DE230" s="281"/>
      <c r="DF230" s="281"/>
      <c r="DG230" s="281"/>
      <c r="DH230" s="281"/>
      <c r="DI230" s="281"/>
      <c r="DJ230" s="281"/>
      <c r="DK230" s="629"/>
      <c r="DL230" s="495">
        <f t="shared" si="260"/>
        <v>0</v>
      </c>
      <c r="DM230" s="84">
        <f t="shared" si="261"/>
        <v>0</v>
      </c>
      <c r="DN230" s="84">
        <f t="shared" si="262"/>
        <v>0</v>
      </c>
      <c r="DO230" s="125">
        <f t="shared" si="263"/>
        <v>0</v>
      </c>
    </row>
    <row r="231" spans="2:123" ht="32.1" hidden="1" customHeight="1" outlineLevel="1" thickBot="1" x14ac:dyDescent="0.3">
      <c r="B231" s="813"/>
      <c r="C231" s="814"/>
      <c r="D231" s="805"/>
      <c r="E231" s="779"/>
      <c r="F231" s="288" t="s">
        <v>7</v>
      </c>
      <c r="G231" s="290" t="s">
        <v>139</v>
      </c>
      <c r="H231" s="445"/>
      <c r="I231" s="935" t="s">
        <v>176</v>
      </c>
      <c r="J231" s="387"/>
      <c r="K231" s="387"/>
      <c r="L231" s="387"/>
      <c r="M231" s="387"/>
      <c r="N231" s="387"/>
      <c r="O231" s="387"/>
      <c r="P231" s="387"/>
      <c r="Q231" s="387"/>
      <c r="R231" s="387"/>
      <c r="S231" s="387"/>
      <c r="T231" s="387"/>
      <c r="U231" s="388"/>
      <c r="V231" s="388"/>
      <c r="W231" s="388"/>
      <c r="X231" s="388"/>
      <c r="Y231" s="388"/>
      <c r="Z231" s="388"/>
      <c r="AA231" s="388"/>
      <c r="AB231" s="388"/>
      <c r="AC231" s="388"/>
      <c r="AD231" s="388"/>
      <c r="AE231" s="388"/>
      <c r="AF231" s="388"/>
      <c r="AG231" s="388"/>
      <c r="AH231" s="388"/>
      <c r="AI231" s="388"/>
      <c r="AJ231" s="388"/>
      <c r="AK231" s="388"/>
      <c r="AL231" s="388"/>
      <c r="AM231" s="388"/>
      <c r="AN231" s="388"/>
      <c r="AO231" s="388"/>
      <c r="AP231" s="389"/>
      <c r="AQ231" s="389"/>
      <c r="AR231" s="389"/>
      <c r="AS231" s="389"/>
      <c r="AT231" s="389"/>
      <c r="AU231" s="390"/>
      <c r="AV231" s="390"/>
      <c r="AW231" s="390"/>
      <c r="AX231" s="390"/>
      <c r="AY231" s="390"/>
      <c r="AZ231" s="390"/>
      <c r="BA231" s="391"/>
      <c r="BB231" s="391"/>
      <c r="BC231" s="391"/>
      <c r="BD231" s="391"/>
      <c r="BE231" s="387"/>
      <c r="BF231" s="387"/>
      <c r="BG231" s="387"/>
      <c r="BH231" s="387"/>
      <c r="BI231" s="387"/>
      <c r="BJ231" s="392"/>
      <c r="BK231" s="388"/>
      <c r="BL231" s="388"/>
      <c r="BM231" s="388"/>
      <c r="BN231" s="388"/>
      <c r="BO231" s="388"/>
      <c r="BP231" s="388"/>
      <c r="BQ231" s="388"/>
      <c r="BR231" s="388"/>
      <c r="BS231" s="388"/>
      <c r="BT231" s="388"/>
      <c r="BU231" s="388"/>
      <c r="BV231" s="388"/>
      <c r="BW231" s="389"/>
      <c r="BX231" s="389"/>
      <c r="BY231" s="389"/>
      <c r="BZ231" s="389"/>
      <c r="CA231" s="389"/>
      <c r="CB231" s="389"/>
      <c r="CC231" s="389"/>
      <c r="CD231" s="389"/>
      <c r="CE231" s="389"/>
      <c r="CF231" s="389"/>
      <c r="CG231" s="389"/>
      <c r="CH231" s="394"/>
      <c r="CI231" s="389"/>
      <c r="CJ231" s="389"/>
      <c r="CK231" s="389"/>
      <c r="CL231" s="389"/>
      <c r="CM231" s="389"/>
      <c r="CN231" s="389"/>
      <c r="CO231" s="390"/>
      <c r="CP231" s="390"/>
      <c r="CQ231" s="390"/>
      <c r="CR231" s="548"/>
      <c r="CS231" s="548"/>
      <c r="CT231" s="548"/>
      <c r="CU231" s="548"/>
      <c r="CV231" s="548"/>
      <c r="CW231" s="548"/>
      <c r="CX231" s="548"/>
      <c r="CY231" s="549"/>
      <c r="CZ231" s="390"/>
      <c r="DA231" s="593"/>
      <c r="DB231" s="593"/>
      <c r="DC231" s="663"/>
      <c r="DD231" s="387"/>
      <c r="DE231" s="387"/>
      <c r="DF231" s="387"/>
      <c r="DG231" s="387"/>
      <c r="DH231" s="387"/>
      <c r="DI231" s="387"/>
      <c r="DJ231" s="387"/>
      <c r="DK231" s="632"/>
      <c r="DL231" s="497">
        <f t="shared" si="260"/>
        <v>0</v>
      </c>
      <c r="DM231" s="126">
        <f t="shared" si="261"/>
        <v>0</v>
      </c>
      <c r="DN231" s="126">
        <f t="shared" si="262"/>
        <v>0</v>
      </c>
      <c r="DO231" s="127">
        <f t="shared" si="263"/>
        <v>0</v>
      </c>
    </row>
    <row r="232" spans="2:123" ht="32.1" hidden="1" customHeight="1" outlineLevel="1" thickBot="1" x14ac:dyDescent="0.3">
      <c r="B232" s="813"/>
      <c r="C232" s="814"/>
      <c r="D232" s="805"/>
      <c r="E232" s="778" t="s">
        <v>138</v>
      </c>
      <c r="F232" s="375" t="s">
        <v>7</v>
      </c>
      <c r="G232" s="376" t="s">
        <v>139</v>
      </c>
      <c r="H232" s="351"/>
      <c r="I232" s="932" t="s">
        <v>86</v>
      </c>
      <c r="J232" s="271"/>
      <c r="K232" s="271"/>
      <c r="L232" s="271"/>
      <c r="M232" s="271"/>
      <c r="N232" s="271"/>
      <c r="O232" s="271"/>
      <c r="P232" s="271"/>
      <c r="Q232" s="271"/>
      <c r="R232" s="271"/>
      <c r="S232" s="271"/>
      <c r="T232" s="271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  <c r="AF232" s="272"/>
      <c r="AG232" s="272"/>
      <c r="AH232" s="272"/>
      <c r="AI232" s="272"/>
      <c r="AJ232" s="272"/>
      <c r="AK232" s="272"/>
      <c r="AL232" s="272"/>
      <c r="AM232" s="272"/>
      <c r="AN232" s="272"/>
      <c r="AO232" s="272"/>
      <c r="AP232" s="273"/>
      <c r="AQ232" s="273"/>
      <c r="AR232" s="273"/>
      <c r="AS232" s="273"/>
      <c r="AT232" s="273"/>
      <c r="AU232" s="274"/>
      <c r="AV232" s="274"/>
      <c r="AW232" s="274"/>
      <c r="AX232" s="274"/>
      <c r="AY232" s="274"/>
      <c r="AZ232" s="274"/>
      <c r="BA232" s="275"/>
      <c r="BB232" s="275"/>
      <c r="BC232" s="275"/>
      <c r="BD232" s="275"/>
      <c r="BE232" s="271"/>
      <c r="BF232" s="271"/>
      <c r="BG232" s="271"/>
      <c r="BH232" s="271"/>
      <c r="BI232" s="271"/>
      <c r="BJ232" s="276"/>
      <c r="BK232" s="272"/>
      <c r="BL232" s="272"/>
      <c r="BM232" s="272"/>
      <c r="BN232" s="272"/>
      <c r="BO232" s="272"/>
      <c r="BP232" s="272"/>
      <c r="BQ232" s="272"/>
      <c r="BR232" s="272"/>
      <c r="BS232" s="272"/>
      <c r="BT232" s="272"/>
      <c r="BU232" s="272"/>
      <c r="BV232" s="272"/>
      <c r="BW232" s="273"/>
      <c r="BX232" s="273"/>
      <c r="BY232" s="273"/>
      <c r="BZ232" s="273"/>
      <c r="CA232" s="273"/>
      <c r="CB232" s="273"/>
      <c r="CC232" s="273"/>
      <c r="CD232" s="273"/>
      <c r="CE232" s="273"/>
      <c r="CF232" s="273"/>
      <c r="CG232" s="273"/>
      <c r="CH232" s="277"/>
      <c r="CI232" s="273"/>
      <c r="CJ232" s="273"/>
      <c r="CK232" s="273"/>
      <c r="CL232" s="273"/>
      <c r="CM232" s="273"/>
      <c r="CN232" s="273"/>
      <c r="CO232" s="274"/>
      <c r="CP232" s="274"/>
      <c r="CQ232" s="274"/>
      <c r="CR232" s="540"/>
      <c r="CS232" s="540"/>
      <c r="CT232" s="540"/>
      <c r="CU232" s="540"/>
      <c r="CV232" s="540"/>
      <c r="CW232" s="540"/>
      <c r="CX232" s="540"/>
      <c r="CY232" s="541"/>
      <c r="CZ232" s="274"/>
      <c r="DA232" s="594"/>
      <c r="DB232" s="594"/>
      <c r="DC232" s="664"/>
      <c r="DD232" s="271"/>
      <c r="DE232" s="271"/>
      <c r="DF232" s="271"/>
      <c r="DG232" s="271"/>
      <c r="DH232" s="271"/>
      <c r="DI232" s="271"/>
      <c r="DJ232" s="271"/>
      <c r="DK232" s="628"/>
      <c r="DL232" s="498">
        <f t="shared" si="260"/>
        <v>0</v>
      </c>
      <c r="DM232" s="121">
        <f t="shared" si="261"/>
        <v>0</v>
      </c>
      <c r="DN232" s="121">
        <f t="shared" si="262"/>
        <v>0</v>
      </c>
      <c r="DO232" s="357">
        <f t="shared" si="263"/>
        <v>0</v>
      </c>
    </row>
    <row r="233" spans="2:123" ht="32.1" hidden="1" customHeight="1" outlineLevel="1" thickBot="1" x14ac:dyDescent="0.3">
      <c r="B233" s="813"/>
      <c r="C233" s="814"/>
      <c r="D233" s="805"/>
      <c r="E233" s="779"/>
      <c r="F233" s="278" t="s">
        <v>7</v>
      </c>
      <c r="G233" s="280" t="s">
        <v>139</v>
      </c>
      <c r="H233" s="351"/>
      <c r="I233" s="931"/>
      <c r="J233" s="281"/>
      <c r="K233" s="281"/>
      <c r="L233" s="281"/>
      <c r="M233" s="281"/>
      <c r="N233" s="281"/>
      <c r="O233" s="281"/>
      <c r="P233" s="281"/>
      <c r="Q233" s="281"/>
      <c r="R233" s="281"/>
      <c r="S233" s="281"/>
      <c r="T233" s="281"/>
      <c r="U233" s="282"/>
      <c r="V233" s="282"/>
      <c r="W233" s="282"/>
      <c r="X233" s="282"/>
      <c r="Y233" s="282"/>
      <c r="Z233" s="282"/>
      <c r="AA233" s="282"/>
      <c r="AB233" s="282"/>
      <c r="AC233" s="282"/>
      <c r="AD233" s="282"/>
      <c r="AE233" s="282"/>
      <c r="AF233" s="282"/>
      <c r="AG233" s="282"/>
      <c r="AH233" s="282"/>
      <c r="AI233" s="282"/>
      <c r="AJ233" s="282"/>
      <c r="AK233" s="282"/>
      <c r="AL233" s="282"/>
      <c r="AM233" s="282"/>
      <c r="AN233" s="282"/>
      <c r="AO233" s="282"/>
      <c r="AP233" s="283"/>
      <c r="AQ233" s="283"/>
      <c r="AR233" s="283"/>
      <c r="AS233" s="283"/>
      <c r="AT233" s="283"/>
      <c r="AU233" s="284"/>
      <c r="AV233" s="284"/>
      <c r="AW233" s="284"/>
      <c r="AX233" s="284"/>
      <c r="AY233" s="284"/>
      <c r="AZ233" s="284"/>
      <c r="BA233" s="285"/>
      <c r="BB233" s="285"/>
      <c r="BC233" s="285"/>
      <c r="BD233" s="285"/>
      <c r="BE233" s="281"/>
      <c r="BF233" s="281"/>
      <c r="BG233" s="281"/>
      <c r="BH233" s="281"/>
      <c r="BI233" s="281"/>
      <c r="BJ233" s="286"/>
      <c r="BK233" s="282"/>
      <c r="BL233" s="282"/>
      <c r="BM233" s="282"/>
      <c r="BN233" s="282"/>
      <c r="BO233" s="282"/>
      <c r="BP233" s="282"/>
      <c r="BQ233" s="282"/>
      <c r="BR233" s="282"/>
      <c r="BS233" s="282"/>
      <c r="BT233" s="282"/>
      <c r="BU233" s="282"/>
      <c r="BV233" s="282"/>
      <c r="BW233" s="283"/>
      <c r="BX233" s="283"/>
      <c r="BY233" s="283"/>
      <c r="BZ233" s="283"/>
      <c r="CA233" s="283"/>
      <c r="CB233" s="283"/>
      <c r="CC233" s="283"/>
      <c r="CD233" s="283"/>
      <c r="CE233" s="283"/>
      <c r="CF233" s="283"/>
      <c r="CG233" s="283"/>
      <c r="CH233" s="287"/>
      <c r="CI233" s="283"/>
      <c r="CJ233" s="283"/>
      <c r="CK233" s="283"/>
      <c r="CL233" s="283"/>
      <c r="CM233" s="283"/>
      <c r="CN233" s="283"/>
      <c r="CO233" s="284"/>
      <c r="CP233" s="284"/>
      <c r="CQ233" s="284"/>
      <c r="CR233" s="542"/>
      <c r="CS233" s="542"/>
      <c r="CT233" s="542"/>
      <c r="CU233" s="542"/>
      <c r="CV233" s="542"/>
      <c r="CW233" s="542"/>
      <c r="CX233" s="542"/>
      <c r="CY233" s="543"/>
      <c r="CZ233" s="284"/>
      <c r="DA233" s="592"/>
      <c r="DB233" s="592"/>
      <c r="DC233" s="662"/>
      <c r="DD233" s="281"/>
      <c r="DE233" s="281"/>
      <c r="DF233" s="281"/>
      <c r="DG233" s="281"/>
      <c r="DH233" s="281"/>
      <c r="DI233" s="281"/>
      <c r="DJ233" s="281"/>
      <c r="DK233" s="629"/>
      <c r="DL233" s="495">
        <f t="shared" si="260"/>
        <v>0</v>
      </c>
      <c r="DM233" s="84">
        <f t="shared" si="261"/>
        <v>0</v>
      </c>
      <c r="DN233" s="84">
        <f t="shared" si="262"/>
        <v>0</v>
      </c>
      <c r="DO233" s="125">
        <f t="shared" si="263"/>
        <v>0</v>
      </c>
    </row>
    <row r="234" spans="2:123" ht="32.1" hidden="1" customHeight="1" outlineLevel="1" thickBot="1" x14ac:dyDescent="0.3">
      <c r="B234" s="813"/>
      <c r="C234" s="814"/>
      <c r="D234" s="805"/>
      <c r="E234" s="779"/>
      <c r="F234" s="278" t="s">
        <v>7</v>
      </c>
      <c r="G234" s="280" t="s">
        <v>139</v>
      </c>
      <c r="H234" s="351"/>
      <c r="I234" s="931"/>
      <c r="J234" s="281"/>
      <c r="K234" s="281"/>
      <c r="L234" s="281"/>
      <c r="M234" s="281"/>
      <c r="N234" s="281"/>
      <c r="O234" s="281"/>
      <c r="P234" s="281"/>
      <c r="Q234" s="281"/>
      <c r="R234" s="281"/>
      <c r="S234" s="281"/>
      <c r="T234" s="281"/>
      <c r="U234" s="282"/>
      <c r="V234" s="282"/>
      <c r="W234" s="282"/>
      <c r="X234" s="282"/>
      <c r="Y234" s="282"/>
      <c r="Z234" s="282"/>
      <c r="AA234" s="282"/>
      <c r="AB234" s="282"/>
      <c r="AC234" s="282"/>
      <c r="AD234" s="282"/>
      <c r="AE234" s="282"/>
      <c r="AF234" s="282"/>
      <c r="AG234" s="282"/>
      <c r="AH234" s="282"/>
      <c r="AI234" s="282"/>
      <c r="AJ234" s="282"/>
      <c r="AK234" s="282"/>
      <c r="AL234" s="282"/>
      <c r="AM234" s="282"/>
      <c r="AN234" s="282"/>
      <c r="AO234" s="282"/>
      <c r="AP234" s="283"/>
      <c r="AQ234" s="283"/>
      <c r="AR234" s="283"/>
      <c r="AS234" s="283"/>
      <c r="AT234" s="283"/>
      <c r="AU234" s="284"/>
      <c r="AV234" s="284"/>
      <c r="AW234" s="284"/>
      <c r="AX234" s="284"/>
      <c r="AY234" s="284"/>
      <c r="AZ234" s="284"/>
      <c r="BA234" s="285"/>
      <c r="BB234" s="285"/>
      <c r="BC234" s="285"/>
      <c r="BD234" s="285"/>
      <c r="BE234" s="281"/>
      <c r="BF234" s="281"/>
      <c r="BG234" s="281"/>
      <c r="BH234" s="281"/>
      <c r="BI234" s="281"/>
      <c r="BJ234" s="286"/>
      <c r="BK234" s="282"/>
      <c r="BL234" s="282"/>
      <c r="BM234" s="282"/>
      <c r="BN234" s="282"/>
      <c r="BO234" s="282"/>
      <c r="BP234" s="282"/>
      <c r="BQ234" s="282"/>
      <c r="BR234" s="282"/>
      <c r="BS234" s="282"/>
      <c r="BT234" s="282"/>
      <c r="BU234" s="282"/>
      <c r="BV234" s="282"/>
      <c r="BW234" s="283"/>
      <c r="BX234" s="283"/>
      <c r="BY234" s="283"/>
      <c r="BZ234" s="283"/>
      <c r="CA234" s="283"/>
      <c r="CB234" s="283"/>
      <c r="CC234" s="283"/>
      <c r="CD234" s="283"/>
      <c r="CE234" s="283"/>
      <c r="CF234" s="283"/>
      <c r="CG234" s="283"/>
      <c r="CH234" s="287"/>
      <c r="CI234" s="283"/>
      <c r="CJ234" s="283"/>
      <c r="CK234" s="283"/>
      <c r="CL234" s="283"/>
      <c r="CM234" s="283"/>
      <c r="CN234" s="283"/>
      <c r="CO234" s="284"/>
      <c r="CP234" s="284"/>
      <c r="CQ234" s="284"/>
      <c r="CR234" s="542"/>
      <c r="CS234" s="542"/>
      <c r="CT234" s="542"/>
      <c r="CU234" s="542"/>
      <c r="CV234" s="542"/>
      <c r="CW234" s="542"/>
      <c r="CX234" s="542"/>
      <c r="CY234" s="543"/>
      <c r="CZ234" s="284"/>
      <c r="DA234" s="592"/>
      <c r="DB234" s="592"/>
      <c r="DC234" s="662"/>
      <c r="DD234" s="281"/>
      <c r="DE234" s="281"/>
      <c r="DF234" s="281"/>
      <c r="DG234" s="281"/>
      <c r="DH234" s="281"/>
      <c r="DI234" s="281"/>
      <c r="DJ234" s="281"/>
      <c r="DK234" s="629"/>
      <c r="DL234" s="495">
        <f t="shared" si="260"/>
        <v>0</v>
      </c>
      <c r="DM234" s="84">
        <f t="shared" si="261"/>
        <v>0</v>
      </c>
      <c r="DN234" s="84">
        <f t="shared" si="262"/>
        <v>0</v>
      </c>
      <c r="DO234" s="125">
        <f t="shared" si="263"/>
        <v>0</v>
      </c>
    </row>
    <row r="235" spans="2:123" ht="32.1" hidden="1" customHeight="1" outlineLevel="1" thickBot="1" x14ac:dyDescent="0.3">
      <c r="B235" s="813"/>
      <c r="C235" s="814"/>
      <c r="D235" s="797"/>
      <c r="E235" s="779"/>
      <c r="F235" s="278" t="s">
        <v>7</v>
      </c>
      <c r="G235" s="280" t="s">
        <v>139</v>
      </c>
      <c r="H235" s="351"/>
      <c r="I235" s="931"/>
      <c r="J235" s="281"/>
      <c r="K235" s="281"/>
      <c r="L235" s="281"/>
      <c r="M235" s="281"/>
      <c r="N235" s="281"/>
      <c r="O235" s="281"/>
      <c r="P235" s="281"/>
      <c r="Q235" s="281"/>
      <c r="R235" s="281"/>
      <c r="S235" s="281"/>
      <c r="T235" s="281"/>
      <c r="U235" s="282"/>
      <c r="V235" s="282"/>
      <c r="W235" s="282"/>
      <c r="X235" s="282"/>
      <c r="Y235" s="282"/>
      <c r="Z235" s="282"/>
      <c r="AA235" s="282"/>
      <c r="AB235" s="282"/>
      <c r="AC235" s="282"/>
      <c r="AD235" s="282"/>
      <c r="AE235" s="282"/>
      <c r="AF235" s="282"/>
      <c r="AG235" s="282"/>
      <c r="AH235" s="282"/>
      <c r="AI235" s="282"/>
      <c r="AJ235" s="282"/>
      <c r="AK235" s="282"/>
      <c r="AL235" s="282"/>
      <c r="AM235" s="282"/>
      <c r="AN235" s="282"/>
      <c r="AO235" s="282"/>
      <c r="AP235" s="283"/>
      <c r="AQ235" s="283"/>
      <c r="AR235" s="283"/>
      <c r="AS235" s="283"/>
      <c r="AT235" s="283"/>
      <c r="AU235" s="284"/>
      <c r="AV235" s="284"/>
      <c r="AW235" s="284"/>
      <c r="AX235" s="284"/>
      <c r="AY235" s="284"/>
      <c r="AZ235" s="284"/>
      <c r="BA235" s="285"/>
      <c r="BB235" s="285"/>
      <c r="BC235" s="285"/>
      <c r="BD235" s="285"/>
      <c r="BE235" s="281"/>
      <c r="BF235" s="281"/>
      <c r="BG235" s="281"/>
      <c r="BH235" s="281"/>
      <c r="BI235" s="281"/>
      <c r="BJ235" s="286"/>
      <c r="BK235" s="282"/>
      <c r="BL235" s="282"/>
      <c r="BM235" s="282"/>
      <c r="BN235" s="282"/>
      <c r="BO235" s="282"/>
      <c r="BP235" s="282"/>
      <c r="BQ235" s="282"/>
      <c r="BR235" s="282"/>
      <c r="BS235" s="282"/>
      <c r="BT235" s="282"/>
      <c r="BU235" s="282"/>
      <c r="BV235" s="282"/>
      <c r="BW235" s="283"/>
      <c r="BX235" s="283"/>
      <c r="BY235" s="283"/>
      <c r="BZ235" s="283"/>
      <c r="CA235" s="283"/>
      <c r="CB235" s="283"/>
      <c r="CC235" s="283"/>
      <c r="CD235" s="283"/>
      <c r="CE235" s="283"/>
      <c r="CF235" s="283"/>
      <c r="CG235" s="283"/>
      <c r="CH235" s="287"/>
      <c r="CI235" s="283"/>
      <c r="CJ235" s="283"/>
      <c r="CK235" s="283"/>
      <c r="CL235" s="283"/>
      <c r="CM235" s="283"/>
      <c r="CN235" s="283"/>
      <c r="CO235" s="284"/>
      <c r="CP235" s="284"/>
      <c r="CQ235" s="284"/>
      <c r="CR235" s="542"/>
      <c r="CS235" s="542"/>
      <c r="CT235" s="542"/>
      <c r="CU235" s="542"/>
      <c r="CV235" s="542"/>
      <c r="CW235" s="542"/>
      <c r="CX235" s="542"/>
      <c r="CY235" s="543"/>
      <c r="CZ235" s="284"/>
      <c r="DA235" s="592"/>
      <c r="DB235" s="592"/>
      <c r="DC235" s="662"/>
      <c r="DD235" s="281"/>
      <c r="DE235" s="281"/>
      <c r="DF235" s="281"/>
      <c r="DG235" s="281"/>
      <c r="DH235" s="281"/>
      <c r="DI235" s="281"/>
      <c r="DJ235" s="281"/>
      <c r="DK235" s="629"/>
      <c r="DL235" s="495">
        <f t="shared" si="260"/>
        <v>0</v>
      </c>
      <c r="DM235" s="84">
        <f t="shared" si="261"/>
        <v>0</v>
      </c>
      <c r="DN235" s="84">
        <f t="shared" si="262"/>
        <v>0</v>
      </c>
      <c r="DO235" s="125">
        <f t="shared" si="263"/>
        <v>0</v>
      </c>
    </row>
    <row r="236" spans="2:123" s="834" customFormat="1" ht="16.5" hidden="1" customHeight="1" outlineLevel="1" thickBot="1" x14ac:dyDescent="0.35">
      <c r="B236" s="813"/>
      <c r="C236" s="814"/>
      <c r="D236" s="819"/>
      <c r="E236" s="820" t="s">
        <v>254</v>
      </c>
      <c r="F236" s="821"/>
      <c r="G236" s="822"/>
      <c r="H236" s="823"/>
      <c r="I236" s="903"/>
      <c r="J236" s="824">
        <f>SUM(J224:J235)</f>
        <v>0</v>
      </c>
      <c r="K236" s="824">
        <f t="shared" ref="K236:CL236" si="264">SUM(K224:K235)</f>
        <v>0</v>
      </c>
      <c r="L236" s="824">
        <f t="shared" si="264"/>
        <v>0</v>
      </c>
      <c r="M236" s="824">
        <f t="shared" si="264"/>
        <v>0</v>
      </c>
      <c r="N236" s="824">
        <f t="shared" si="264"/>
        <v>0</v>
      </c>
      <c r="O236" s="824">
        <f t="shared" si="264"/>
        <v>0</v>
      </c>
      <c r="P236" s="824">
        <f t="shared" si="264"/>
        <v>0</v>
      </c>
      <c r="Q236" s="824">
        <f t="shared" si="264"/>
        <v>0</v>
      </c>
      <c r="R236" s="824">
        <f t="shared" si="264"/>
        <v>0</v>
      </c>
      <c r="S236" s="824">
        <f t="shared" si="264"/>
        <v>0</v>
      </c>
      <c r="T236" s="824">
        <f t="shared" si="264"/>
        <v>0</v>
      </c>
      <c r="U236" s="825">
        <f t="shared" si="264"/>
        <v>0</v>
      </c>
      <c r="V236" s="825">
        <f t="shared" si="264"/>
        <v>0</v>
      </c>
      <c r="W236" s="825">
        <f t="shared" si="264"/>
        <v>0</v>
      </c>
      <c r="X236" s="825">
        <f t="shared" si="264"/>
        <v>0</v>
      </c>
      <c r="Y236" s="825">
        <f t="shared" si="264"/>
        <v>0</v>
      </c>
      <c r="Z236" s="825">
        <f t="shared" si="264"/>
        <v>0</v>
      </c>
      <c r="AA236" s="825">
        <f t="shared" si="264"/>
        <v>0</v>
      </c>
      <c r="AB236" s="825">
        <f t="shared" ref="AB236:AD236" si="265">SUM(AB224:AB235)</f>
        <v>0</v>
      </c>
      <c r="AC236" s="825">
        <f t="shared" si="265"/>
        <v>0</v>
      </c>
      <c r="AD236" s="825">
        <f t="shared" si="265"/>
        <v>0</v>
      </c>
      <c r="AE236" s="825">
        <f t="shared" si="264"/>
        <v>0</v>
      </c>
      <c r="AF236" s="825">
        <f t="shared" si="264"/>
        <v>0</v>
      </c>
      <c r="AG236" s="825">
        <f t="shared" si="264"/>
        <v>0</v>
      </c>
      <c r="AH236" s="825">
        <f t="shared" si="264"/>
        <v>0</v>
      </c>
      <c r="AI236" s="825">
        <f t="shared" ref="AI236:AO236" si="266">SUM(AI224:AI235)</f>
        <v>0</v>
      </c>
      <c r="AJ236" s="825">
        <f t="shared" si="266"/>
        <v>0</v>
      </c>
      <c r="AK236" s="825">
        <f t="shared" si="266"/>
        <v>0</v>
      </c>
      <c r="AL236" s="825">
        <f t="shared" si="266"/>
        <v>0</v>
      </c>
      <c r="AM236" s="825">
        <f t="shared" si="266"/>
        <v>0</v>
      </c>
      <c r="AN236" s="825">
        <f t="shared" si="266"/>
        <v>0</v>
      </c>
      <c r="AO236" s="825">
        <f t="shared" si="266"/>
        <v>0</v>
      </c>
      <c r="AP236" s="826">
        <f t="shared" si="264"/>
        <v>0</v>
      </c>
      <c r="AQ236" s="826">
        <f t="shared" ref="AQ236" si="267">SUM(AQ224:AQ235)</f>
        <v>0</v>
      </c>
      <c r="AR236" s="826">
        <f t="shared" si="264"/>
        <v>0</v>
      </c>
      <c r="AS236" s="826">
        <f t="shared" si="264"/>
        <v>0</v>
      </c>
      <c r="AT236" s="826">
        <f t="shared" si="264"/>
        <v>0</v>
      </c>
      <c r="AU236" s="827">
        <f t="shared" si="264"/>
        <v>0</v>
      </c>
      <c r="AV236" s="827">
        <f t="shared" si="264"/>
        <v>0</v>
      </c>
      <c r="AW236" s="827">
        <f t="shared" si="264"/>
        <v>0</v>
      </c>
      <c r="AX236" s="827">
        <f t="shared" ref="AX236:AY236" si="268">SUM(AX224:AX235)</f>
        <v>0</v>
      </c>
      <c r="AY236" s="827">
        <f t="shared" si="268"/>
        <v>0</v>
      </c>
      <c r="AZ236" s="827">
        <f t="shared" si="264"/>
        <v>0</v>
      </c>
      <c r="BA236" s="828">
        <f t="shared" si="264"/>
        <v>0</v>
      </c>
      <c r="BB236" s="828">
        <f t="shared" si="264"/>
        <v>0</v>
      </c>
      <c r="BC236" s="828">
        <f t="shared" si="264"/>
        <v>0</v>
      </c>
      <c r="BD236" s="828">
        <f t="shared" si="264"/>
        <v>0</v>
      </c>
      <c r="BE236" s="824">
        <f t="shared" si="264"/>
        <v>0</v>
      </c>
      <c r="BF236" s="824">
        <f t="shared" si="264"/>
        <v>0</v>
      </c>
      <c r="BG236" s="824">
        <f t="shared" si="264"/>
        <v>0</v>
      </c>
      <c r="BH236" s="824">
        <f t="shared" si="264"/>
        <v>0</v>
      </c>
      <c r="BI236" s="824">
        <f t="shared" si="264"/>
        <v>0</v>
      </c>
      <c r="BJ236" s="824">
        <f t="shared" si="264"/>
        <v>0</v>
      </c>
      <c r="BK236" s="825">
        <f t="shared" si="264"/>
        <v>0</v>
      </c>
      <c r="BL236" s="825">
        <f t="shared" si="264"/>
        <v>0</v>
      </c>
      <c r="BM236" s="825">
        <f t="shared" si="264"/>
        <v>0</v>
      </c>
      <c r="BN236" s="825">
        <f t="shared" si="264"/>
        <v>0</v>
      </c>
      <c r="BO236" s="825">
        <f t="shared" si="264"/>
        <v>0</v>
      </c>
      <c r="BP236" s="825">
        <f t="shared" si="264"/>
        <v>0</v>
      </c>
      <c r="BQ236" s="825">
        <f t="shared" si="264"/>
        <v>0</v>
      </c>
      <c r="BR236" s="825">
        <f t="shared" ref="BR236" si="269">SUM(BR224:BR235)</f>
        <v>0</v>
      </c>
      <c r="BS236" s="825">
        <f t="shared" ref="BS236" si="270">SUM(BS224:BS235)</f>
        <v>0</v>
      </c>
      <c r="BT236" s="825">
        <f t="shared" si="264"/>
        <v>0</v>
      </c>
      <c r="BU236" s="825">
        <f t="shared" si="264"/>
        <v>0</v>
      </c>
      <c r="BV236" s="825">
        <f t="shared" si="264"/>
        <v>0</v>
      </c>
      <c r="BW236" s="826">
        <f t="shared" si="264"/>
        <v>0</v>
      </c>
      <c r="BX236" s="826">
        <f t="shared" si="264"/>
        <v>0</v>
      </c>
      <c r="BY236" s="826">
        <f t="shared" si="264"/>
        <v>0</v>
      </c>
      <c r="BZ236" s="826">
        <f t="shared" si="264"/>
        <v>0</v>
      </c>
      <c r="CA236" s="826">
        <f t="shared" si="264"/>
        <v>0</v>
      </c>
      <c r="CB236" s="826">
        <f t="shared" ref="CB236" si="271">SUM(CB224:CB235)</f>
        <v>0</v>
      </c>
      <c r="CC236" s="826">
        <f t="shared" si="264"/>
        <v>0</v>
      </c>
      <c r="CD236" s="826">
        <f t="shared" si="264"/>
        <v>0</v>
      </c>
      <c r="CE236" s="826">
        <f t="shared" si="264"/>
        <v>0</v>
      </c>
      <c r="CF236" s="826">
        <f t="shared" si="264"/>
        <v>0</v>
      </c>
      <c r="CG236" s="826">
        <f t="shared" si="264"/>
        <v>0</v>
      </c>
      <c r="CH236" s="826">
        <f t="shared" si="264"/>
        <v>0</v>
      </c>
      <c r="CI236" s="826">
        <f t="shared" si="264"/>
        <v>0</v>
      </c>
      <c r="CJ236" s="826">
        <f t="shared" si="264"/>
        <v>0</v>
      </c>
      <c r="CK236" s="826">
        <f t="shared" si="264"/>
        <v>0</v>
      </c>
      <c r="CL236" s="826">
        <f t="shared" si="264"/>
        <v>0</v>
      </c>
      <c r="CM236" s="826">
        <f t="shared" ref="CM236:DO236" si="272">SUM(CM224:CM235)</f>
        <v>0</v>
      </c>
      <c r="CN236" s="826">
        <f t="shared" si="272"/>
        <v>0</v>
      </c>
      <c r="CO236" s="827">
        <f t="shared" si="272"/>
        <v>0</v>
      </c>
      <c r="CP236" s="827">
        <f t="shared" si="272"/>
        <v>0</v>
      </c>
      <c r="CQ236" s="827">
        <f t="shared" si="272"/>
        <v>0</v>
      </c>
      <c r="CR236" s="827">
        <f t="shared" si="272"/>
        <v>0</v>
      </c>
      <c r="CS236" s="827">
        <f t="shared" si="272"/>
        <v>0</v>
      </c>
      <c r="CT236" s="827">
        <f t="shared" si="272"/>
        <v>0</v>
      </c>
      <c r="CU236" s="827">
        <f t="shared" si="272"/>
        <v>0</v>
      </c>
      <c r="CV236" s="827">
        <f t="shared" si="272"/>
        <v>0</v>
      </c>
      <c r="CW236" s="827">
        <f t="shared" si="272"/>
        <v>0</v>
      </c>
      <c r="CX236" s="827">
        <f t="shared" si="272"/>
        <v>0</v>
      </c>
      <c r="CY236" s="827">
        <f t="shared" si="272"/>
        <v>0</v>
      </c>
      <c r="CZ236" s="827">
        <f t="shared" si="272"/>
        <v>0</v>
      </c>
      <c r="DA236" s="827">
        <f t="shared" si="272"/>
        <v>0</v>
      </c>
      <c r="DB236" s="827">
        <f t="shared" si="272"/>
        <v>0</v>
      </c>
      <c r="DC236" s="824">
        <f t="shared" si="272"/>
        <v>0</v>
      </c>
      <c r="DD236" s="824">
        <f t="shared" si="272"/>
        <v>0</v>
      </c>
      <c r="DE236" s="824">
        <f t="shared" si="272"/>
        <v>0</v>
      </c>
      <c r="DF236" s="824">
        <f t="shared" si="272"/>
        <v>0</v>
      </c>
      <c r="DG236" s="824">
        <f t="shared" si="272"/>
        <v>0</v>
      </c>
      <c r="DH236" s="824">
        <f t="shared" si="272"/>
        <v>0</v>
      </c>
      <c r="DI236" s="824">
        <f t="shared" si="272"/>
        <v>0</v>
      </c>
      <c r="DJ236" s="824">
        <f t="shared" si="272"/>
        <v>0</v>
      </c>
      <c r="DK236" s="829">
        <f t="shared" si="272"/>
        <v>0</v>
      </c>
      <c r="DL236" s="830">
        <f t="shared" si="272"/>
        <v>0</v>
      </c>
      <c r="DM236" s="831">
        <f t="shared" si="272"/>
        <v>0</v>
      </c>
      <c r="DN236" s="831">
        <f t="shared" si="272"/>
        <v>0</v>
      </c>
      <c r="DO236" s="832">
        <f t="shared" si="272"/>
        <v>0</v>
      </c>
      <c r="DP236" s="833"/>
      <c r="DQ236" s="833"/>
      <c r="DR236" s="833"/>
      <c r="DS236" s="833"/>
    </row>
    <row r="237" spans="2:123" ht="32.1" hidden="1" customHeight="1" outlineLevel="1" thickBot="1" x14ac:dyDescent="0.3">
      <c r="B237" s="813"/>
      <c r="C237" s="814"/>
      <c r="D237" s="801" t="s">
        <v>192</v>
      </c>
      <c r="E237" s="786"/>
      <c r="F237" s="308" t="s">
        <v>7</v>
      </c>
      <c r="G237" s="346" t="s">
        <v>192</v>
      </c>
      <c r="H237" s="347"/>
      <c r="I237" s="936" t="s">
        <v>64</v>
      </c>
      <c r="J237" s="311"/>
      <c r="K237" s="311"/>
      <c r="L237" s="311"/>
      <c r="M237" s="311"/>
      <c r="N237" s="311"/>
      <c r="O237" s="311"/>
      <c r="P237" s="311"/>
      <c r="Q237" s="311"/>
      <c r="R237" s="311"/>
      <c r="S237" s="311"/>
      <c r="T237" s="311"/>
      <c r="U237" s="312"/>
      <c r="V237" s="312"/>
      <c r="W237" s="312"/>
      <c r="X237" s="312"/>
      <c r="Y237" s="312"/>
      <c r="Z237" s="312"/>
      <c r="AA237" s="312"/>
      <c r="AB237" s="312"/>
      <c r="AC237" s="312"/>
      <c r="AD237" s="312"/>
      <c r="AE237" s="312"/>
      <c r="AF237" s="312"/>
      <c r="AG237" s="312"/>
      <c r="AH237" s="312"/>
      <c r="AI237" s="312"/>
      <c r="AJ237" s="312"/>
      <c r="AK237" s="312"/>
      <c r="AL237" s="312"/>
      <c r="AM237" s="312"/>
      <c r="AN237" s="312"/>
      <c r="AO237" s="312"/>
      <c r="AP237" s="313"/>
      <c r="AQ237" s="313"/>
      <c r="AR237" s="313"/>
      <c r="AS237" s="313"/>
      <c r="AT237" s="313"/>
      <c r="AU237" s="314"/>
      <c r="AV237" s="314"/>
      <c r="AW237" s="314"/>
      <c r="AX237" s="314"/>
      <c r="AY237" s="314"/>
      <c r="AZ237" s="314"/>
      <c r="BA237" s="315"/>
      <c r="BB237" s="315"/>
      <c r="BC237" s="315"/>
      <c r="BD237" s="315"/>
      <c r="BE237" s="311"/>
      <c r="BF237" s="311"/>
      <c r="BG237" s="311"/>
      <c r="BH237" s="311"/>
      <c r="BI237" s="311"/>
      <c r="BJ237" s="316"/>
      <c r="BK237" s="312"/>
      <c r="BL237" s="312"/>
      <c r="BM237" s="312"/>
      <c r="BN237" s="312"/>
      <c r="BO237" s="312"/>
      <c r="BP237" s="312"/>
      <c r="BQ237" s="312"/>
      <c r="BR237" s="312"/>
      <c r="BS237" s="312"/>
      <c r="BT237" s="312"/>
      <c r="BU237" s="312"/>
      <c r="BV237" s="312"/>
      <c r="BW237" s="313"/>
      <c r="BX237" s="313"/>
      <c r="BY237" s="313"/>
      <c r="BZ237" s="313"/>
      <c r="CA237" s="313"/>
      <c r="CB237" s="313"/>
      <c r="CC237" s="313"/>
      <c r="CD237" s="313"/>
      <c r="CE237" s="313"/>
      <c r="CF237" s="313"/>
      <c r="CG237" s="313"/>
      <c r="CH237" s="317"/>
      <c r="CI237" s="313"/>
      <c r="CJ237" s="313"/>
      <c r="CK237" s="313"/>
      <c r="CL237" s="313"/>
      <c r="CM237" s="313"/>
      <c r="CN237" s="313"/>
      <c r="CO237" s="314"/>
      <c r="CP237" s="314"/>
      <c r="CQ237" s="314"/>
      <c r="CR237" s="552"/>
      <c r="CS237" s="552"/>
      <c r="CT237" s="552"/>
      <c r="CU237" s="552"/>
      <c r="CV237" s="552"/>
      <c r="CW237" s="552"/>
      <c r="CX237" s="552"/>
      <c r="CY237" s="553"/>
      <c r="CZ237" s="314"/>
      <c r="DA237" s="595"/>
      <c r="DB237" s="595"/>
      <c r="DC237" s="665"/>
      <c r="DD237" s="311"/>
      <c r="DE237" s="311"/>
      <c r="DF237" s="311"/>
      <c r="DG237" s="311"/>
      <c r="DH237" s="311"/>
      <c r="DI237" s="311"/>
      <c r="DJ237" s="311"/>
      <c r="DK237" s="634"/>
      <c r="DL237" s="495">
        <f>SUM(J237:S237)*5+SUM(V237:AF237)+AH237*4+U237*2.5+AG237/0.75</f>
        <v>0</v>
      </c>
      <c r="DM237" s="84">
        <f>SUM(J237:DK237)</f>
        <v>0</v>
      </c>
      <c r="DN237" s="84">
        <f>SUM(BK237:BV237,)</f>
        <v>0</v>
      </c>
      <c r="DO237" s="125">
        <f>SUM(AT237:AV237)+SUM(AW237:AZ237)*5</f>
        <v>0</v>
      </c>
    </row>
    <row r="238" spans="2:123" ht="32.1" hidden="1" customHeight="1" outlineLevel="1" thickBot="1" x14ac:dyDescent="0.3">
      <c r="B238" s="813"/>
      <c r="C238" s="814"/>
      <c r="D238" s="801"/>
      <c r="E238" s="786"/>
      <c r="F238" s="308" t="s">
        <v>7</v>
      </c>
      <c r="G238" s="346" t="s">
        <v>192</v>
      </c>
      <c r="H238" s="347"/>
      <c r="I238" s="936" t="s">
        <v>60</v>
      </c>
      <c r="J238" s="311"/>
      <c r="K238" s="311"/>
      <c r="L238" s="311"/>
      <c r="M238" s="311"/>
      <c r="N238" s="311"/>
      <c r="O238" s="311"/>
      <c r="P238" s="311"/>
      <c r="Q238" s="311"/>
      <c r="R238" s="311"/>
      <c r="S238" s="311"/>
      <c r="T238" s="311"/>
      <c r="U238" s="312"/>
      <c r="V238" s="312"/>
      <c r="W238" s="312"/>
      <c r="X238" s="312"/>
      <c r="Y238" s="312"/>
      <c r="Z238" s="312"/>
      <c r="AA238" s="312"/>
      <c r="AB238" s="312"/>
      <c r="AC238" s="312"/>
      <c r="AD238" s="312"/>
      <c r="AE238" s="312"/>
      <c r="AF238" s="312"/>
      <c r="AG238" s="312"/>
      <c r="AH238" s="312"/>
      <c r="AI238" s="312"/>
      <c r="AJ238" s="312"/>
      <c r="AK238" s="312"/>
      <c r="AL238" s="312"/>
      <c r="AM238" s="312"/>
      <c r="AN238" s="312"/>
      <c r="AO238" s="312"/>
      <c r="AP238" s="313"/>
      <c r="AQ238" s="313"/>
      <c r="AR238" s="313"/>
      <c r="AS238" s="313"/>
      <c r="AT238" s="313"/>
      <c r="AU238" s="314"/>
      <c r="AV238" s="314"/>
      <c r="AW238" s="314"/>
      <c r="AX238" s="314"/>
      <c r="AY238" s="314"/>
      <c r="AZ238" s="314"/>
      <c r="BA238" s="315"/>
      <c r="BB238" s="315"/>
      <c r="BC238" s="315"/>
      <c r="BD238" s="315"/>
      <c r="BE238" s="311"/>
      <c r="BF238" s="311"/>
      <c r="BG238" s="311"/>
      <c r="BH238" s="311"/>
      <c r="BI238" s="311"/>
      <c r="BJ238" s="316"/>
      <c r="BK238" s="312"/>
      <c r="BL238" s="312"/>
      <c r="BM238" s="312"/>
      <c r="BN238" s="312"/>
      <c r="BO238" s="312"/>
      <c r="BP238" s="312"/>
      <c r="BQ238" s="312"/>
      <c r="BR238" s="312"/>
      <c r="BS238" s="312"/>
      <c r="BT238" s="312"/>
      <c r="BU238" s="312"/>
      <c r="BV238" s="312"/>
      <c r="BW238" s="313"/>
      <c r="BX238" s="313"/>
      <c r="BY238" s="313"/>
      <c r="BZ238" s="313"/>
      <c r="CA238" s="313"/>
      <c r="CB238" s="313"/>
      <c r="CC238" s="313"/>
      <c r="CD238" s="313"/>
      <c r="CE238" s="313"/>
      <c r="CF238" s="313"/>
      <c r="CG238" s="313"/>
      <c r="CH238" s="317"/>
      <c r="CI238" s="313"/>
      <c r="CJ238" s="313"/>
      <c r="CK238" s="313"/>
      <c r="CL238" s="313"/>
      <c r="CM238" s="313"/>
      <c r="CN238" s="313"/>
      <c r="CO238" s="314"/>
      <c r="CP238" s="314"/>
      <c r="CQ238" s="314"/>
      <c r="CR238" s="552"/>
      <c r="CS238" s="552"/>
      <c r="CT238" s="552"/>
      <c r="CU238" s="552"/>
      <c r="CV238" s="552"/>
      <c r="CW238" s="552"/>
      <c r="CX238" s="552"/>
      <c r="CY238" s="553"/>
      <c r="CZ238" s="314"/>
      <c r="DA238" s="595"/>
      <c r="DB238" s="595"/>
      <c r="DC238" s="665"/>
      <c r="DD238" s="311"/>
      <c r="DE238" s="311"/>
      <c r="DF238" s="311"/>
      <c r="DG238" s="311"/>
      <c r="DH238" s="311"/>
      <c r="DI238" s="311"/>
      <c r="DJ238" s="311"/>
      <c r="DK238" s="634"/>
      <c r="DL238" s="495">
        <f>SUM(J238:S238)*5+SUM(V238:AF238)+AH238*4+U238*2.5+AG238/0.75</f>
        <v>0</v>
      </c>
      <c r="DM238" s="84">
        <f>SUM(J238:DK238)</f>
        <v>0</v>
      </c>
      <c r="DN238" s="84">
        <f>SUM(BK238:BV238,)</f>
        <v>0</v>
      </c>
      <c r="DO238" s="125">
        <f>SUM(AT238:AV238)+SUM(AW238:AZ238)*5</f>
        <v>0</v>
      </c>
    </row>
    <row r="239" spans="2:123" ht="32.1" hidden="1" customHeight="1" outlineLevel="1" thickBot="1" x14ac:dyDescent="0.3">
      <c r="B239" s="813"/>
      <c r="C239" s="814"/>
      <c r="D239" s="801"/>
      <c r="E239" s="786"/>
      <c r="F239" s="308" t="s">
        <v>7</v>
      </c>
      <c r="G239" s="346" t="s">
        <v>192</v>
      </c>
      <c r="H239" s="347"/>
      <c r="I239" s="936" t="s">
        <v>98</v>
      </c>
      <c r="J239" s="311"/>
      <c r="K239" s="311"/>
      <c r="L239" s="311"/>
      <c r="M239" s="311"/>
      <c r="N239" s="311"/>
      <c r="O239" s="311"/>
      <c r="P239" s="311"/>
      <c r="Q239" s="311"/>
      <c r="R239" s="311"/>
      <c r="S239" s="311"/>
      <c r="T239" s="311"/>
      <c r="U239" s="312"/>
      <c r="V239" s="312"/>
      <c r="W239" s="312"/>
      <c r="X239" s="312"/>
      <c r="Y239" s="312"/>
      <c r="Z239" s="312"/>
      <c r="AA239" s="312"/>
      <c r="AB239" s="312"/>
      <c r="AC239" s="312"/>
      <c r="AD239" s="312"/>
      <c r="AE239" s="312"/>
      <c r="AF239" s="312"/>
      <c r="AG239" s="312"/>
      <c r="AH239" s="312"/>
      <c r="AI239" s="312"/>
      <c r="AJ239" s="312"/>
      <c r="AK239" s="312"/>
      <c r="AL239" s="312"/>
      <c r="AM239" s="312"/>
      <c r="AN239" s="312"/>
      <c r="AO239" s="312"/>
      <c r="AP239" s="313"/>
      <c r="AQ239" s="313"/>
      <c r="AR239" s="313"/>
      <c r="AS239" s="313"/>
      <c r="AT239" s="313"/>
      <c r="AU239" s="314"/>
      <c r="AV239" s="314"/>
      <c r="AW239" s="314"/>
      <c r="AX239" s="314"/>
      <c r="AY239" s="314"/>
      <c r="AZ239" s="314"/>
      <c r="BA239" s="315"/>
      <c r="BB239" s="315"/>
      <c r="BC239" s="315"/>
      <c r="BD239" s="315"/>
      <c r="BE239" s="311"/>
      <c r="BF239" s="311"/>
      <c r="BG239" s="311"/>
      <c r="BH239" s="311"/>
      <c r="BI239" s="311"/>
      <c r="BJ239" s="316"/>
      <c r="BK239" s="312"/>
      <c r="BL239" s="312"/>
      <c r="BM239" s="312"/>
      <c r="BN239" s="312"/>
      <c r="BO239" s="312"/>
      <c r="BP239" s="312"/>
      <c r="BQ239" s="312"/>
      <c r="BR239" s="312"/>
      <c r="BS239" s="312"/>
      <c r="BT239" s="312"/>
      <c r="BU239" s="312"/>
      <c r="BV239" s="312"/>
      <c r="BW239" s="313"/>
      <c r="BX239" s="313"/>
      <c r="BY239" s="313"/>
      <c r="BZ239" s="313"/>
      <c r="CA239" s="313"/>
      <c r="CB239" s="313"/>
      <c r="CC239" s="313"/>
      <c r="CD239" s="313"/>
      <c r="CE239" s="313"/>
      <c r="CF239" s="313"/>
      <c r="CG239" s="313"/>
      <c r="CH239" s="317"/>
      <c r="CI239" s="313"/>
      <c r="CJ239" s="313"/>
      <c r="CK239" s="313"/>
      <c r="CL239" s="313"/>
      <c r="CM239" s="313"/>
      <c r="CN239" s="313"/>
      <c r="CO239" s="314"/>
      <c r="CP239" s="314"/>
      <c r="CQ239" s="314"/>
      <c r="CR239" s="552"/>
      <c r="CS239" s="552"/>
      <c r="CT239" s="552"/>
      <c r="CU239" s="552"/>
      <c r="CV239" s="552"/>
      <c r="CW239" s="552"/>
      <c r="CX239" s="552"/>
      <c r="CY239" s="553"/>
      <c r="CZ239" s="314"/>
      <c r="DA239" s="596"/>
      <c r="DB239" s="596"/>
      <c r="DC239" s="666"/>
      <c r="DD239" s="311"/>
      <c r="DE239" s="311"/>
      <c r="DF239" s="311"/>
      <c r="DG239" s="311"/>
      <c r="DH239" s="311"/>
      <c r="DI239" s="311"/>
      <c r="DJ239" s="311"/>
      <c r="DK239" s="634"/>
      <c r="DL239" s="495">
        <f>SUM(J239:S239)*5+SUM(V239:AF239)+AH239*4+U239*2.5+AG239/0.75</f>
        <v>0</v>
      </c>
      <c r="DM239" s="84">
        <f>SUM(J239:DK239)</f>
        <v>0</v>
      </c>
      <c r="DN239" s="84">
        <f>SUM(BK239:BV239,)</f>
        <v>0</v>
      </c>
      <c r="DO239" s="125">
        <f>SUM(AT239:AV239)+SUM(AW239:AZ239)*5</f>
        <v>0</v>
      </c>
    </row>
    <row r="240" spans="2:123" ht="32.1" hidden="1" customHeight="1" outlineLevel="1" thickBot="1" x14ac:dyDescent="0.3">
      <c r="B240" s="813"/>
      <c r="C240" s="814"/>
      <c r="D240" s="801"/>
      <c r="E240" s="786"/>
      <c r="F240" s="308" t="s">
        <v>7</v>
      </c>
      <c r="G240" s="346" t="s">
        <v>192</v>
      </c>
      <c r="H240" s="347"/>
      <c r="I240" s="937" t="s">
        <v>67</v>
      </c>
      <c r="J240" s="311"/>
      <c r="K240" s="311"/>
      <c r="L240" s="311"/>
      <c r="M240" s="311"/>
      <c r="N240" s="311"/>
      <c r="O240" s="311"/>
      <c r="P240" s="311"/>
      <c r="Q240" s="311"/>
      <c r="R240" s="311"/>
      <c r="S240" s="311"/>
      <c r="T240" s="311"/>
      <c r="U240" s="312"/>
      <c r="V240" s="312"/>
      <c r="W240" s="312"/>
      <c r="X240" s="312"/>
      <c r="Y240" s="312"/>
      <c r="Z240" s="312"/>
      <c r="AA240" s="312"/>
      <c r="AB240" s="312"/>
      <c r="AC240" s="312"/>
      <c r="AD240" s="312"/>
      <c r="AE240" s="312"/>
      <c r="AF240" s="312"/>
      <c r="AG240" s="312"/>
      <c r="AH240" s="312"/>
      <c r="AI240" s="312"/>
      <c r="AJ240" s="312"/>
      <c r="AK240" s="312"/>
      <c r="AL240" s="312"/>
      <c r="AM240" s="312"/>
      <c r="AN240" s="312"/>
      <c r="AO240" s="312"/>
      <c r="AP240" s="313"/>
      <c r="AQ240" s="313"/>
      <c r="AR240" s="313"/>
      <c r="AS240" s="313"/>
      <c r="AT240" s="313"/>
      <c r="AU240" s="314"/>
      <c r="AV240" s="314"/>
      <c r="AW240" s="314"/>
      <c r="AX240" s="314"/>
      <c r="AY240" s="314"/>
      <c r="AZ240" s="314"/>
      <c r="BA240" s="315"/>
      <c r="BB240" s="315"/>
      <c r="BC240" s="315"/>
      <c r="BD240" s="315"/>
      <c r="BE240" s="311"/>
      <c r="BF240" s="311"/>
      <c r="BG240" s="311"/>
      <c r="BH240" s="311"/>
      <c r="BI240" s="311"/>
      <c r="BJ240" s="316"/>
      <c r="BK240" s="312"/>
      <c r="BL240" s="312"/>
      <c r="BM240" s="312"/>
      <c r="BN240" s="312"/>
      <c r="BO240" s="312"/>
      <c r="BP240" s="312"/>
      <c r="BQ240" s="312"/>
      <c r="BR240" s="312"/>
      <c r="BS240" s="312"/>
      <c r="BT240" s="312"/>
      <c r="BU240" s="312"/>
      <c r="BV240" s="312"/>
      <c r="BW240" s="313"/>
      <c r="BX240" s="313"/>
      <c r="BY240" s="313"/>
      <c r="BZ240" s="313"/>
      <c r="CA240" s="313"/>
      <c r="CB240" s="313"/>
      <c r="CC240" s="313"/>
      <c r="CD240" s="313"/>
      <c r="CE240" s="313"/>
      <c r="CF240" s="313"/>
      <c r="CG240" s="313"/>
      <c r="CH240" s="317"/>
      <c r="CI240" s="313"/>
      <c r="CJ240" s="313"/>
      <c r="CK240" s="313"/>
      <c r="CL240" s="313"/>
      <c r="CM240" s="313"/>
      <c r="CN240" s="313"/>
      <c r="CO240" s="314"/>
      <c r="CP240" s="314"/>
      <c r="CQ240" s="314"/>
      <c r="CR240" s="552"/>
      <c r="CS240" s="552"/>
      <c r="CT240" s="552"/>
      <c r="CU240" s="552"/>
      <c r="CV240" s="552"/>
      <c r="CW240" s="552"/>
      <c r="CX240" s="552"/>
      <c r="CY240" s="553"/>
      <c r="CZ240" s="314"/>
      <c r="DA240" s="596"/>
      <c r="DB240" s="596"/>
      <c r="DC240" s="666"/>
      <c r="DD240" s="311"/>
      <c r="DE240" s="311"/>
      <c r="DF240" s="311"/>
      <c r="DG240" s="311"/>
      <c r="DH240" s="311"/>
      <c r="DI240" s="311"/>
      <c r="DJ240" s="311"/>
      <c r="DK240" s="634"/>
      <c r="DL240" s="495">
        <f>SUM(J240:S240)*5+SUM(V240:AF240)+AH240*4+U240*2.5+AG240/0.75</f>
        <v>0</v>
      </c>
      <c r="DM240" s="84">
        <f>SUM(J240:DK240)</f>
        <v>0</v>
      </c>
      <c r="DN240" s="84">
        <f>SUM(BK240:BV240,)</f>
        <v>0</v>
      </c>
      <c r="DO240" s="125">
        <f>SUM(AT240:AV240)+SUM(AW240:AZ240)*5</f>
        <v>0</v>
      </c>
    </row>
    <row r="241" spans="2:123" s="834" customFormat="1" ht="16.5" hidden="1" customHeight="1" outlineLevel="1" thickBot="1" x14ac:dyDescent="0.35">
      <c r="B241" s="813"/>
      <c r="C241" s="814"/>
      <c r="D241" s="835"/>
      <c r="E241" s="836" t="s">
        <v>254</v>
      </c>
      <c r="F241" s="837"/>
      <c r="G241" s="838"/>
      <c r="H241" s="839"/>
      <c r="I241" s="918"/>
      <c r="J241" s="824">
        <f>SUM(J237:J240)</f>
        <v>0</v>
      </c>
      <c r="K241" s="824">
        <f t="shared" ref="K241:CL241" si="273">SUM(K237:K240)</f>
        <v>0</v>
      </c>
      <c r="L241" s="824">
        <f t="shared" si="273"/>
        <v>0</v>
      </c>
      <c r="M241" s="824">
        <f t="shared" si="273"/>
        <v>0</v>
      </c>
      <c r="N241" s="824">
        <f t="shared" si="273"/>
        <v>0</v>
      </c>
      <c r="O241" s="824">
        <f t="shared" si="273"/>
        <v>0</v>
      </c>
      <c r="P241" s="824">
        <f t="shared" si="273"/>
        <v>0</v>
      </c>
      <c r="Q241" s="824">
        <f t="shared" si="273"/>
        <v>0</v>
      </c>
      <c r="R241" s="824">
        <f t="shared" si="273"/>
        <v>0</v>
      </c>
      <c r="S241" s="824">
        <f t="shared" si="273"/>
        <v>0</v>
      </c>
      <c r="T241" s="824">
        <f t="shared" si="273"/>
        <v>0</v>
      </c>
      <c r="U241" s="825">
        <f t="shared" si="273"/>
        <v>0</v>
      </c>
      <c r="V241" s="825">
        <f t="shared" si="273"/>
        <v>0</v>
      </c>
      <c r="W241" s="825">
        <f t="shared" si="273"/>
        <v>0</v>
      </c>
      <c r="X241" s="825">
        <f t="shared" si="273"/>
        <v>0</v>
      </c>
      <c r="Y241" s="825">
        <f t="shared" si="273"/>
        <v>0</v>
      </c>
      <c r="Z241" s="825">
        <f t="shared" si="273"/>
        <v>0</v>
      </c>
      <c r="AA241" s="825">
        <f t="shared" si="273"/>
        <v>0</v>
      </c>
      <c r="AB241" s="825">
        <f t="shared" ref="AB241:AD241" si="274">SUM(AB237:AB240)</f>
        <v>0</v>
      </c>
      <c r="AC241" s="825">
        <f t="shared" si="274"/>
        <v>0</v>
      </c>
      <c r="AD241" s="825">
        <f t="shared" si="274"/>
        <v>0</v>
      </c>
      <c r="AE241" s="825">
        <f t="shared" si="273"/>
        <v>0</v>
      </c>
      <c r="AF241" s="825">
        <f t="shared" si="273"/>
        <v>0</v>
      </c>
      <c r="AG241" s="825">
        <f t="shared" si="273"/>
        <v>0</v>
      </c>
      <c r="AH241" s="825">
        <f t="shared" si="273"/>
        <v>0</v>
      </c>
      <c r="AI241" s="825">
        <f t="shared" ref="AI241:AO241" si="275">SUM(AI237:AI240)</f>
        <v>0</v>
      </c>
      <c r="AJ241" s="825">
        <f t="shared" si="275"/>
        <v>0</v>
      </c>
      <c r="AK241" s="825">
        <f t="shared" si="275"/>
        <v>0</v>
      </c>
      <c r="AL241" s="825">
        <f t="shared" si="275"/>
        <v>0</v>
      </c>
      <c r="AM241" s="825">
        <f t="shared" si="275"/>
        <v>0</v>
      </c>
      <c r="AN241" s="825">
        <f t="shared" si="275"/>
        <v>0</v>
      </c>
      <c r="AO241" s="825">
        <f t="shared" si="275"/>
        <v>0</v>
      </c>
      <c r="AP241" s="826">
        <f t="shared" si="273"/>
        <v>0</v>
      </c>
      <c r="AQ241" s="826">
        <f t="shared" ref="AQ241" si="276">SUM(AQ237:AQ240)</f>
        <v>0</v>
      </c>
      <c r="AR241" s="826">
        <f t="shared" si="273"/>
        <v>0</v>
      </c>
      <c r="AS241" s="826">
        <f t="shared" si="273"/>
        <v>0</v>
      </c>
      <c r="AT241" s="826">
        <f t="shared" si="273"/>
        <v>0</v>
      </c>
      <c r="AU241" s="827">
        <f t="shared" si="273"/>
        <v>0</v>
      </c>
      <c r="AV241" s="827">
        <f t="shared" si="273"/>
        <v>0</v>
      </c>
      <c r="AW241" s="827">
        <f t="shared" si="273"/>
        <v>0</v>
      </c>
      <c r="AX241" s="827">
        <f t="shared" ref="AX241:AY241" si="277">SUM(AX237:AX240)</f>
        <v>0</v>
      </c>
      <c r="AY241" s="827">
        <f t="shared" si="277"/>
        <v>0</v>
      </c>
      <c r="AZ241" s="827">
        <f t="shared" si="273"/>
        <v>0</v>
      </c>
      <c r="BA241" s="828">
        <f t="shared" si="273"/>
        <v>0</v>
      </c>
      <c r="BB241" s="828">
        <f t="shared" si="273"/>
        <v>0</v>
      </c>
      <c r="BC241" s="828">
        <f t="shared" si="273"/>
        <v>0</v>
      </c>
      <c r="BD241" s="828">
        <f t="shared" si="273"/>
        <v>0</v>
      </c>
      <c r="BE241" s="824">
        <f t="shared" si="273"/>
        <v>0</v>
      </c>
      <c r="BF241" s="824">
        <f t="shared" si="273"/>
        <v>0</v>
      </c>
      <c r="BG241" s="824">
        <f t="shared" si="273"/>
        <v>0</v>
      </c>
      <c r="BH241" s="824">
        <f t="shared" si="273"/>
        <v>0</v>
      </c>
      <c r="BI241" s="824">
        <f t="shared" si="273"/>
        <v>0</v>
      </c>
      <c r="BJ241" s="824">
        <f t="shared" si="273"/>
        <v>0</v>
      </c>
      <c r="BK241" s="825">
        <f t="shared" si="273"/>
        <v>0</v>
      </c>
      <c r="BL241" s="825">
        <f t="shared" si="273"/>
        <v>0</v>
      </c>
      <c r="BM241" s="825">
        <f t="shared" si="273"/>
        <v>0</v>
      </c>
      <c r="BN241" s="825">
        <f t="shared" si="273"/>
        <v>0</v>
      </c>
      <c r="BO241" s="825">
        <f t="shared" si="273"/>
        <v>0</v>
      </c>
      <c r="BP241" s="825">
        <f t="shared" si="273"/>
        <v>0</v>
      </c>
      <c r="BQ241" s="825">
        <f t="shared" si="273"/>
        <v>0</v>
      </c>
      <c r="BR241" s="825">
        <f t="shared" ref="BR241" si="278">SUM(BR237:BR240)</f>
        <v>0</v>
      </c>
      <c r="BS241" s="825">
        <f t="shared" ref="BS241" si="279">SUM(BS237:BS240)</f>
        <v>0</v>
      </c>
      <c r="BT241" s="825">
        <f t="shared" si="273"/>
        <v>0</v>
      </c>
      <c r="BU241" s="825">
        <f t="shared" si="273"/>
        <v>0</v>
      </c>
      <c r="BV241" s="825">
        <f t="shared" si="273"/>
        <v>0</v>
      </c>
      <c r="BW241" s="826">
        <f t="shared" si="273"/>
        <v>0</v>
      </c>
      <c r="BX241" s="826">
        <f t="shared" si="273"/>
        <v>0</v>
      </c>
      <c r="BY241" s="826">
        <f t="shared" si="273"/>
        <v>0</v>
      </c>
      <c r="BZ241" s="826">
        <f t="shared" si="273"/>
        <v>0</v>
      </c>
      <c r="CA241" s="826">
        <f t="shared" si="273"/>
        <v>0</v>
      </c>
      <c r="CB241" s="826">
        <f t="shared" ref="CB241" si="280">SUM(CB237:CB240)</f>
        <v>0</v>
      </c>
      <c r="CC241" s="826">
        <f t="shared" si="273"/>
        <v>0</v>
      </c>
      <c r="CD241" s="826">
        <f t="shared" si="273"/>
        <v>0</v>
      </c>
      <c r="CE241" s="826">
        <f t="shared" si="273"/>
        <v>0</v>
      </c>
      <c r="CF241" s="826">
        <f t="shared" si="273"/>
        <v>0</v>
      </c>
      <c r="CG241" s="826">
        <f t="shared" si="273"/>
        <v>0</v>
      </c>
      <c r="CH241" s="826">
        <f t="shared" si="273"/>
        <v>0</v>
      </c>
      <c r="CI241" s="826">
        <f t="shared" si="273"/>
        <v>0</v>
      </c>
      <c r="CJ241" s="826">
        <f t="shared" si="273"/>
        <v>0</v>
      </c>
      <c r="CK241" s="826">
        <f t="shared" si="273"/>
        <v>0</v>
      </c>
      <c r="CL241" s="826">
        <f t="shared" si="273"/>
        <v>0</v>
      </c>
      <c r="CM241" s="826">
        <f t="shared" ref="CM241:DO241" si="281">SUM(CM237:CM240)</f>
        <v>0</v>
      </c>
      <c r="CN241" s="826">
        <f t="shared" si="281"/>
        <v>0</v>
      </c>
      <c r="CO241" s="827">
        <f t="shared" si="281"/>
        <v>0</v>
      </c>
      <c r="CP241" s="827">
        <f t="shared" si="281"/>
        <v>0</v>
      </c>
      <c r="CQ241" s="827">
        <f t="shared" si="281"/>
        <v>0</v>
      </c>
      <c r="CR241" s="827">
        <f t="shared" si="281"/>
        <v>0</v>
      </c>
      <c r="CS241" s="827">
        <f t="shared" si="281"/>
        <v>0</v>
      </c>
      <c r="CT241" s="827">
        <f t="shared" si="281"/>
        <v>0</v>
      </c>
      <c r="CU241" s="827">
        <f t="shared" si="281"/>
        <v>0</v>
      </c>
      <c r="CV241" s="827">
        <f t="shared" si="281"/>
        <v>0</v>
      </c>
      <c r="CW241" s="827">
        <f t="shared" si="281"/>
        <v>0</v>
      </c>
      <c r="CX241" s="827">
        <f t="shared" si="281"/>
        <v>0</v>
      </c>
      <c r="CY241" s="827">
        <f t="shared" si="281"/>
        <v>0</v>
      </c>
      <c r="CZ241" s="827">
        <f t="shared" si="281"/>
        <v>0</v>
      </c>
      <c r="DA241" s="827">
        <f t="shared" si="281"/>
        <v>0</v>
      </c>
      <c r="DB241" s="827">
        <f t="shared" si="281"/>
        <v>0</v>
      </c>
      <c r="DC241" s="824">
        <f t="shared" si="281"/>
        <v>0</v>
      </c>
      <c r="DD241" s="824">
        <f t="shared" si="281"/>
        <v>0</v>
      </c>
      <c r="DE241" s="824">
        <f t="shared" si="281"/>
        <v>0</v>
      </c>
      <c r="DF241" s="824">
        <f t="shared" si="281"/>
        <v>0</v>
      </c>
      <c r="DG241" s="824">
        <f t="shared" si="281"/>
        <v>0</v>
      </c>
      <c r="DH241" s="824">
        <f t="shared" si="281"/>
        <v>0</v>
      </c>
      <c r="DI241" s="824">
        <f t="shared" si="281"/>
        <v>0</v>
      </c>
      <c r="DJ241" s="824">
        <f t="shared" si="281"/>
        <v>0</v>
      </c>
      <c r="DK241" s="829">
        <f t="shared" si="281"/>
        <v>0</v>
      </c>
      <c r="DL241" s="830">
        <f t="shared" si="281"/>
        <v>0</v>
      </c>
      <c r="DM241" s="831">
        <f t="shared" si="281"/>
        <v>0</v>
      </c>
      <c r="DN241" s="831">
        <f t="shared" si="281"/>
        <v>0</v>
      </c>
      <c r="DO241" s="832">
        <f t="shared" si="281"/>
        <v>0</v>
      </c>
      <c r="DP241" s="833"/>
      <c r="DQ241" s="833"/>
      <c r="DR241" s="833"/>
      <c r="DS241" s="833"/>
    </row>
    <row r="242" spans="2:123" s="789" customFormat="1" ht="32.1" customHeight="1" collapsed="1" thickBot="1" x14ac:dyDescent="0.4">
      <c r="B242" s="985" t="s">
        <v>255</v>
      </c>
      <c r="C242" s="840"/>
      <c r="D242" s="841"/>
      <c r="E242" s="784" t="s">
        <v>256</v>
      </c>
      <c r="F242" s="842"/>
      <c r="G242" s="843"/>
      <c r="H242" s="784"/>
      <c r="I242" s="842" t="s">
        <v>291</v>
      </c>
      <c r="J242" s="130">
        <f>SUMIF($E198:$E241,$E242,J198:J241)</f>
        <v>0</v>
      </c>
      <c r="K242" s="130">
        <f t="shared" ref="K242:CL242" si="282">SUMIF($E198:$E241,$E242,K198:K241)</f>
        <v>0</v>
      </c>
      <c r="L242" s="130">
        <f t="shared" si="282"/>
        <v>0</v>
      </c>
      <c r="M242" s="130">
        <f t="shared" si="282"/>
        <v>0</v>
      </c>
      <c r="N242" s="130">
        <f t="shared" si="282"/>
        <v>0</v>
      </c>
      <c r="O242" s="130">
        <f t="shared" si="282"/>
        <v>0</v>
      </c>
      <c r="P242" s="130">
        <f t="shared" si="282"/>
        <v>0</v>
      </c>
      <c r="Q242" s="130">
        <f t="shared" si="282"/>
        <v>0</v>
      </c>
      <c r="R242" s="130">
        <f t="shared" si="282"/>
        <v>0</v>
      </c>
      <c r="S242" s="130">
        <f t="shared" si="282"/>
        <v>0</v>
      </c>
      <c r="T242" s="130">
        <f t="shared" si="282"/>
        <v>0</v>
      </c>
      <c r="U242" s="135">
        <f t="shared" si="282"/>
        <v>0</v>
      </c>
      <c r="V242" s="135">
        <f t="shared" si="282"/>
        <v>0</v>
      </c>
      <c r="W242" s="135">
        <f t="shared" si="282"/>
        <v>0</v>
      </c>
      <c r="X242" s="135">
        <f t="shared" si="282"/>
        <v>0</v>
      </c>
      <c r="Y242" s="135">
        <f t="shared" si="282"/>
        <v>0</v>
      </c>
      <c r="Z242" s="135">
        <f t="shared" si="282"/>
        <v>0</v>
      </c>
      <c r="AA242" s="135">
        <f t="shared" si="282"/>
        <v>0</v>
      </c>
      <c r="AB242" s="135">
        <f t="shared" ref="AB242:AD242" si="283">SUMIF($E198:$E241,$E242,AB198:AB241)</f>
        <v>0</v>
      </c>
      <c r="AC242" s="135">
        <f t="shared" si="283"/>
        <v>0</v>
      </c>
      <c r="AD242" s="135">
        <f t="shared" si="283"/>
        <v>0</v>
      </c>
      <c r="AE242" s="135">
        <f t="shared" si="282"/>
        <v>0</v>
      </c>
      <c r="AF242" s="135">
        <f t="shared" si="282"/>
        <v>0</v>
      </c>
      <c r="AG242" s="135">
        <f t="shared" si="282"/>
        <v>0</v>
      </c>
      <c r="AH242" s="135">
        <f t="shared" si="282"/>
        <v>0</v>
      </c>
      <c r="AI242" s="135">
        <f t="shared" ref="AI242:AO242" si="284">SUMIF($E198:$E241,$E242,AI198:AI241)</f>
        <v>0</v>
      </c>
      <c r="AJ242" s="135">
        <f t="shared" si="284"/>
        <v>0</v>
      </c>
      <c r="AK242" s="135">
        <f t="shared" si="284"/>
        <v>0</v>
      </c>
      <c r="AL242" s="135">
        <f t="shared" si="284"/>
        <v>0</v>
      </c>
      <c r="AM242" s="135">
        <f t="shared" si="284"/>
        <v>0</v>
      </c>
      <c r="AN242" s="135">
        <f t="shared" si="284"/>
        <v>0</v>
      </c>
      <c r="AO242" s="135">
        <f t="shared" si="284"/>
        <v>0</v>
      </c>
      <c r="AP242" s="138">
        <f t="shared" si="282"/>
        <v>0</v>
      </c>
      <c r="AQ242" s="138">
        <f t="shared" ref="AQ242" si="285">SUMIF($E198:$E241,$E242,AQ198:AQ241)</f>
        <v>0</v>
      </c>
      <c r="AR242" s="138">
        <f t="shared" si="282"/>
        <v>0</v>
      </c>
      <c r="AS242" s="138">
        <f t="shared" si="282"/>
        <v>0</v>
      </c>
      <c r="AT242" s="138">
        <f t="shared" si="282"/>
        <v>0</v>
      </c>
      <c r="AU242" s="146">
        <f t="shared" si="282"/>
        <v>0</v>
      </c>
      <c r="AV242" s="146">
        <f t="shared" si="282"/>
        <v>0</v>
      </c>
      <c r="AW242" s="146">
        <f t="shared" si="282"/>
        <v>0</v>
      </c>
      <c r="AX242" s="146">
        <f t="shared" ref="AX242:AY242" si="286">SUMIF($E198:$E241,$E242,AX198:AX241)</f>
        <v>0</v>
      </c>
      <c r="AY242" s="146">
        <f t="shared" si="286"/>
        <v>0</v>
      </c>
      <c r="AZ242" s="146">
        <f t="shared" si="282"/>
        <v>0</v>
      </c>
      <c r="BA242" s="142">
        <f t="shared" si="282"/>
        <v>0</v>
      </c>
      <c r="BB242" s="142">
        <f t="shared" si="282"/>
        <v>0</v>
      </c>
      <c r="BC242" s="142">
        <f t="shared" si="282"/>
        <v>0</v>
      </c>
      <c r="BD242" s="142">
        <f t="shared" si="282"/>
        <v>0</v>
      </c>
      <c r="BE242" s="130">
        <f t="shared" si="282"/>
        <v>0</v>
      </c>
      <c r="BF242" s="130">
        <f t="shared" si="282"/>
        <v>0</v>
      </c>
      <c r="BG242" s="130">
        <f t="shared" si="282"/>
        <v>0</v>
      </c>
      <c r="BH242" s="130">
        <f t="shared" si="282"/>
        <v>0</v>
      </c>
      <c r="BI242" s="130">
        <f t="shared" si="282"/>
        <v>0</v>
      </c>
      <c r="BJ242" s="130">
        <f t="shared" si="282"/>
        <v>0</v>
      </c>
      <c r="BK242" s="135">
        <f t="shared" si="282"/>
        <v>0</v>
      </c>
      <c r="BL242" s="135">
        <f t="shared" si="282"/>
        <v>0</v>
      </c>
      <c r="BM242" s="135">
        <f t="shared" si="282"/>
        <v>0</v>
      </c>
      <c r="BN242" s="135">
        <f t="shared" si="282"/>
        <v>0</v>
      </c>
      <c r="BO242" s="135">
        <f t="shared" si="282"/>
        <v>0</v>
      </c>
      <c r="BP242" s="135">
        <f t="shared" si="282"/>
        <v>0</v>
      </c>
      <c r="BQ242" s="135">
        <f t="shared" si="282"/>
        <v>0</v>
      </c>
      <c r="BR242" s="135">
        <f t="shared" ref="BR242" si="287">SUMIF($E198:$E241,$E242,BR198:BR241)</f>
        <v>0</v>
      </c>
      <c r="BS242" s="135">
        <f t="shared" ref="BS242" si="288">SUMIF($E198:$E241,$E242,BS198:BS241)</f>
        <v>0</v>
      </c>
      <c r="BT242" s="135">
        <f t="shared" si="282"/>
        <v>0</v>
      </c>
      <c r="BU242" s="135">
        <f t="shared" si="282"/>
        <v>0</v>
      </c>
      <c r="BV242" s="135">
        <f t="shared" si="282"/>
        <v>0</v>
      </c>
      <c r="BW242" s="138">
        <f t="shared" si="282"/>
        <v>0</v>
      </c>
      <c r="BX242" s="138">
        <f t="shared" si="282"/>
        <v>0</v>
      </c>
      <c r="BY242" s="138">
        <f t="shared" si="282"/>
        <v>0</v>
      </c>
      <c r="BZ242" s="138">
        <f t="shared" si="282"/>
        <v>0</v>
      </c>
      <c r="CA242" s="138">
        <f t="shared" si="282"/>
        <v>0</v>
      </c>
      <c r="CB242" s="138">
        <f t="shared" ref="CB242" si="289">SUMIF($E198:$E241,$E242,CB198:CB241)</f>
        <v>0</v>
      </c>
      <c r="CC242" s="138">
        <f t="shared" si="282"/>
        <v>0</v>
      </c>
      <c r="CD242" s="138">
        <f t="shared" si="282"/>
        <v>0</v>
      </c>
      <c r="CE242" s="138">
        <f t="shared" si="282"/>
        <v>0</v>
      </c>
      <c r="CF242" s="138">
        <f t="shared" si="282"/>
        <v>0</v>
      </c>
      <c r="CG242" s="138">
        <f t="shared" si="282"/>
        <v>0</v>
      </c>
      <c r="CH242" s="138">
        <f t="shared" si="282"/>
        <v>0</v>
      </c>
      <c r="CI242" s="138">
        <f t="shared" si="282"/>
        <v>0</v>
      </c>
      <c r="CJ242" s="138">
        <f t="shared" si="282"/>
        <v>0</v>
      </c>
      <c r="CK242" s="138">
        <f t="shared" si="282"/>
        <v>0</v>
      </c>
      <c r="CL242" s="138">
        <f t="shared" si="282"/>
        <v>0</v>
      </c>
      <c r="CM242" s="138">
        <f t="shared" ref="CM242:DO242" si="290">SUMIF($E198:$E241,$E242,CM198:CM241)</f>
        <v>0</v>
      </c>
      <c r="CN242" s="138">
        <f t="shared" si="290"/>
        <v>0</v>
      </c>
      <c r="CO242" s="146">
        <f t="shared" si="290"/>
        <v>0</v>
      </c>
      <c r="CP242" s="146">
        <f t="shared" si="290"/>
        <v>0</v>
      </c>
      <c r="CQ242" s="146">
        <f t="shared" si="290"/>
        <v>0</v>
      </c>
      <c r="CR242" s="146">
        <f t="shared" si="290"/>
        <v>0</v>
      </c>
      <c r="CS242" s="146">
        <f t="shared" si="290"/>
        <v>0</v>
      </c>
      <c r="CT242" s="146">
        <f t="shared" si="290"/>
        <v>0</v>
      </c>
      <c r="CU242" s="146">
        <f t="shared" si="290"/>
        <v>0</v>
      </c>
      <c r="CV242" s="146">
        <f t="shared" si="290"/>
        <v>0</v>
      </c>
      <c r="CW242" s="146">
        <f t="shared" si="290"/>
        <v>0</v>
      </c>
      <c r="CX242" s="146">
        <f t="shared" si="290"/>
        <v>0</v>
      </c>
      <c r="CY242" s="146">
        <f t="shared" si="290"/>
        <v>0</v>
      </c>
      <c r="CZ242" s="146">
        <f t="shared" si="290"/>
        <v>0</v>
      </c>
      <c r="DA242" s="146">
        <f t="shared" si="290"/>
        <v>0</v>
      </c>
      <c r="DB242" s="146">
        <f t="shared" si="290"/>
        <v>0</v>
      </c>
      <c r="DC242" s="130">
        <f t="shared" si="290"/>
        <v>0</v>
      </c>
      <c r="DD242" s="130">
        <f t="shared" si="290"/>
        <v>0</v>
      </c>
      <c r="DE242" s="130">
        <f t="shared" si="290"/>
        <v>0</v>
      </c>
      <c r="DF242" s="130">
        <f t="shared" si="290"/>
        <v>0</v>
      </c>
      <c r="DG242" s="130">
        <f t="shared" si="290"/>
        <v>0</v>
      </c>
      <c r="DH242" s="130">
        <f t="shared" si="290"/>
        <v>0</v>
      </c>
      <c r="DI242" s="130">
        <f t="shared" si="290"/>
        <v>0</v>
      </c>
      <c r="DJ242" s="130">
        <f t="shared" si="290"/>
        <v>0</v>
      </c>
      <c r="DK242" s="636">
        <f t="shared" si="290"/>
        <v>0</v>
      </c>
      <c r="DL242" s="492">
        <f t="shared" si="290"/>
        <v>0</v>
      </c>
      <c r="DM242" s="492">
        <f t="shared" si="290"/>
        <v>0</v>
      </c>
      <c r="DN242" s="492">
        <f t="shared" si="290"/>
        <v>0</v>
      </c>
      <c r="DO242" s="683">
        <f t="shared" si="290"/>
        <v>0</v>
      </c>
      <c r="DP242" s="844"/>
      <c r="DQ242" s="844"/>
      <c r="DR242" s="844"/>
      <c r="DS242" s="844"/>
    </row>
    <row r="243" spans="2:123" ht="32.1" hidden="1" customHeight="1" outlineLevel="1" thickBot="1" x14ac:dyDescent="0.3">
      <c r="B243" s="811" t="s">
        <v>151</v>
      </c>
      <c r="C243" s="812">
        <f>C198+1</f>
        <v>45122</v>
      </c>
      <c r="D243" s="803" t="s">
        <v>133</v>
      </c>
      <c r="E243" s="774" t="s">
        <v>136</v>
      </c>
      <c r="F243" s="213" t="s">
        <v>8</v>
      </c>
      <c r="G243" s="205" t="s">
        <v>133</v>
      </c>
      <c r="H243" s="341"/>
      <c r="I243" s="957" t="s">
        <v>236</v>
      </c>
      <c r="J243" s="216"/>
      <c r="K243" s="216"/>
      <c r="L243" s="216"/>
      <c r="M243" s="216"/>
      <c r="N243" s="216"/>
      <c r="O243" s="216"/>
      <c r="P243" s="216"/>
      <c r="Q243" s="216"/>
      <c r="R243" s="216"/>
      <c r="S243" s="216"/>
      <c r="T243" s="216"/>
      <c r="U243" s="217"/>
      <c r="V243" s="217"/>
      <c r="W243" s="217"/>
      <c r="X243" s="217"/>
      <c r="Y243" s="217"/>
      <c r="Z243" s="217"/>
      <c r="AA243" s="217"/>
      <c r="AB243" s="217"/>
      <c r="AC243" s="217"/>
      <c r="AD243" s="217"/>
      <c r="AE243" s="217"/>
      <c r="AF243" s="217"/>
      <c r="AG243" s="217"/>
      <c r="AH243" s="217"/>
      <c r="AI243" s="217"/>
      <c r="AJ243" s="217"/>
      <c r="AK243" s="217"/>
      <c r="AL243" s="217"/>
      <c r="AM243" s="217"/>
      <c r="AN243" s="217"/>
      <c r="AO243" s="217"/>
      <c r="AP243" s="218"/>
      <c r="AQ243" s="218"/>
      <c r="AR243" s="218"/>
      <c r="AS243" s="218"/>
      <c r="AT243" s="218"/>
      <c r="AU243" s="219"/>
      <c r="AV243" s="219"/>
      <c r="AW243" s="219"/>
      <c r="AX243" s="219"/>
      <c r="AY243" s="219"/>
      <c r="AZ243" s="219"/>
      <c r="BA243" s="345"/>
      <c r="BB243" s="345"/>
      <c r="BC243" s="345"/>
      <c r="BD243" s="220"/>
      <c r="BE243" s="216"/>
      <c r="BF243" s="216"/>
      <c r="BG243" s="216"/>
      <c r="BH243" s="216"/>
      <c r="BI243" s="216"/>
      <c r="BJ243" s="221"/>
      <c r="BK243" s="217"/>
      <c r="BL243" s="217"/>
      <c r="BM243" s="217"/>
      <c r="BN243" s="217"/>
      <c r="BO243" s="217"/>
      <c r="BP243" s="217"/>
      <c r="BQ243" s="217"/>
      <c r="BR243" s="217"/>
      <c r="BS243" s="217"/>
      <c r="BT243" s="217"/>
      <c r="BU243" s="217"/>
      <c r="BV243" s="217"/>
      <c r="BW243" s="218"/>
      <c r="BX243" s="218"/>
      <c r="BY243" s="218"/>
      <c r="BZ243" s="218"/>
      <c r="CA243" s="218"/>
      <c r="CB243" s="218"/>
      <c r="CC243" s="218"/>
      <c r="CD243" s="218"/>
      <c r="CE243" s="218"/>
      <c r="CF243" s="218"/>
      <c r="CG243" s="218"/>
      <c r="CH243" s="222"/>
      <c r="CI243" s="218"/>
      <c r="CJ243" s="218"/>
      <c r="CK243" s="218"/>
      <c r="CL243" s="218"/>
      <c r="CM243" s="218"/>
      <c r="CN243" s="218"/>
      <c r="CO243" s="219"/>
      <c r="CP243" s="219"/>
      <c r="CQ243" s="219"/>
      <c r="CR243" s="514"/>
      <c r="CS243" s="514"/>
      <c r="CT243" s="514"/>
      <c r="CU243" s="514"/>
      <c r="CV243" s="514"/>
      <c r="CW243" s="514"/>
      <c r="CX243" s="514"/>
      <c r="CY243" s="515"/>
      <c r="CZ243" s="219"/>
      <c r="DA243" s="581"/>
      <c r="DB243" s="581"/>
      <c r="DC243" s="650"/>
      <c r="DD243" s="216"/>
      <c r="DE243" s="216"/>
      <c r="DF243" s="216"/>
      <c r="DG243" s="216"/>
      <c r="DH243" s="216"/>
      <c r="DI243" s="216"/>
      <c r="DJ243" s="216"/>
      <c r="DK243" s="612"/>
      <c r="DL243" s="494">
        <f t="shared" ref="DL243:DL252" si="291">SUM(J243:S243)*5+SUM(V243:AF243)+AH243*4+U243*2.5+AG243/0.75</f>
        <v>0</v>
      </c>
      <c r="DM243" s="122">
        <f t="shared" ref="DM243:DM252" si="292">SUM(J243:DK243)</f>
        <v>0</v>
      </c>
      <c r="DN243" s="122">
        <f t="shared" ref="DN243:DN252" si="293">SUM(BK243:BV243,)</f>
        <v>0</v>
      </c>
      <c r="DO243" s="124">
        <f t="shared" ref="DO243:DO252" si="294">SUM(AT243:AV243)+SUM(AW243:AZ243)*5</f>
        <v>0</v>
      </c>
    </row>
    <row r="244" spans="2:123" ht="32.1" hidden="1" customHeight="1" outlineLevel="1" thickBot="1" x14ac:dyDescent="0.3">
      <c r="B244" s="813"/>
      <c r="C244" s="814"/>
      <c r="D244" s="792"/>
      <c r="E244" s="772"/>
      <c r="F244" s="213" t="s">
        <v>8</v>
      </c>
      <c r="G244" s="339" t="s">
        <v>133</v>
      </c>
      <c r="H244" s="330"/>
      <c r="I244" s="969" t="s">
        <v>237</v>
      </c>
      <c r="J244" s="216"/>
      <c r="K244" s="216"/>
      <c r="L244" s="216"/>
      <c r="M244" s="216"/>
      <c r="N244" s="216"/>
      <c r="O244" s="216"/>
      <c r="P244" s="216"/>
      <c r="Q244" s="216"/>
      <c r="R244" s="216"/>
      <c r="S244" s="216"/>
      <c r="T244" s="216"/>
      <c r="U244" s="217"/>
      <c r="V244" s="217"/>
      <c r="W244" s="217"/>
      <c r="X244" s="217"/>
      <c r="Y244" s="217"/>
      <c r="Z244" s="217"/>
      <c r="AA244" s="217"/>
      <c r="AB244" s="217"/>
      <c r="AC244" s="217"/>
      <c r="AD244" s="217"/>
      <c r="AE244" s="217"/>
      <c r="AF244" s="217"/>
      <c r="AG244" s="217"/>
      <c r="AH244" s="217"/>
      <c r="AI244" s="217"/>
      <c r="AJ244" s="217"/>
      <c r="AK244" s="217"/>
      <c r="AL244" s="217"/>
      <c r="AM244" s="217"/>
      <c r="AN244" s="217"/>
      <c r="AO244" s="217"/>
      <c r="AP244" s="218"/>
      <c r="AQ244" s="218"/>
      <c r="AR244" s="218"/>
      <c r="AS244" s="218"/>
      <c r="AT244" s="218"/>
      <c r="AU244" s="219"/>
      <c r="AV244" s="219"/>
      <c r="AW244" s="219"/>
      <c r="AX244" s="219"/>
      <c r="AY244" s="219"/>
      <c r="AZ244" s="219"/>
      <c r="BA244" s="220"/>
      <c r="BB244" s="220"/>
      <c r="BC244" s="220"/>
      <c r="BD244" s="220"/>
      <c r="BE244" s="216"/>
      <c r="BF244" s="216"/>
      <c r="BG244" s="216"/>
      <c r="BH244" s="216"/>
      <c r="BI244" s="216"/>
      <c r="BJ244" s="221"/>
      <c r="BK244" s="217"/>
      <c r="BL244" s="217"/>
      <c r="BM244" s="217"/>
      <c r="BN244" s="217"/>
      <c r="BO244" s="217"/>
      <c r="BP244" s="217"/>
      <c r="BQ244" s="217"/>
      <c r="BR244" s="217"/>
      <c r="BS244" s="217"/>
      <c r="BT244" s="217"/>
      <c r="BU244" s="217"/>
      <c r="BV244" s="217"/>
      <c r="BW244" s="218"/>
      <c r="BX244" s="218"/>
      <c r="BY244" s="218"/>
      <c r="BZ244" s="218"/>
      <c r="CA244" s="218"/>
      <c r="CB244" s="218"/>
      <c r="CC244" s="218"/>
      <c r="CD244" s="218"/>
      <c r="CE244" s="218"/>
      <c r="CF244" s="218"/>
      <c r="CG244" s="218"/>
      <c r="CH244" s="222"/>
      <c r="CI244" s="218"/>
      <c r="CJ244" s="218"/>
      <c r="CK244" s="218"/>
      <c r="CL244" s="218"/>
      <c r="CM244" s="218"/>
      <c r="CN244" s="218"/>
      <c r="CO244" s="219"/>
      <c r="CP244" s="219"/>
      <c r="CQ244" s="219"/>
      <c r="CR244" s="514"/>
      <c r="CS244" s="514"/>
      <c r="CT244" s="514"/>
      <c r="CU244" s="514"/>
      <c r="CV244" s="521"/>
      <c r="CW244" s="514"/>
      <c r="CX244" s="514"/>
      <c r="CY244" s="515"/>
      <c r="CZ244" s="219"/>
      <c r="DA244" s="581"/>
      <c r="DB244" s="581"/>
      <c r="DC244" s="650"/>
      <c r="DD244" s="216"/>
      <c r="DE244" s="216"/>
      <c r="DF244" s="216"/>
      <c r="DG244" s="216"/>
      <c r="DH244" s="216"/>
      <c r="DI244" s="216"/>
      <c r="DJ244" s="216"/>
      <c r="DK244" s="612"/>
      <c r="DL244" s="495">
        <f t="shared" si="291"/>
        <v>0</v>
      </c>
      <c r="DM244" s="84">
        <f t="shared" si="292"/>
        <v>0</v>
      </c>
      <c r="DN244" s="84">
        <f t="shared" si="293"/>
        <v>0</v>
      </c>
      <c r="DO244" s="125">
        <f t="shared" si="294"/>
        <v>0</v>
      </c>
    </row>
    <row r="245" spans="2:123" ht="32.1" hidden="1" customHeight="1" outlineLevel="1" thickBot="1" x14ac:dyDescent="0.3">
      <c r="B245" s="813"/>
      <c r="C245" s="814"/>
      <c r="D245" s="792"/>
      <c r="E245" s="773"/>
      <c r="F245" s="426" t="s">
        <v>8</v>
      </c>
      <c r="G245" s="427" t="s">
        <v>133</v>
      </c>
      <c r="H245" s="330"/>
      <c r="I245" s="970" t="s">
        <v>90</v>
      </c>
      <c r="J245" s="227"/>
      <c r="K245" s="227"/>
      <c r="L245" s="227"/>
      <c r="M245" s="227"/>
      <c r="N245" s="227"/>
      <c r="O245" s="227"/>
      <c r="P245" s="227"/>
      <c r="Q245" s="227"/>
      <c r="R245" s="227"/>
      <c r="S245" s="227"/>
      <c r="T245" s="227"/>
      <c r="U245" s="228"/>
      <c r="V245" s="228"/>
      <c r="W245" s="228"/>
      <c r="X245" s="228"/>
      <c r="Y245" s="228"/>
      <c r="Z245" s="228"/>
      <c r="AA245" s="228"/>
      <c r="AB245" s="228"/>
      <c r="AC245" s="228"/>
      <c r="AD245" s="228"/>
      <c r="AE245" s="228"/>
      <c r="AF245" s="228"/>
      <c r="AG245" s="228"/>
      <c r="AH245" s="228"/>
      <c r="AI245" s="228"/>
      <c r="AJ245" s="228"/>
      <c r="AK245" s="228"/>
      <c r="AL245" s="228"/>
      <c r="AM245" s="228"/>
      <c r="AN245" s="228"/>
      <c r="AO245" s="228"/>
      <c r="AP245" s="229"/>
      <c r="AQ245" s="229"/>
      <c r="AR245" s="229"/>
      <c r="AS245" s="229"/>
      <c r="AT245" s="229"/>
      <c r="AU245" s="230"/>
      <c r="AV245" s="230"/>
      <c r="AW245" s="230"/>
      <c r="AX245" s="230"/>
      <c r="AY245" s="230"/>
      <c r="AZ245" s="230"/>
      <c r="BA245" s="232"/>
      <c r="BB245" s="232"/>
      <c r="BC245" s="232"/>
      <c r="BD245" s="232"/>
      <c r="BE245" s="227"/>
      <c r="BF245" s="227"/>
      <c r="BG245" s="227"/>
      <c r="BH245" s="227"/>
      <c r="BI245" s="227"/>
      <c r="BJ245" s="233"/>
      <c r="BK245" s="228"/>
      <c r="BL245" s="228"/>
      <c r="BM245" s="228"/>
      <c r="BN245" s="228"/>
      <c r="BO245" s="228"/>
      <c r="BP245" s="228"/>
      <c r="BQ245" s="228"/>
      <c r="BR245" s="228"/>
      <c r="BS245" s="228"/>
      <c r="BT245" s="228"/>
      <c r="BU245" s="228"/>
      <c r="BV245" s="228"/>
      <c r="BW245" s="229"/>
      <c r="BX245" s="229"/>
      <c r="BY245" s="229"/>
      <c r="BZ245" s="229"/>
      <c r="CA245" s="229"/>
      <c r="CB245" s="229"/>
      <c r="CC245" s="229"/>
      <c r="CD245" s="229"/>
      <c r="CE245" s="229"/>
      <c r="CF245" s="229"/>
      <c r="CG245" s="229"/>
      <c r="CH245" s="235"/>
      <c r="CI245" s="229"/>
      <c r="CJ245" s="229"/>
      <c r="CK245" s="229"/>
      <c r="CL245" s="229"/>
      <c r="CM245" s="229"/>
      <c r="CN245" s="229"/>
      <c r="CO245" s="230"/>
      <c r="CP245" s="230"/>
      <c r="CQ245" s="230"/>
      <c r="CR245" s="516"/>
      <c r="CS245" s="516"/>
      <c r="CT245" s="516"/>
      <c r="CU245" s="516"/>
      <c r="CV245" s="526"/>
      <c r="CW245" s="516"/>
      <c r="CX245" s="516"/>
      <c r="CY245" s="517"/>
      <c r="CZ245" s="230"/>
      <c r="DA245" s="582"/>
      <c r="DB245" s="582"/>
      <c r="DC245" s="651"/>
      <c r="DD245" s="227"/>
      <c r="DE245" s="227"/>
      <c r="DF245" s="227"/>
      <c r="DG245" s="227"/>
      <c r="DH245" s="227"/>
      <c r="DI245" s="227"/>
      <c r="DJ245" s="227"/>
      <c r="DK245" s="613"/>
      <c r="DL245" s="496">
        <f t="shared" si="291"/>
        <v>0</v>
      </c>
      <c r="DM245" s="120">
        <f t="shared" si="292"/>
        <v>0</v>
      </c>
      <c r="DN245" s="120">
        <f t="shared" si="293"/>
        <v>0</v>
      </c>
      <c r="DO245" s="358">
        <f t="shared" si="294"/>
        <v>0</v>
      </c>
    </row>
    <row r="246" spans="2:123" ht="32.1" hidden="1" customHeight="1" outlineLevel="1" thickBot="1" x14ac:dyDescent="0.3">
      <c r="B246" s="813"/>
      <c r="C246" s="814"/>
      <c r="D246" s="792"/>
      <c r="E246" s="772" t="s">
        <v>137</v>
      </c>
      <c r="F246" s="429" t="s">
        <v>8</v>
      </c>
      <c r="G246" s="430" t="s">
        <v>133</v>
      </c>
      <c r="H246" s="431"/>
      <c r="I246" s="971" t="s">
        <v>56</v>
      </c>
      <c r="J246" s="206"/>
      <c r="K246" s="206"/>
      <c r="L246" s="206"/>
      <c r="M246" s="206"/>
      <c r="N246" s="206"/>
      <c r="O246" s="206"/>
      <c r="P246" s="206"/>
      <c r="Q246" s="206"/>
      <c r="R246" s="206"/>
      <c r="S246" s="206"/>
      <c r="T246" s="206"/>
      <c r="U246" s="207"/>
      <c r="V246" s="207"/>
      <c r="W246" s="207"/>
      <c r="X246" s="207"/>
      <c r="Y246" s="207"/>
      <c r="Z246" s="207"/>
      <c r="AA246" s="207"/>
      <c r="AB246" s="207"/>
      <c r="AC246" s="207"/>
      <c r="AD246" s="207"/>
      <c r="AE246" s="207"/>
      <c r="AF246" s="207"/>
      <c r="AG246" s="207"/>
      <c r="AH246" s="207"/>
      <c r="AI246" s="207"/>
      <c r="AJ246" s="207"/>
      <c r="AK246" s="207"/>
      <c r="AL246" s="207"/>
      <c r="AM246" s="207"/>
      <c r="AN246" s="207"/>
      <c r="AO246" s="207"/>
      <c r="AP246" s="208"/>
      <c r="AQ246" s="208"/>
      <c r="AR246" s="208"/>
      <c r="AS246" s="208"/>
      <c r="AT246" s="208"/>
      <c r="AU246" s="209"/>
      <c r="AV246" s="209"/>
      <c r="AW246" s="209"/>
      <c r="AX246" s="209"/>
      <c r="AY246" s="209"/>
      <c r="AZ246" s="209"/>
      <c r="BA246" s="210"/>
      <c r="BB246" s="210"/>
      <c r="BC246" s="210"/>
      <c r="BD246" s="210"/>
      <c r="BE246" s="206"/>
      <c r="BF246" s="206"/>
      <c r="BG246" s="206"/>
      <c r="BH246" s="206"/>
      <c r="BI246" s="206"/>
      <c r="BJ246" s="211"/>
      <c r="BK246" s="207"/>
      <c r="BL246" s="207"/>
      <c r="BM246" s="207"/>
      <c r="BN246" s="207"/>
      <c r="BO246" s="207"/>
      <c r="BP246" s="207"/>
      <c r="BQ246" s="207"/>
      <c r="BR246" s="207"/>
      <c r="BS246" s="207"/>
      <c r="BT246" s="207"/>
      <c r="BU246" s="207"/>
      <c r="BV246" s="207"/>
      <c r="BW246" s="208"/>
      <c r="BX246" s="208"/>
      <c r="BY246" s="208"/>
      <c r="BZ246" s="208"/>
      <c r="CA246" s="208"/>
      <c r="CB246" s="208"/>
      <c r="CC246" s="208"/>
      <c r="CD246" s="208"/>
      <c r="CE246" s="208"/>
      <c r="CF246" s="208"/>
      <c r="CG246" s="208"/>
      <c r="CH246" s="212"/>
      <c r="CI246" s="208"/>
      <c r="CJ246" s="208"/>
      <c r="CK246" s="208"/>
      <c r="CL246" s="208"/>
      <c r="CM246" s="208"/>
      <c r="CN246" s="208"/>
      <c r="CO246" s="209"/>
      <c r="CP246" s="209"/>
      <c r="CQ246" s="209"/>
      <c r="CR246" s="512"/>
      <c r="CS246" s="512"/>
      <c r="CT246" s="512"/>
      <c r="CU246" s="512"/>
      <c r="CV246" s="519"/>
      <c r="CW246" s="512"/>
      <c r="CX246" s="512"/>
      <c r="CY246" s="513"/>
      <c r="CZ246" s="209"/>
      <c r="DA246" s="583"/>
      <c r="DB246" s="583"/>
      <c r="DC246" s="652"/>
      <c r="DD246" s="206"/>
      <c r="DE246" s="206"/>
      <c r="DF246" s="206"/>
      <c r="DG246" s="206"/>
      <c r="DH246" s="206"/>
      <c r="DI246" s="206"/>
      <c r="DJ246" s="206"/>
      <c r="DK246" s="611"/>
      <c r="DL246" s="494">
        <f t="shared" si="291"/>
        <v>0</v>
      </c>
      <c r="DM246" s="122">
        <f t="shared" si="292"/>
        <v>0</v>
      </c>
      <c r="DN246" s="122">
        <f t="shared" si="293"/>
        <v>0</v>
      </c>
      <c r="DO246" s="124">
        <f t="shared" si="294"/>
        <v>0</v>
      </c>
    </row>
    <row r="247" spans="2:123" ht="32.1" hidden="1" customHeight="1" outlineLevel="1" thickBot="1" x14ac:dyDescent="0.3">
      <c r="B247" s="813"/>
      <c r="C247" s="814"/>
      <c r="D247" s="792"/>
      <c r="E247" s="772"/>
      <c r="F247" s="213" t="s">
        <v>8</v>
      </c>
      <c r="G247" s="339" t="s">
        <v>133</v>
      </c>
      <c r="H247" s="341"/>
      <c r="I247" s="955" t="s">
        <v>67</v>
      </c>
      <c r="J247" s="216"/>
      <c r="K247" s="216"/>
      <c r="L247" s="216"/>
      <c r="M247" s="216"/>
      <c r="N247" s="216"/>
      <c r="O247" s="216"/>
      <c r="P247" s="216"/>
      <c r="Q247" s="216"/>
      <c r="R247" s="216"/>
      <c r="S247" s="216"/>
      <c r="T247" s="216"/>
      <c r="U247" s="217"/>
      <c r="V247" s="217"/>
      <c r="W247" s="217"/>
      <c r="X247" s="217"/>
      <c r="Y247" s="217"/>
      <c r="Z247" s="217"/>
      <c r="AA247" s="217"/>
      <c r="AB247" s="217"/>
      <c r="AC247" s="217"/>
      <c r="AD247" s="217"/>
      <c r="AE247" s="217"/>
      <c r="AF247" s="217"/>
      <c r="AG247" s="217"/>
      <c r="AH247" s="217"/>
      <c r="AI247" s="217"/>
      <c r="AJ247" s="217"/>
      <c r="AK247" s="217"/>
      <c r="AL247" s="217"/>
      <c r="AM247" s="217"/>
      <c r="AN247" s="217"/>
      <c r="AO247" s="217"/>
      <c r="AP247" s="218"/>
      <c r="AQ247" s="218"/>
      <c r="AR247" s="218"/>
      <c r="AS247" s="218"/>
      <c r="AT247" s="218"/>
      <c r="AU247" s="219"/>
      <c r="AV247" s="219"/>
      <c r="AW247" s="219"/>
      <c r="AX247" s="219"/>
      <c r="AY247" s="219"/>
      <c r="AZ247" s="219"/>
      <c r="BA247" s="220"/>
      <c r="BB247" s="220"/>
      <c r="BC247" s="220"/>
      <c r="BD247" s="220"/>
      <c r="BE247" s="216"/>
      <c r="BF247" s="216"/>
      <c r="BG247" s="216"/>
      <c r="BH247" s="216"/>
      <c r="BI247" s="216"/>
      <c r="BJ247" s="221"/>
      <c r="BK247" s="217"/>
      <c r="BL247" s="217"/>
      <c r="BM247" s="217"/>
      <c r="BN247" s="217"/>
      <c r="BO247" s="217"/>
      <c r="BP247" s="217"/>
      <c r="BQ247" s="217"/>
      <c r="BR247" s="217"/>
      <c r="BS247" s="217"/>
      <c r="BT247" s="217"/>
      <c r="BU247" s="217"/>
      <c r="BV247" s="217"/>
      <c r="BW247" s="218"/>
      <c r="BX247" s="218"/>
      <c r="BY247" s="218"/>
      <c r="BZ247" s="218"/>
      <c r="CA247" s="218"/>
      <c r="CB247" s="218"/>
      <c r="CC247" s="218"/>
      <c r="CD247" s="218"/>
      <c r="CE247" s="218"/>
      <c r="CF247" s="218"/>
      <c r="CG247" s="218"/>
      <c r="CH247" s="222"/>
      <c r="CI247" s="218"/>
      <c r="CJ247" s="218"/>
      <c r="CK247" s="218"/>
      <c r="CL247" s="218"/>
      <c r="CM247" s="218"/>
      <c r="CN247" s="218"/>
      <c r="CO247" s="219"/>
      <c r="CP247" s="219"/>
      <c r="CQ247" s="219"/>
      <c r="CR247" s="514"/>
      <c r="CS247" s="514"/>
      <c r="CT247" s="514"/>
      <c r="CU247" s="514"/>
      <c r="CV247" s="521"/>
      <c r="CW247" s="514"/>
      <c r="CX247" s="514"/>
      <c r="CY247" s="515"/>
      <c r="CZ247" s="219"/>
      <c r="DA247" s="581"/>
      <c r="DB247" s="581"/>
      <c r="DC247" s="650"/>
      <c r="DD247" s="216"/>
      <c r="DE247" s="216"/>
      <c r="DF247" s="216"/>
      <c r="DG247" s="216"/>
      <c r="DH247" s="216"/>
      <c r="DI247" s="216"/>
      <c r="DJ247" s="216"/>
      <c r="DK247" s="612"/>
      <c r="DL247" s="495">
        <f t="shared" si="291"/>
        <v>0</v>
      </c>
      <c r="DM247" s="84">
        <f t="shared" si="292"/>
        <v>0</v>
      </c>
      <c r="DN247" s="84">
        <f t="shared" si="293"/>
        <v>0</v>
      </c>
      <c r="DO247" s="125">
        <f t="shared" si="294"/>
        <v>0</v>
      </c>
    </row>
    <row r="248" spans="2:123" ht="32.1" hidden="1" customHeight="1" outlineLevel="1" thickBot="1" x14ac:dyDescent="0.3">
      <c r="B248" s="813"/>
      <c r="C248" s="814"/>
      <c r="D248" s="792"/>
      <c r="E248" s="772"/>
      <c r="F248" s="224" t="s">
        <v>8</v>
      </c>
      <c r="G248" s="432" t="s">
        <v>133</v>
      </c>
      <c r="H248" s="433"/>
      <c r="I248" s="975" t="s">
        <v>63</v>
      </c>
      <c r="J248" s="434"/>
      <c r="K248" s="434"/>
      <c r="L248" s="434"/>
      <c r="M248" s="434"/>
      <c r="N248" s="434"/>
      <c r="O248" s="434"/>
      <c r="P248" s="434"/>
      <c r="Q248" s="434"/>
      <c r="R248" s="434"/>
      <c r="S248" s="434"/>
      <c r="T248" s="434"/>
      <c r="U248" s="435"/>
      <c r="V248" s="435"/>
      <c r="W248" s="435"/>
      <c r="X248" s="435"/>
      <c r="Y248" s="435"/>
      <c r="Z248" s="435"/>
      <c r="AA248" s="435"/>
      <c r="AB248" s="435"/>
      <c r="AC248" s="435"/>
      <c r="AD248" s="435"/>
      <c r="AE248" s="435"/>
      <c r="AF248" s="435"/>
      <c r="AG248" s="435"/>
      <c r="AH248" s="435"/>
      <c r="AI248" s="435"/>
      <c r="AJ248" s="435"/>
      <c r="AK248" s="435"/>
      <c r="AL248" s="435"/>
      <c r="AM248" s="435"/>
      <c r="AN248" s="435"/>
      <c r="AO248" s="435"/>
      <c r="AP248" s="436"/>
      <c r="AQ248" s="436"/>
      <c r="AR248" s="436"/>
      <c r="AS248" s="436"/>
      <c r="AT248" s="436"/>
      <c r="AU248" s="437"/>
      <c r="AV248" s="437"/>
      <c r="AW248" s="437"/>
      <c r="AX248" s="437"/>
      <c r="AY248" s="437"/>
      <c r="AZ248" s="437"/>
      <c r="BA248" s="438"/>
      <c r="BB248" s="438"/>
      <c r="BC248" s="438"/>
      <c r="BD248" s="438"/>
      <c r="BE248" s="434"/>
      <c r="BF248" s="434"/>
      <c r="BG248" s="434"/>
      <c r="BH248" s="434"/>
      <c r="BI248" s="434"/>
      <c r="BJ248" s="439"/>
      <c r="BK248" s="435"/>
      <c r="BL248" s="435"/>
      <c r="BM248" s="435"/>
      <c r="BN248" s="435"/>
      <c r="BO248" s="435"/>
      <c r="BP248" s="435"/>
      <c r="BQ248" s="435"/>
      <c r="BR248" s="435"/>
      <c r="BS248" s="435"/>
      <c r="BT248" s="435"/>
      <c r="BU248" s="435"/>
      <c r="BV248" s="435"/>
      <c r="BW248" s="436"/>
      <c r="BX248" s="436"/>
      <c r="BY248" s="436"/>
      <c r="BZ248" s="436"/>
      <c r="CA248" s="436"/>
      <c r="CB248" s="436"/>
      <c r="CC248" s="436"/>
      <c r="CD248" s="436"/>
      <c r="CE248" s="436"/>
      <c r="CF248" s="436"/>
      <c r="CG248" s="436"/>
      <c r="CH248" s="440"/>
      <c r="CI248" s="436"/>
      <c r="CJ248" s="436"/>
      <c r="CK248" s="436"/>
      <c r="CL248" s="436"/>
      <c r="CM248" s="436"/>
      <c r="CN248" s="436"/>
      <c r="CO248" s="437"/>
      <c r="CP248" s="437"/>
      <c r="CQ248" s="437"/>
      <c r="CR248" s="522"/>
      <c r="CS248" s="522"/>
      <c r="CT248" s="522"/>
      <c r="CU248" s="522"/>
      <c r="CV248" s="560"/>
      <c r="CW248" s="522"/>
      <c r="CX248" s="522"/>
      <c r="CY248" s="523"/>
      <c r="CZ248" s="437"/>
      <c r="DA248" s="584"/>
      <c r="DB248" s="584"/>
      <c r="DC248" s="653"/>
      <c r="DD248" s="434"/>
      <c r="DE248" s="434"/>
      <c r="DF248" s="434"/>
      <c r="DG248" s="434"/>
      <c r="DH248" s="434"/>
      <c r="DI248" s="434"/>
      <c r="DJ248" s="434"/>
      <c r="DK248" s="614"/>
      <c r="DL248" s="497">
        <f t="shared" si="291"/>
        <v>0</v>
      </c>
      <c r="DM248" s="126">
        <f t="shared" si="292"/>
        <v>0</v>
      </c>
      <c r="DN248" s="126">
        <f t="shared" si="293"/>
        <v>0</v>
      </c>
      <c r="DO248" s="127">
        <f t="shared" si="294"/>
        <v>0</v>
      </c>
    </row>
    <row r="249" spans="2:123" ht="32.1" hidden="1" customHeight="1" outlineLevel="1" thickBot="1" x14ac:dyDescent="0.3">
      <c r="B249" s="813"/>
      <c r="C249" s="814"/>
      <c r="D249" s="792"/>
      <c r="E249" s="774" t="s">
        <v>138</v>
      </c>
      <c r="F249" s="328" t="s">
        <v>8</v>
      </c>
      <c r="G249" s="428" t="s">
        <v>133</v>
      </c>
      <c r="H249" s="330"/>
      <c r="I249" s="972" t="s">
        <v>179</v>
      </c>
      <c r="J249" s="331"/>
      <c r="K249" s="331"/>
      <c r="L249" s="331"/>
      <c r="M249" s="331"/>
      <c r="N249" s="331"/>
      <c r="O249" s="331"/>
      <c r="P249" s="331"/>
      <c r="Q249" s="331"/>
      <c r="R249" s="331"/>
      <c r="S249" s="331"/>
      <c r="T249" s="331"/>
      <c r="U249" s="332"/>
      <c r="V249" s="332"/>
      <c r="W249" s="332"/>
      <c r="X249" s="332"/>
      <c r="Y249" s="332"/>
      <c r="Z249" s="332"/>
      <c r="AA249" s="332"/>
      <c r="AB249" s="332"/>
      <c r="AC249" s="332"/>
      <c r="AD249" s="332"/>
      <c r="AE249" s="332"/>
      <c r="AF249" s="332"/>
      <c r="AG249" s="332"/>
      <c r="AH249" s="332"/>
      <c r="AI249" s="332"/>
      <c r="AJ249" s="332"/>
      <c r="AK249" s="332"/>
      <c r="AL249" s="332"/>
      <c r="AM249" s="332"/>
      <c r="AN249" s="332"/>
      <c r="AO249" s="332"/>
      <c r="AP249" s="333"/>
      <c r="AQ249" s="333"/>
      <c r="AR249" s="333"/>
      <c r="AS249" s="333"/>
      <c r="AT249" s="333"/>
      <c r="AU249" s="334"/>
      <c r="AV249" s="334"/>
      <c r="AW249" s="334"/>
      <c r="AX249" s="334"/>
      <c r="AY249" s="334"/>
      <c r="AZ249" s="334"/>
      <c r="BA249" s="335"/>
      <c r="BB249" s="335"/>
      <c r="BC249" s="335"/>
      <c r="BD249" s="335"/>
      <c r="BE249" s="331"/>
      <c r="BF249" s="331"/>
      <c r="BG249" s="331"/>
      <c r="BH249" s="331"/>
      <c r="BI249" s="331"/>
      <c r="BJ249" s="336"/>
      <c r="BK249" s="332"/>
      <c r="BL249" s="332"/>
      <c r="BM249" s="332"/>
      <c r="BN249" s="332"/>
      <c r="BO249" s="332"/>
      <c r="BP249" s="332"/>
      <c r="BQ249" s="332"/>
      <c r="BR249" s="332"/>
      <c r="BS249" s="332"/>
      <c r="BT249" s="332"/>
      <c r="BU249" s="332"/>
      <c r="BV249" s="332"/>
      <c r="BW249" s="333"/>
      <c r="BX249" s="333"/>
      <c r="BY249" s="333"/>
      <c r="BZ249" s="333"/>
      <c r="CA249" s="333"/>
      <c r="CB249" s="333"/>
      <c r="CC249" s="333"/>
      <c r="CD249" s="333"/>
      <c r="CE249" s="333"/>
      <c r="CF249" s="333"/>
      <c r="CG249" s="333"/>
      <c r="CH249" s="338"/>
      <c r="CI249" s="333"/>
      <c r="CJ249" s="333"/>
      <c r="CK249" s="333"/>
      <c r="CL249" s="333"/>
      <c r="CM249" s="333"/>
      <c r="CN249" s="333"/>
      <c r="CO249" s="334"/>
      <c r="CP249" s="334"/>
      <c r="CQ249" s="334"/>
      <c r="CR249" s="524"/>
      <c r="CS249" s="524"/>
      <c r="CT249" s="524"/>
      <c r="CU249" s="524"/>
      <c r="CV249" s="562"/>
      <c r="CW249" s="524"/>
      <c r="CX249" s="524"/>
      <c r="CY249" s="525"/>
      <c r="CZ249" s="334"/>
      <c r="DA249" s="585"/>
      <c r="DB249" s="585"/>
      <c r="DC249" s="654"/>
      <c r="DD249" s="331"/>
      <c r="DE249" s="331"/>
      <c r="DF249" s="331"/>
      <c r="DG249" s="331"/>
      <c r="DH249" s="331"/>
      <c r="DI249" s="331"/>
      <c r="DJ249" s="331"/>
      <c r="DK249" s="615"/>
      <c r="DL249" s="498">
        <f t="shared" si="291"/>
        <v>0</v>
      </c>
      <c r="DM249" s="121">
        <f t="shared" si="292"/>
        <v>0</v>
      </c>
      <c r="DN249" s="121">
        <f t="shared" si="293"/>
        <v>0</v>
      </c>
      <c r="DO249" s="357">
        <f t="shared" si="294"/>
        <v>0</v>
      </c>
    </row>
    <row r="250" spans="2:123" ht="32.1" hidden="1" customHeight="1" outlineLevel="1" thickBot="1" x14ac:dyDescent="0.3">
      <c r="B250" s="813"/>
      <c r="C250" s="814"/>
      <c r="D250" s="792"/>
      <c r="E250" s="772"/>
      <c r="F250" s="213" t="s">
        <v>8</v>
      </c>
      <c r="G250" s="339" t="s">
        <v>133</v>
      </c>
      <c r="H250" s="330"/>
      <c r="I250" s="969" t="s">
        <v>60</v>
      </c>
      <c r="J250" s="216"/>
      <c r="K250" s="216"/>
      <c r="L250" s="216"/>
      <c r="M250" s="216"/>
      <c r="N250" s="216"/>
      <c r="O250" s="216"/>
      <c r="P250" s="216"/>
      <c r="Q250" s="216"/>
      <c r="R250" s="216"/>
      <c r="S250" s="216"/>
      <c r="T250" s="216"/>
      <c r="U250" s="217"/>
      <c r="V250" s="217"/>
      <c r="W250" s="217"/>
      <c r="X250" s="217"/>
      <c r="Y250" s="217"/>
      <c r="Z250" s="217"/>
      <c r="AA250" s="217"/>
      <c r="AB250" s="217"/>
      <c r="AC250" s="217"/>
      <c r="AD250" s="217"/>
      <c r="AE250" s="217"/>
      <c r="AF250" s="217"/>
      <c r="AG250" s="217"/>
      <c r="AH250" s="217"/>
      <c r="AI250" s="217"/>
      <c r="AJ250" s="217"/>
      <c r="AK250" s="217"/>
      <c r="AL250" s="217"/>
      <c r="AM250" s="217"/>
      <c r="AN250" s="217"/>
      <c r="AO250" s="217"/>
      <c r="AP250" s="218"/>
      <c r="AQ250" s="218"/>
      <c r="AR250" s="218"/>
      <c r="AS250" s="218"/>
      <c r="AT250" s="218"/>
      <c r="AU250" s="219"/>
      <c r="AV250" s="219"/>
      <c r="AW250" s="219"/>
      <c r="AX250" s="219"/>
      <c r="AY250" s="219"/>
      <c r="AZ250" s="219"/>
      <c r="BA250" s="220"/>
      <c r="BB250" s="220"/>
      <c r="BC250" s="220"/>
      <c r="BD250" s="220"/>
      <c r="BE250" s="216"/>
      <c r="BF250" s="216"/>
      <c r="BG250" s="216"/>
      <c r="BH250" s="216"/>
      <c r="BI250" s="216"/>
      <c r="BJ250" s="221"/>
      <c r="BK250" s="217"/>
      <c r="BL250" s="217"/>
      <c r="BM250" s="217"/>
      <c r="BN250" s="217"/>
      <c r="BO250" s="217"/>
      <c r="BP250" s="217"/>
      <c r="BQ250" s="217"/>
      <c r="BR250" s="217"/>
      <c r="BS250" s="217"/>
      <c r="BT250" s="217"/>
      <c r="BU250" s="217"/>
      <c r="BV250" s="217"/>
      <c r="BW250" s="218"/>
      <c r="BX250" s="218"/>
      <c r="BY250" s="218"/>
      <c r="BZ250" s="218"/>
      <c r="CA250" s="218"/>
      <c r="CB250" s="218"/>
      <c r="CC250" s="218"/>
      <c r="CD250" s="218"/>
      <c r="CE250" s="218"/>
      <c r="CF250" s="218"/>
      <c r="CG250" s="218"/>
      <c r="CH250" s="222"/>
      <c r="CI250" s="218"/>
      <c r="CJ250" s="218"/>
      <c r="CK250" s="218"/>
      <c r="CL250" s="218"/>
      <c r="CM250" s="218"/>
      <c r="CN250" s="218"/>
      <c r="CO250" s="219"/>
      <c r="CP250" s="219"/>
      <c r="CQ250" s="219"/>
      <c r="CR250" s="514"/>
      <c r="CS250" s="514"/>
      <c r="CT250" s="514"/>
      <c r="CU250" s="514"/>
      <c r="CV250" s="521"/>
      <c r="CW250" s="514"/>
      <c r="CX250" s="514"/>
      <c r="CY250" s="515"/>
      <c r="CZ250" s="219"/>
      <c r="DA250" s="581"/>
      <c r="DB250" s="581"/>
      <c r="DC250" s="650"/>
      <c r="DD250" s="216"/>
      <c r="DE250" s="216"/>
      <c r="DF250" s="216"/>
      <c r="DG250" s="216"/>
      <c r="DH250" s="216"/>
      <c r="DI250" s="216"/>
      <c r="DJ250" s="216"/>
      <c r="DK250" s="612"/>
      <c r="DL250" s="495">
        <f t="shared" si="291"/>
        <v>0</v>
      </c>
      <c r="DM250" s="84">
        <f t="shared" si="292"/>
        <v>0</v>
      </c>
      <c r="DN250" s="84">
        <f t="shared" si="293"/>
        <v>0</v>
      </c>
      <c r="DO250" s="125">
        <f t="shared" si="294"/>
        <v>0</v>
      </c>
    </row>
    <row r="251" spans="2:123" ht="32.1" hidden="1" customHeight="1" outlineLevel="1" thickBot="1" x14ac:dyDescent="0.3">
      <c r="B251" s="813"/>
      <c r="C251" s="814"/>
      <c r="D251" s="792"/>
      <c r="E251" s="772"/>
      <c r="F251" s="213" t="s">
        <v>8</v>
      </c>
      <c r="G251" s="339" t="s">
        <v>133</v>
      </c>
      <c r="H251" s="330"/>
      <c r="I251" s="969"/>
      <c r="J251" s="216"/>
      <c r="K251" s="216"/>
      <c r="L251" s="216"/>
      <c r="M251" s="216"/>
      <c r="N251" s="216"/>
      <c r="O251" s="216"/>
      <c r="P251" s="216"/>
      <c r="Q251" s="216"/>
      <c r="R251" s="216"/>
      <c r="S251" s="216"/>
      <c r="T251" s="216"/>
      <c r="U251" s="217"/>
      <c r="V251" s="217"/>
      <c r="W251" s="217"/>
      <c r="X251" s="217"/>
      <c r="Y251" s="217"/>
      <c r="Z251" s="217"/>
      <c r="AA251" s="217"/>
      <c r="AB251" s="217"/>
      <c r="AC251" s="217"/>
      <c r="AD251" s="217"/>
      <c r="AE251" s="217"/>
      <c r="AF251" s="217"/>
      <c r="AG251" s="217"/>
      <c r="AH251" s="217"/>
      <c r="AI251" s="217"/>
      <c r="AJ251" s="217"/>
      <c r="AK251" s="217"/>
      <c r="AL251" s="217"/>
      <c r="AM251" s="217"/>
      <c r="AN251" s="217"/>
      <c r="AO251" s="217"/>
      <c r="AP251" s="218"/>
      <c r="AQ251" s="218"/>
      <c r="AR251" s="218"/>
      <c r="AS251" s="218"/>
      <c r="AT251" s="218"/>
      <c r="AU251" s="219"/>
      <c r="AV251" s="219"/>
      <c r="AW251" s="219"/>
      <c r="AX251" s="219"/>
      <c r="AY251" s="219"/>
      <c r="AZ251" s="219"/>
      <c r="BA251" s="220"/>
      <c r="BB251" s="220"/>
      <c r="BC251" s="220"/>
      <c r="BD251" s="220"/>
      <c r="BE251" s="216"/>
      <c r="BF251" s="216"/>
      <c r="BG251" s="216"/>
      <c r="BH251" s="216"/>
      <c r="BI251" s="216"/>
      <c r="BJ251" s="221"/>
      <c r="BK251" s="217"/>
      <c r="BL251" s="217"/>
      <c r="BM251" s="217"/>
      <c r="BN251" s="217"/>
      <c r="BO251" s="217"/>
      <c r="BP251" s="217"/>
      <c r="BQ251" s="217"/>
      <c r="BR251" s="217"/>
      <c r="BS251" s="217"/>
      <c r="BT251" s="217"/>
      <c r="BU251" s="217"/>
      <c r="BV251" s="217"/>
      <c r="BW251" s="218"/>
      <c r="BX251" s="218"/>
      <c r="BY251" s="218"/>
      <c r="BZ251" s="218"/>
      <c r="CA251" s="218"/>
      <c r="CB251" s="218"/>
      <c r="CC251" s="218"/>
      <c r="CD251" s="218"/>
      <c r="CE251" s="218"/>
      <c r="CF251" s="218"/>
      <c r="CG251" s="218"/>
      <c r="CH251" s="222"/>
      <c r="CI251" s="218"/>
      <c r="CJ251" s="218"/>
      <c r="CK251" s="218"/>
      <c r="CL251" s="218"/>
      <c r="CM251" s="218"/>
      <c r="CN251" s="218"/>
      <c r="CO251" s="219"/>
      <c r="CP251" s="219"/>
      <c r="CQ251" s="219"/>
      <c r="CR251" s="514"/>
      <c r="CS251" s="514"/>
      <c r="CT251" s="514"/>
      <c r="CU251" s="514"/>
      <c r="CV251" s="521"/>
      <c r="CW251" s="514"/>
      <c r="CX251" s="514"/>
      <c r="CY251" s="515"/>
      <c r="CZ251" s="219"/>
      <c r="DA251" s="581"/>
      <c r="DB251" s="581"/>
      <c r="DC251" s="650"/>
      <c r="DD251" s="216"/>
      <c r="DE251" s="216"/>
      <c r="DF251" s="216"/>
      <c r="DG251" s="216"/>
      <c r="DH251" s="216"/>
      <c r="DI251" s="216"/>
      <c r="DJ251" s="216"/>
      <c r="DK251" s="612"/>
      <c r="DL251" s="495">
        <f t="shared" si="291"/>
        <v>0</v>
      </c>
      <c r="DM251" s="84">
        <f t="shared" si="292"/>
        <v>0</v>
      </c>
      <c r="DN251" s="84">
        <f t="shared" si="293"/>
        <v>0</v>
      </c>
      <c r="DO251" s="125">
        <f t="shared" si="294"/>
        <v>0</v>
      </c>
    </row>
    <row r="252" spans="2:123" ht="32.1" hidden="1" customHeight="1" outlineLevel="1" thickBot="1" x14ac:dyDescent="0.3">
      <c r="B252" s="813"/>
      <c r="C252" s="814"/>
      <c r="D252" s="792"/>
      <c r="E252" s="772"/>
      <c r="F252" s="213" t="s">
        <v>8</v>
      </c>
      <c r="G252" s="339" t="s">
        <v>133</v>
      </c>
      <c r="H252" s="330"/>
      <c r="I252" s="969"/>
      <c r="J252" s="216"/>
      <c r="K252" s="216"/>
      <c r="L252" s="216"/>
      <c r="M252" s="216"/>
      <c r="N252" s="216"/>
      <c r="O252" s="216"/>
      <c r="P252" s="216"/>
      <c r="Q252" s="216"/>
      <c r="R252" s="216"/>
      <c r="S252" s="216"/>
      <c r="T252" s="216"/>
      <c r="U252" s="217"/>
      <c r="V252" s="217"/>
      <c r="W252" s="217"/>
      <c r="X252" s="217"/>
      <c r="Y252" s="217"/>
      <c r="Z252" s="217"/>
      <c r="AA252" s="217"/>
      <c r="AB252" s="217"/>
      <c r="AC252" s="217"/>
      <c r="AD252" s="217"/>
      <c r="AE252" s="217"/>
      <c r="AF252" s="217"/>
      <c r="AG252" s="217"/>
      <c r="AH252" s="217"/>
      <c r="AI252" s="217"/>
      <c r="AJ252" s="217"/>
      <c r="AK252" s="217"/>
      <c r="AL252" s="217"/>
      <c r="AM252" s="217"/>
      <c r="AN252" s="217"/>
      <c r="AO252" s="217"/>
      <c r="AP252" s="218"/>
      <c r="AQ252" s="218"/>
      <c r="AR252" s="218"/>
      <c r="AS252" s="218"/>
      <c r="AT252" s="218"/>
      <c r="AU252" s="219"/>
      <c r="AV252" s="219"/>
      <c r="AW252" s="219"/>
      <c r="AX252" s="219"/>
      <c r="AY252" s="219"/>
      <c r="AZ252" s="219"/>
      <c r="BA252" s="220"/>
      <c r="BB252" s="220"/>
      <c r="BC252" s="220"/>
      <c r="BD252" s="220"/>
      <c r="BE252" s="216"/>
      <c r="BF252" s="216"/>
      <c r="BG252" s="216"/>
      <c r="BH252" s="216"/>
      <c r="BI252" s="216"/>
      <c r="BJ252" s="221"/>
      <c r="BK252" s="217"/>
      <c r="BL252" s="217"/>
      <c r="BM252" s="217"/>
      <c r="BN252" s="217"/>
      <c r="BO252" s="217"/>
      <c r="BP252" s="217"/>
      <c r="BQ252" s="217"/>
      <c r="BR252" s="217"/>
      <c r="BS252" s="217"/>
      <c r="BT252" s="217"/>
      <c r="BU252" s="217"/>
      <c r="BV252" s="217"/>
      <c r="BW252" s="218"/>
      <c r="BX252" s="218"/>
      <c r="BY252" s="218"/>
      <c r="BZ252" s="218"/>
      <c r="CA252" s="218"/>
      <c r="CB252" s="218"/>
      <c r="CC252" s="218"/>
      <c r="CD252" s="218"/>
      <c r="CE252" s="218"/>
      <c r="CF252" s="223"/>
      <c r="CG252" s="218"/>
      <c r="CH252" s="222"/>
      <c r="CI252" s="218"/>
      <c r="CJ252" s="218"/>
      <c r="CK252" s="218"/>
      <c r="CL252" s="218"/>
      <c r="CM252" s="218"/>
      <c r="CN252" s="218"/>
      <c r="CO252" s="219"/>
      <c r="CP252" s="219"/>
      <c r="CQ252" s="219"/>
      <c r="CR252" s="514"/>
      <c r="CS252" s="514"/>
      <c r="CT252" s="514"/>
      <c r="CU252" s="514"/>
      <c r="CV252" s="514"/>
      <c r="CW252" s="514"/>
      <c r="CX252" s="514"/>
      <c r="CY252" s="515"/>
      <c r="CZ252" s="219"/>
      <c r="DA252" s="581"/>
      <c r="DB252" s="581"/>
      <c r="DC252" s="650"/>
      <c r="DD252" s="216"/>
      <c r="DE252" s="216"/>
      <c r="DF252" s="216"/>
      <c r="DG252" s="216"/>
      <c r="DH252" s="216"/>
      <c r="DI252" s="216"/>
      <c r="DJ252" s="216"/>
      <c r="DK252" s="612"/>
      <c r="DL252" s="497">
        <f t="shared" si="291"/>
        <v>0</v>
      </c>
      <c r="DM252" s="126">
        <f t="shared" si="292"/>
        <v>0</v>
      </c>
      <c r="DN252" s="126">
        <f t="shared" si="293"/>
        <v>0</v>
      </c>
      <c r="DO252" s="127">
        <f t="shared" si="294"/>
        <v>0</v>
      </c>
    </row>
    <row r="253" spans="2:123" s="834" customFormat="1" ht="16.5" hidden="1" customHeight="1" outlineLevel="1" thickBot="1" x14ac:dyDescent="0.35">
      <c r="B253" s="813"/>
      <c r="C253" s="814"/>
      <c r="D253" s="819"/>
      <c r="E253" s="820" t="s">
        <v>254</v>
      </c>
      <c r="F253" s="821"/>
      <c r="G253" s="822"/>
      <c r="H253" s="823"/>
      <c r="I253" s="903"/>
      <c r="J253" s="824">
        <f>SUM(J243:J252)</f>
        <v>0</v>
      </c>
      <c r="K253" s="824">
        <f t="shared" ref="K253:CL253" si="295">SUM(K243:K252)</f>
        <v>0</v>
      </c>
      <c r="L253" s="824">
        <f t="shared" si="295"/>
        <v>0</v>
      </c>
      <c r="M253" s="824">
        <f t="shared" si="295"/>
        <v>0</v>
      </c>
      <c r="N253" s="824">
        <f t="shared" si="295"/>
        <v>0</v>
      </c>
      <c r="O253" s="824">
        <f t="shared" si="295"/>
        <v>0</v>
      </c>
      <c r="P253" s="824">
        <f t="shared" si="295"/>
        <v>0</v>
      </c>
      <c r="Q253" s="824">
        <f t="shared" si="295"/>
        <v>0</v>
      </c>
      <c r="R253" s="824">
        <f t="shared" si="295"/>
        <v>0</v>
      </c>
      <c r="S253" s="824">
        <f t="shared" si="295"/>
        <v>0</v>
      </c>
      <c r="T253" s="824">
        <f t="shared" si="295"/>
        <v>0</v>
      </c>
      <c r="U253" s="825">
        <f t="shared" si="295"/>
        <v>0</v>
      </c>
      <c r="V253" s="825">
        <f t="shared" si="295"/>
        <v>0</v>
      </c>
      <c r="W253" s="825">
        <f t="shared" si="295"/>
        <v>0</v>
      </c>
      <c r="X253" s="825">
        <f t="shared" si="295"/>
        <v>0</v>
      </c>
      <c r="Y253" s="825">
        <f t="shared" si="295"/>
        <v>0</v>
      </c>
      <c r="Z253" s="825">
        <f t="shared" si="295"/>
        <v>0</v>
      </c>
      <c r="AA253" s="825">
        <f t="shared" si="295"/>
        <v>0</v>
      </c>
      <c r="AB253" s="825">
        <f t="shared" ref="AB253:AD253" si="296">SUM(AB243:AB252)</f>
        <v>0</v>
      </c>
      <c r="AC253" s="825">
        <f t="shared" si="296"/>
        <v>0</v>
      </c>
      <c r="AD253" s="825">
        <f t="shared" si="296"/>
        <v>0</v>
      </c>
      <c r="AE253" s="825">
        <f t="shared" si="295"/>
        <v>0</v>
      </c>
      <c r="AF253" s="825">
        <f t="shared" si="295"/>
        <v>0</v>
      </c>
      <c r="AG253" s="825">
        <f t="shared" si="295"/>
        <v>0</v>
      </c>
      <c r="AH253" s="825">
        <f t="shared" si="295"/>
        <v>0</v>
      </c>
      <c r="AI253" s="825">
        <f t="shared" ref="AI253:AO253" si="297">SUM(AI243:AI252)</f>
        <v>0</v>
      </c>
      <c r="AJ253" s="825">
        <f t="shared" si="297"/>
        <v>0</v>
      </c>
      <c r="AK253" s="825">
        <f t="shared" si="297"/>
        <v>0</v>
      </c>
      <c r="AL253" s="825">
        <f t="shared" si="297"/>
        <v>0</v>
      </c>
      <c r="AM253" s="825">
        <f t="shared" si="297"/>
        <v>0</v>
      </c>
      <c r="AN253" s="825">
        <f t="shared" si="297"/>
        <v>0</v>
      </c>
      <c r="AO253" s="825">
        <f t="shared" si="297"/>
        <v>0</v>
      </c>
      <c r="AP253" s="826">
        <f t="shared" si="295"/>
        <v>0</v>
      </c>
      <c r="AQ253" s="826">
        <f t="shared" ref="AQ253" si="298">SUM(AQ243:AQ252)</f>
        <v>0</v>
      </c>
      <c r="AR253" s="826">
        <f t="shared" si="295"/>
        <v>0</v>
      </c>
      <c r="AS253" s="826">
        <f t="shared" si="295"/>
        <v>0</v>
      </c>
      <c r="AT253" s="826">
        <f t="shared" si="295"/>
        <v>0</v>
      </c>
      <c r="AU253" s="827">
        <f t="shared" si="295"/>
        <v>0</v>
      </c>
      <c r="AV253" s="827">
        <f t="shared" si="295"/>
        <v>0</v>
      </c>
      <c r="AW253" s="827">
        <f t="shared" si="295"/>
        <v>0</v>
      </c>
      <c r="AX253" s="827">
        <f t="shared" ref="AX253:AY253" si="299">SUM(AX243:AX252)</f>
        <v>0</v>
      </c>
      <c r="AY253" s="827">
        <f t="shared" si="299"/>
        <v>0</v>
      </c>
      <c r="AZ253" s="827">
        <f t="shared" si="295"/>
        <v>0</v>
      </c>
      <c r="BA253" s="828">
        <f t="shared" si="295"/>
        <v>0</v>
      </c>
      <c r="BB253" s="828">
        <f t="shared" si="295"/>
        <v>0</v>
      </c>
      <c r="BC253" s="828">
        <f t="shared" si="295"/>
        <v>0</v>
      </c>
      <c r="BD253" s="828">
        <f t="shared" si="295"/>
        <v>0</v>
      </c>
      <c r="BE253" s="824">
        <f t="shared" si="295"/>
        <v>0</v>
      </c>
      <c r="BF253" s="824">
        <f t="shared" si="295"/>
        <v>0</v>
      </c>
      <c r="BG253" s="824">
        <f t="shared" si="295"/>
        <v>0</v>
      </c>
      <c r="BH253" s="824">
        <f t="shared" si="295"/>
        <v>0</v>
      </c>
      <c r="BI253" s="824">
        <f t="shared" si="295"/>
        <v>0</v>
      </c>
      <c r="BJ253" s="824">
        <f t="shared" si="295"/>
        <v>0</v>
      </c>
      <c r="BK253" s="825">
        <f t="shared" si="295"/>
        <v>0</v>
      </c>
      <c r="BL253" s="825">
        <f t="shared" si="295"/>
        <v>0</v>
      </c>
      <c r="BM253" s="825">
        <f t="shared" si="295"/>
        <v>0</v>
      </c>
      <c r="BN253" s="825">
        <f t="shared" si="295"/>
        <v>0</v>
      </c>
      <c r="BO253" s="825">
        <f t="shared" si="295"/>
        <v>0</v>
      </c>
      <c r="BP253" s="825">
        <f t="shared" si="295"/>
        <v>0</v>
      </c>
      <c r="BQ253" s="825">
        <f t="shared" si="295"/>
        <v>0</v>
      </c>
      <c r="BR253" s="825">
        <f t="shared" ref="BR253" si="300">SUM(BR243:BR252)</f>
        <v>0</v>
      </c>
      <c r="BS253" s="825">
        <f t="shared" ref="BS253" si="301">SUM(BS243:BS252)</f>
        <v>0</v>
      </c>
      <c r="BT253" s="825">
        <f t="shared" si="295"/>
        <v>0</v>
      </c>
      <c r="BU253" s="825">
        <f t="shared" si="295"/>
        <v>0</v>
      </c>
      <c r="BV253" s="825">
        <f t="shared" si="295"/>
        <v>0</v>
      </c>
      <c r="BW253" s="826">
        <f t="shared" si="295"/>
        <v>0</v>
      </c>
      <c r="BX253" s="826">
        <f t="shared" si="295"/>
        <v>0</v>
      </c>
      <c r="BY253" s="826">
        <f t="shared" si="295"/>
        <v>0</v>
      </c>
      <c r="BZ253" s="826">
        <f t="shared" si="295"/>
        <v>0</v>
      </c>
      <c r="CA253" s="826">
        <f t="shared" si="295"/>
        <v>0</v>
      </c>
      <c r="CB253" s="826">
        <f t="shared" ref="CB253" si="302">SUM(CB243:CB252)</f>
        <v>0</v>
      </c>
      <c r="CC253" s="826">
        <f t="shared" si="295"/>
        <v>0</v>
      </c>
      <c r="CD253" s="826">
        <f t="shared" si="295"/>
        <v>0</v>
      </c>
      <c r="CE253" s="826">
        <f t="shared" si="295"/>
        <v>0</v>
      </c>
      <c r="CF253" s="826">
        <f t="shared" si="295"/>
        <v>0</v>
      </c>
      <c r="CG253" s="826">
        <f t="shared" si="295"/>
        <v>0</v>
      </c>
      <c r="CH253" s="826">
        <f t="shared" si="295"/>
        <v>0</v>
      </c>
      <c r="CI253" s="826">
        <f t="shared" si="295"/>
        <v>0</v>
      </c>
      <c r="CJ253" s="826">
        <f t="shared" si="295"/>
        <v>0</v>
      </c>
      <c r="CK253" s="826">
        <f t="shared" si="295"/>
        <v>0</v>
      </c>
      <c r="CL253" s="826">
        <f t="shared" si="295"/>
        <v>0</v>
      </c>
      <c r="CM253" s="826">
        <f t="shared" ref="CM253:DO253" si="303">SUM(CM243:CM252)</f>
        <v>0</v>
      </c>
      <c r="CN253" s="826">
        <f t="shared" si="303"/>
        <v>0</v>
      </c>
      <c r="CO253" s="827">
        <f t="shared" si="303"/>
        <v>0</v>
      </c>
      <c r="CP253" s="827">
        <f t="shared" si="303"/>
        <v>0</v>
      </c>
      <c r="CQ253" s="827">
        <f t="shared" si="303"/>
        <v>0</v>
      </c>
      <c r="CR253" s="827">
        <f t="shared" si="303"/>
        <v>0</v>
      </c>
      <c r="CS253" s="827">
        <f t="shared" si="303"/>
        <v>0</v>
      </c>
      <c r="CT253" s="827">
        <f t="shared" si="303"/>
        <v>0</v>
      </c>
      <c r="CU253" s="827">
        <f t="shared" si="303"/>
        <v>0</v>
      </c>
      <c r="CV253" s="827">
        <f t="shared" si="303"/>
        <v>0</v>
      </c>
      <c r="CW253" s="827">
        <f t="shared" si="303"/>
        <v>0</v>
      </c>
      <c r="CX253" s="827">
        <f t="shared" si="303"/>
        <v>0</v>
      </c>
      <c r="CY253" s="827">
        <f t="shared" si="303"/>
        <v>0</v>
      </c>
      <c r="CZ253" s="827">
        <f t="shared" si="303"/>
        <v>0</v>
      </c>
      <c r="DA253" s="827">
        <f t="shared" si="303"/>
        <v>0</v>
      </c>
      <c r="DB253" s="827">
        <f t="shared" si="303"/>
        <v>0</v>
      </c>
      <c r="DC253" s="824">
        <f t="shared" si="303"/>
        <v>0</v>
      </c>
      <c r="DD253" s="824">
        <f t="shared" si="303"/>
        <v>0</v>
      </c>
      <c r="DE253" s="824">
        <f t="shared" si="303"/>
        <v>0</v>
      </c>
      <c r="DF253" s="824">
        <f t="shared" si="303"/>
        <v>0</v>
      </c>
      <c r="DG253" s="824">
        <f t="shared" si="303"/>
        <v>0</v>
      </c>
      <c r="DH253" s="824">
        <f t="shared" si="303"/>
        <v>0</v>
      </c>
      <c r="DI253" s="824">
        <f t="shared" si="303"/>
        <v>0</v>
      </c>
      <c r="DJ253" s="824">
        <f t="shared" si="303"/>
        <v>0</v>
      </c>
      <c r="DK253" s="829">
        <f t="shared" si="303"/>
        <v>0</v>
      </c>
      <c r="DL253" s="830">
        <f t="shared" si="303"/>
        <v>0</v>
      </c>
      <c r="DM253" s="831">
        <f t="shared" si="303"/>
        <v>0</v>
      </c>
      <c r="DN253" s="831">
        <f t="shared" si="303"/>
        <v>0</v>
      </c>
      <c r="DO253" s="832">
        <f t="shared" si="303"/>
        <v>0</v>
      </c>
      <c r="DP253" s="833"/>
      <c r="DQ253" s="833"/>
      <c r="DR253" s="833"/>
      <c r="DS253" s="833"/>
    </row>
    <row r="254" spans="2:123" ht="32.1" hidden="1" customHeight="1" outlineLevel="1" thickBot="1" x14ac:dyDescent="0.3">
      <c r="B254" s="813"/>
      <c r="C254" s="814"/>
      <c r="D254" s="796" t="s">
        <v>134</v>
      </c>
      <c r="E254" s="776" t="s">
        <v>135</v>
      </c>
      <c r="F254" s="246" t="s">
        <v>8</v>
      </c>
      <c r="G254" s="248" t="s">
        <v>134</v>
      </c>
      <c r="H254" s="359"/>
      <c r="I254" s="929" t="s">
        <v>238</v>
      </c>
      <c r="J254" s="249"/>
      <c r="K254" s="249"/>
      <c r="L254" s="249"/>
      <c r="M254" s="249"/>
      <c r="N254" s="249"/>
      <c r="O254" s="249"/>
      <c r="P254" s="249"/>
      <c r="Q254" s="249"/>
      <c r="R254" s="249"/>
      <c r="S254" s="249"/>
      <c r="T254" s="249"/>
      <c r="U254" s="250"/>
      <c r="V254" s="250"/>
      <c r="W254" s="250"/>
      <c r="X254" s="250"/>
      <c r="Y254" s="250"/>
      <c r="Z254" s="250"/>
      <c r="AA254" s="250"/>
      <c r="AB254" s="250"/>
      <c r="AC254" s="250"/>
      <c r="AD254" s="250"/>
      <c r="AE254" s="250"/>
      <c r="AF254" s="250"/>
      <c r="AG254" s="250"/>
      <c r="AH254" s="250"/>
      <c r="AI254" s="250"/>
      <c r="AJ254" s="250"/>
      <c r="AK254" s="250"/>
      <c r="AL254" s="250"/>
      <c r="AM254" s="250"/>
      <c r="AN254" s="250"/>
      <c r="AO254" s="250"/>
      <c r="AP254" s="251"/>
      <c r="AQ254" s="251"/>
      <c r="AR254" s="251"/>
      <c r="AS254" s="251"/>
      <c r="AT254" s="251"/>
      <c r="AU254" s="252"/>
      <c r="AV254" s="252"/>
      <c r="AW254" s="252"/>
      <c r="AX254" s="252"/>
      <c r="AY254" s="252"/>
      <c r="AZ254" s="252"/>
      <c r="BA254" s="253"/>
      <c r="BB254" s="253"/>
      <c r="BC254" s="253"/>
      <c r="BD254" s="253"/>
      <c r="BE254" s="249"/>
      <c r="BF254" s="249"/>
      <c r="BG254" s="249"/>
      <c r="BH254" s="249"/>
      <c r="BI254" s="249"/>
      <c r="BJ254" s="254"/>
      <c r="BK254" s="362"/>
      <c r="BL254" s="250"/>
      <c r="BM254" s="250"/>
      <c r="BN254" s="250"/>
      <c r="BO254" s="250"/>
      <c r="BP254" s="250"/>
      <c r="BQ254" s="250"/>
      <c r="BR254" s="250"/>
      <c r="BS254" s="250"/>
      <c r="BT254" s="250"/>
      <c r="BU254" s="250"/>
      <c r="BV254" s="250"/>
      <c r="BW254" s="251"/>
      <c r="BX254" s="251"/>
      <c r="BY254" s="251"/>
      <c r="BZ254" s="251"/>
      <c r="CA254" s="251"/>
      <c r="CB254" s="251"/>
      <c r="CC254" s="251"/>
      <c r="CD254" s="251"/>
      <c r="CE254" s="251"/>
      <c r="CF254" s="251"/>
      <c r="CG254" s="251"/>
      <c r="CH254" s="255"/>
      <c r="CI254" s="251"/>
      <c r="CJ254" s="251"/>
      <c r="CK254" s="251"/>
      <c r="CL254" s="251"/>
      <c r="CM254" s="251"/>
      <c r="CN254" s="251"/>
      <c r="CO254" s="252"/>
      <c r="CP254" s="252"/>
      <c r="CQ254" s="252"/>
      <c r="CR254" s="529"/>
      <c r="CS254" s="252"/>
      <c r="CT254" s="564"/>
      <c r="CU254" s="529"/>
      <c r="CV254" s="529"/>
      <c r="CW254" s="529"/>
      <c r="CX254" s="529"/>
      <c r="CY254" s="530"/>
      <c r="CZ254" s="252"/>
      <c r="DA254" s="586"/>
      <c r="DB254" s="586"/>
      <c r="DC254" s="655"/>
      <c r="DD254" s="249"/>
      <c r="DE254" s="249"/>
      <c r="DF254" s="249"/>
      <c r="DG254" s="249"/>
      <c r="DH254" s="249"/>
      <c r="DI254" s="249"/>
      <c r="DJ254" s="249"/>
      <c r="DK254" s="617"/>
      <c r="DL254" s="495">
        <f t="shared" ref="DL254:DL267" si="304">SUM(J254:S254)*5+SUM(V254:AF254)+AH254*4+U254*2.5+AG254/0.75</f>
        <v>0</v>
      </c>
      <c r="DM254" s="84">
        <f t="shared" ref="DM254:DM267" si="305">SUM(J254:DK254)</f>
        <v>0</v>
      </c>
      <c r="DN254" s="84">
        <f t="shared" ref="DN254:DN267" si="306">SUM(BK254:BV254,)</f>
        <v>0</v>
      </c>
      <c r="DO254" s="125">
        <f t="shared" ref="DO254:DO267" si="307">SUM(AT254:AV254)+SUM(AW254:AZ254)*5</f>
        <v>0</v>
      </c>
    </row>
    <row r="255" spans="2:123" ht="32.1" hidden="1" customHeight="1" outlineLevel="1" thickBot="1" x14ac:dyDescent="0.3">
      <c r="B255" s="813"/>
      <c r="C255" s="814"/>
      <c r="D255" s="804"/>
      <c r="E255" s="776"/>
      <c r="F255" s="246" t="s">
        <v>8</v>
      </c>
      <c r="G255" s="248" t="s">
        <v>134</v>
      </c>
      <c r="H255" s="359"/>
      <c r="I255" s="929"/>
      <c r="J255" s="249"/>
      <c r="K255" s="249"/>
      <c r="L255" s="249"/>
      <c r="M255" s="249"/>
      <c r="N255" s="249"/>
      <c r="O255" s="249"/>
      <c r="P255" s="249"/>
      <c r="Q255" s="249"/>
      <c r="R255" s="249"/>
      <c r="S255" s="249"/>
      <c r="T255" s="249"/>
      <c r="U255" s="250"/>
      <c r="V255" s="250"/>
      <c r="W255" s="250"/>
      <c r="X255" s="250"/>
      <c r="Y255" s="250"/>
      <c r="Z255" s="250"/>
      <c r="AA255" s="250"/>
      <c r="AB255" s="250"/>
      <c r="AC255" s="250"/>
      <c r="AD255" s="250"/>
      <c r="AE255" s="250"/>
      <c r="AF255" s="250"/>
      <c r="AG255" s="250"/>
      <c r="AH255" s="250"/>
      <c r="AI255" s="250"/>
      <c r="AJ255" s="250"/>
      <c r="AK255" s="250"/>
      <c r="AL255" s="250"/>
      <c r="AM255" s="250"/>
      <c r="AN255" s="250"/>
      <c r="AO255" s="250"/>
      <c r="AP255" s="251"/>
      <c r="AQ255" s="251"/>
      <c r="AR255" s="251"/>
      <c r="AS255" s="251"/>
      <c r="AT255" s="251"/>
      <c r="AU255" s="252"/>
      <c r="AV255" s="252"/>
      <c r="AW255" s="252"/>
      <c r="AX255" s="252"/>
      <c r="AY255" s="252"/>
      <c r="AZ255" s="252"/>
      <c r="BA255" s="253"/>
      <c r="BB255" s="253"/>
      <c r="BC255" s="253"/>
      <c r="BD255" s="253"/>
      <c r="BE255" s="249"/>
      <c r="BF255" s="249"/>
      <c r="BG255" s="249"/>
      <c r="BH255" s="249"/>
      <c r="BI255" s="249"/>
      <c r="BJ255" s="254"/>
      <c r="BK255" s="250"/>
      <c r="BL255" s="250"/>
      <c r="BM255" s="250"/>
      <c r="BN255" s="250"/>
      <c r="BO255" s="250"/>
      <c r="BP255" s="250"/>
      <c r="BQ255" s="250"/>
      <c r="BR255" s="250"/>
      <c r="BS255" s="250"/>
      <c r="BT255" s="250"/>
      <c r="BU255" s="250"/>
      <c r="BV255" s="250"/>
      <c r="BW255" s="251"/>
      <c r="BX255" s="251"/>
      <c r="BY255" s="251"/>
      <c r="BZ255" s="251"/>
      <c r="CA255" s="251"/>
      <c r="CB255" s="251"/>
      <c r="CC255" s="251"/>
      <c r="CD255" s="251"/>
      <c r="CE255" s="251"/>
      <c r="CF255" s="251"/>
      <c r="CG255" s="251"/>
      <c r="CH255" s="255"/>
      <c r="CI255" s="251"/>
      <c r="CJ255" s="251"/>
      <c r="CK255" s="251"/>
      <c r="CL255" s="251"/>
      <c r="CM255" s="251"/>
      <c r="CN255" s="251"/>
      <c r="CO255" s="252"/>
      <c r="CP255" s="252"/>
      <c r="CQ255" s="597"/>
      <c r="CR255" s="529"/>
      <c r="CS255" s="529"/>
      <c r="CT255" s="529"/>
      <c r="CU255" s="529"/>
      <c r="CV255" s="529"/>
      <c r="CW255" s="529"/>
      <c r="CX255" s="529"/>
      <c r="CY255" s="530"/>
      <c r="CZ255" s="252"/>
      <c r="DA255" s="586"/>
      <c r="DB255" s="586"/>
      <c r="DC255" s="655"/>
      <c r="DD255" s="637"/>
      <c r="DE255" s="637"/>
      <c r="DF255" s="637"/>
      <c r="DG255" s="637"/>
      <c r="DH255" s="637"/>
      <c r="DI255" s="637"/>
      <c r="DJ255" s="637"/>
      <c r="DK255" s="617"/>
      <c r="DL255" s="495">
        <f t="shared" si="304"/>
        <v>0</v>
      </c>
      <c r="DM255" s="84">
        <f t="shared" si="305"/>
        <v>0</v>
      </c>
      <c r="DN255" s="84">
        <f t="shared" si="306"/>
        <v>0</v>
      </c>
      <c r="DO255" s="125">
        <f t="shared" si="307"/>
        <v>0</v>
      </c>
    </row>
    <row r="256" spans="2:123" ht="32.1" hidden="1" customHeight="1" outlineLevel="1" thickBot="1" x14ac:dyDescent="0.3">
      <c r="B256" s="813"/>
      <c r="C256" s="814"/>
      <c r="D256" s="804"/>
      <c r="E256" s="777"/>
      <c r="F256" s="400" t="s">
        <v>8</v>
      </c>
      <c r="G256" s="401" t="s">
        <v>134</v>
      </c>
      <c r="H256" s="359"/>
      <c r="I256" s="925"/>
      <c r="J256" s="261"/>
      <c r="K256" s="261"/>
      <c r="L256" s="261"/>
      <c r="M256" s="261"/>
      <c r="N256" s="261"/>
      <c r="O256" s="261"/>
      <c r="P256" s="261"/>
      <c r="Q256" s="261"/>
      <c r="R256" s="261"/>
      <c r="S256" s="261"/>
      <c r="T256" s="261"/>
      <c r="U256" s="262"/>
      <c r="V256" s="262"/>
      <c r="W256" s="262"/>
      <c r="X256" s="262"/>
      <c r="Y256" s="262"/>
      <c r="Z256" s="262"/>
      <c r="AA256" s="262"/>
      <c r="AB256" s="262"/>
      <c r="AC256" s="262"/>
      <c r="AD256" s="262"/>
      <c r="AE256" s="262"/>
      <c r="AF256" s="262"/>
      <c r="AG256" s="262"/>
      <c r="AH256" s="262"/>
      <c r="AI256" s="262"/>
      <c r="AJ256" s="262"/>
      <c r="AK256" s="262"/>
      <c r="AL256" s="262"/>
      <c r="AM256" s="262"/>
      <c r="AN256" s="262"/>
      <c r="AO256" s="262"/>
      <c r="AP256" s="263"/>
      <c r="AQ256" s="263"/>
      <c r="AR256" s="263"/>
      <c r="AS256" s="263"/>
      <c r="AT256" s="263"/>
      <c r="AU256" s="264"/>
      <c r="AV256" s="264"/>
      <c r="AW256" s="264"/>
      <c r="AX256" s="264"/>
      <c r="AY256" s="264"/>
      <c r="AZ256" s="264"/>
      <c r="BA256" s="265"/>
      <c r="BB256" s="265"/>
      <c r="BC256" s="265"/>
      <c r="BD256" s="265"/>
      <c r="BE256" s="261"/>
      <c r="BF256" s="261"/>
      <c r="BG256" s="261"/>
      <c r="BH256" s="261"/>
      <c r="BI256" s="261"/>
      <c r="BJ256" s="266"/>
      <c r="BK256" s="262"/>
      <c r="BL256" s="262"/>
      <c r="BM256" s="262"/>
      <c r="BN256" s="262"/>
      <c r="BO256" s="262"/>
      <c r="BP256" s="262"/>
      <c r="BQ256" s="262"/>
      <c r="BR256" s="262"/>
      <c r="BS256" s="262"/>
      <c r="BT256" s="262"/>
      <c r="BU256" s="262"/>
      <c r="BV256" s="262"/>
      <c r="BW256" s="263"/>
      <c r="BX256" s="263"/>
      <c r="BY256" s="263"/>
      <c r="BZ256" s="263"/>
      <c r="CA256" s="263"/>
      <c r="CB256" s="263"/>
      <c r="CC256" s="263"/>
      <c r="CD256" s="263"/>
      <c r="CE256" s="263"/>
      <c r="CF256" s="263"/>
      <c r="CG256" s="263"/>
      <c r="CH256" s="267"/>
      <c r="CI256" s="263"/>
      <c r="CJ256" s="263"/>
      <c r="CK256" s="263"/>
      <c r="CL256" s="263"/>
      <c r="CM256" s="263"/>
      <c r="CN256" s="263"/>
      <c r="CO256" s="264"/>
      <c r="CP256" s="264"/>
      <c r="CQ256" s="264"/>
      <c r="CR256" s="531"/>
      <c r="CS256" s="531"/>
      <c r="CT256" s="531"/>
      <c r="CU256" s="565"/>
      <c r="CV256" s="531"/>
      <c r="CW256" s="531"/>
      <c r="CX256" s="531"/>
      <c r="CY256" s="532"/>
      <c r="CZ256" s="264"/>
      <c r="DA256" s="598"/>
      <c r="DB256" s="598"/>
      <c r="DC256" s="459"/>
      <c r="DD256" s="627"/>
      <c r="DE256" s="627"/>
      <c r="DF256" s="627"/>
      <c r="DG256" s="627"/>
      <c r="DH256" s="627"/>
      <c r="DI256" s="627"/>
      <c r="DJ256" s="627"/>
      <c r="DK256" s="618"/>
      <c r="DL256" s="496">
        <f t="shared" si="304"/>
        <v>0</v>
      </c>
      <c r="DM256" s="120">
        <f t="shared" si="305"/>
        <v>0</v>
      </c>
      <c r="DN256" s="120">
        <f t="shared" si="306"/>
        <v>0</v>
      </c>
      <c r="DO256" s="358">
        <f t="shared" si="307"/>
        <v>0</v>
      </c>
    </row>
    <row r="257" spans="2:123" ht="32.1" hidden="1" customHeight="1" outlineLevel="1" thickBot="1" x14ac:dyDescent="0.3">
      <c r="B257" s="813"/>
      <c r="C257" s="814"/>
      <c r="D257" s="804"/>
      <c r="E257" s="776" t="s">
        <v>136</v>
      </c>
      <c r="F257" s="236" t="s">
        <v>8</v>
      </c>
      <c r="G257" s="238" t="s">
        <v>134</v>
      </c>
      <c r="H257" s="425"/>
      <c r="I257" s="922" t="s">
        <v>152</v>
      </c>
      <c r="J257" s="407"/>
      <c r="K257" s="407"/>
      <c r="L257" s="407"/>
      <c r="M257" s="407"/>
      <c r="N257" s="407"/>
      <c r="O257" s="407"/>
      <c r="P257" s="407"/>
      <c r="Q257" s="407"/>
      <c r="R257" s="407"/>
      <c r="S257" s="407"/>
      <c r="T257" s="407"/>
      <c r="U257" s="408"/>
      <c r="V257" s="408"/>
      <c r="W257" s="408"/>
      <c r="X257" s="408"/>
      <c r="Y257" s="408"/>
      <c r="Z257" s="408"/>
      <c r="AA257" s="408"/>
      <c r="AB257" s="408"/>
      <c r="AC257" s="408"/>
      <c r="AD257" s="408"/>
      <c r="AE257" s="408"/>
      <c r="AF257" s="408"/>
      <c r="AG257" s="408"/>
      <c r="AH257" s="408"/>
      <c r="AI257" s="408"/>
      <c r="AJ257" s="408"/>
      <c r="AK257" s="408"/>
      <c r="AL257" s="408"/>
      <c r="AM257" s="408"/>
      <c r="AN257" s="408"/>
      <c r="AO257" s="408"/>
      <c r="AP257" s="409"/>
      <c r="AQ257" s="409"/>
      <c r="AR257" s="409"/>
      <c r="AS257" s="409"/>
      <c r="AT257" s="409"/>
      <c r="AU257" s="410"/>
      <c r="AV257" s="410"/>
      <c r="AW257" s="410"/>
      <c r="AX257" s="410"/>
      <c r="AY257" s="410"/>
      <c r="AZ257" s="410"/>
      <c r="BA257" s="411"/>
      <c r="BB257" s="411"/>
      <c r="BC257" s="411"/>
      <c r="BD257" s="411"/>
      <c r="BE257" s="407"/>
      <c r="BF257" s="407"/>
      <c r="BG257" s="407"/>
      <c r="BH257" s="407"/>
      <c r="BI257" s="407"/>
      <c r="BJ257" s="412"/>
      <c r="BK257" s="408"/>
      <c r="BL257" s="408"/>
      <c r="BM257" s="408"/>
      <c r="BN257" s="408"/>
      <c r="BO257" s="408"/>
      <c r="BP257" s="408"/>
      <c r="BQ257" s="408"/>
      <c r="BR257" s="408"/>
      <c r="BS257" s="408"/>
      <c r="BT257" s="408"/>
      <c r="BU257" s="408"/>
      <c r="BV257" s="408"/>
      <c r="BW257" s="409"/>
      <c r="BX257" s="409"/>
      <c r="BY257" s="409"/>
      <c r="BZ257" s="409"/>
      <c r="CA257" s="409"/>
      <c r="CB257" s="409"/>
      <c r="CC257" s="409"/>
      <c r="CD257" s="409"/>
      <c r="CE257" s="409"/>
      <c r="CF257" s="409"/>
      <c r="CG257" s="409"/>
      <c r="CH257" s="414"/>
      <c r="CI257" s="409"/>
      <c r="CJ257" s="409"/>
      <c r="CK257" s="409"/>
      <c r="CL257" s="409"/>
      <c r="CM257" s="409"/>
      <c r="CN257" s="409"/>
      <c r="CO257" s="410"/>
      <c r="CP257" s="410"/>
      <c r="CQ257" s="410"/>
      <c r="CR257" s="533"/>
      <c r="CS257" s="533"/>
      <c r="CT257" s="533"/>
      <c r="CU257" s="533"/>
      <c r="CV257" s="533"/>
      <c r="CW257" s="533"/>
      <c r="CX257" s="533"/>
      <c r="CY257" s="534"/>
      <c r="CZ257" s="410"/>
      <c r="DA257" s="588"/>
      <c r="DB257" s="588"/>
      <c r="DC257" s="657"/>
      <c r="DD257" s="638"/>
      <c r="DE257" s="638"/>
      <c r="DF257" s="638"/>
      <c r="DG257" s="638"/>
      <c r="DH257" s="638"/>
      <c r="DI257" s="638"/>
      <c r="DJ257" s="638"/>
      <c r="DK257" s="619"/>
      <c r="DL257" s="494">
        <f t="shared" si="304"/>
        <v>0</v>
      </c>
      <c r="DM257" s="122">
        <f t="shared" si="305"/>
        <v>0</v>
      </c>
      <c r="DN257" s="122">
        <f t="shared" si="306"/>
        <v>0</v>
      </c>
      <c r="DO257" s="124">
        <f t="shared" si="307"/>
        <v>0</v>
      </c>
    </row>
    <row r="258" spans="2:123" ht="32.1" hidden="1" customHeight="1" outlineLevel="1" thickBot="1" x14ac:dyDescent="0.3">
      <c r="B258" s="813"/>
      <c r="C258" s="814"/>
      <c r="D258" s="804"/>
      <c r="E258" s="776"/>
      <c r="F258" s="246" t="s">
        <v>8</v>
      </c>
      <c r="G258" s="248" t="s">
        <v>134</v>
      </c>
      <c r="H258" s="359"/>
      <c r="I258" s="929" t="s">
        <v>56</v>
      </c>
      <c r="J258" s="249"/>
      <c r="K258" s="249"/>
      <c r="L258" s="249"/>
      <c r="M258" s="249"/>
      <c r="N258" s="249"/>
      <c r="O258" s="249"/>
      <c r="P258" s="249"/>
      <c r="Q258" s="249"/>
      <c r="R258" s="249"/>
      <c r="S258" s="249"/>
      <c r="T258" s="249"/>
      <c r="U258" s="250"/>
      <c r="V258" s="250"/>
      <c r="W258" s="250"/>
      <c r="X258" s="250"/>
      <c r="Y258" s="250"/>
      <c r="Z258" s="250"/>
      <c r="AA258" s="250"/>
      <c r="AB258" s="250"/>
      <c r="AC258" s="250"/>
      <c r="AD258" s="250"/>
      <c r="AE258" s="250"/>
      <c r="AF258" s="250"/>
      <c r="AG258" s="250"/>
      <c r="AH258" s="250"/>
      <c r="AI258" s="250"/>
      <c r="AJ258" s="250"/>
      <c r="AK258" s="250"/>
      <c r="AL258" s="250"/>
      <c r="AM258" s="250"/>
      <c r="AN258" s="250"/>
      <c r="AO258" s="250"/>
      <c r="AP258" s="257"/>
      <c r="AQ258" s="257"/>
      <c r="AR258" s="257"/>
      <c r="AS258" s="251"/>
      <c r="AT258" s="251"/>
      <c r="AU258" s="252"/>
      <c r="AV258" s="252"/>
      <c r="AW258" s="252"/>
      <c r="AX258" s="252"/>
      <c r="AY258" s="252"/>
      <c r="AZ258" s="252"/>
      <c r="BA258" s="253"/>
      <c r="BB258" s="253"/>
      <c r="BC258" s="253"/>
      <c r="BD258" s="253"/>
      <c r="BE258" s="249"/>
      <c r="BF258" s="249"/>
      <c r="BG258" s="249"/>
      <c r="BH258" s="249"/>
      <c r="BI258" s="249"/>
      <c r="BJ258" s="254"/>
      <c r="BK258" s="250"/>
      <c r="BL258" s="250"/>
      <c r="BM258" s="250"/>
      <c r="BN258" s="250"/>
      <c r="BO258" s="250"/>
      <c r="BP258" s="250"/>
      <c r="BQ258" s="250"/>
      <c r="BR258" s="250"/>
      <c r="BS258" s="250"/>
      <c r="BT258" s="250"/>
      <c r="BU258" s="250"/>
      <c r="BV258" s="250"/>
      <c r="BW258" s="251"/>
      <c r="BX258" s="251"/>
      <c r="BY258" s="251"/>
      <c r="BZ258" s="251"/>
      <c r="CA258" s="251"/>
      <c r="CB258" s="251"/>
      <c r="CC258" s="251"/>
      <c r="CD258" s="251"/>
      <c r="CE258" s="251"/>
      <c r="CF258" s="251"/>
      <c r="CG258" s="251"/>
      <c r="CH258" s="255"/>
      <c r="CI258" s="251"/>
      <c r="CJ258" s="251"/>
      <c r="CK258" s="251"/>
      <c r="CL258" s="251"/>
      <c r="CM258" s="251"/>
      <c r="CN258" s="251"/>
      <c r="CO258" s="252"/>
      <c r="CP258" s="252"/>
      <c r="CQ258" s="252"/>
      <c r="CR258" s="529"/>
      <c r="CS258" s="529"/>
      <c r="CT258" s="529"/>
      <c r="CU258" s="529"/>
      <c r="CV258" s="529"/>
      <c r="CW258" s="529"/>
      <c r="CX258" s="529"/>
      <c r="CY258" s="530"/>
      <c r="CZ258" s="252"/>
      <c r="DA258" s="586"/>
      <c r="DB258" s="586"/>
      <c r="DC258" s="655"/>
      <c r="DD258" s="637"/>
      <c r="DE258" s="637"/>
      <c r="DF258" s="637"/>
      <c r="DG258" s="637"/>
      <c r="DH258" s="637"/>
      <c r="DI258" s="637"/>
      <c r="DJ258" s="637"/>
      <c r="DK258" s="617"/>
      <c r="DL258" s="495">
        <f t="shared" si="304"/>
        <v>0</v>
      </c>
      <c r="DM258" s="84">
        <f t="shared" si="305"/>
        <v>0</v>
      </c>
      <c r="DN258" s="84">
        <f t="shared" si="306"/>
        <v>0</v>
      </c>
      <c r="DO258" s="125">
        <f t="shared" si="307"/>
        <v>0</v>
      </c>
    </row>
    <row r="259" spans="2:123" ht="32.1" hidden="1" customHeight="1" outlineLevel="1" thickBot="1" x14ac:dyDescent="0.3">
      <c r="B259" s="813"/>
      <c r="C259" s="814"/>
      <c r="D259" s="804"/>
      <c r="E259" s="776"/>
      <c r="F259" s="258" t="s">
        <v>8</v>
      </c>
      <c r="G259" s="415" t="s">
        <v>134</v>
      </c>
      <c r="H259" s="363"/>
      <c r="I259" s="960" t="s">
        <v>67</v>
      </c>
      <c r="J259" s="417"/>
      <c r="K259" s="417"/>
      <c r="L259" s="417"/>
      <c r="M259" s="417"/>
      <c r="N259" s="417"/>
      <c r="O259" s="417"/>
      <c r="P259" s="417"/>
      <c r="Q259" s="417"/>
      <c r="R259" s="417"/>
      <c r="S259" s="417"/>
      <c r="T259" s="417"/>
      <c r="U259" s="418"/>
      <c r="V259" s="418"/>
      <c r="W259" s="418"/>
      <c r="X259" s="418"/>
      <c r="Y259" s="418"/>
      <c r="Z259" s="418"/>
      <c r="AA259" s="418"/>
      <c r="AB259" s="418"/>
      <c r="AC259" s="418"/>
      <c r="AD259" s="418"/>
      <c r="AE259" s="418"/>
      <c r="AF259" s="418"/>
      <c r="AG259" s="418"/>
      <c r="AH259" s="418"/>
      <c r="AI259" s="418"/>
      <c r="AJ259" s="418"/>
      <c r="AK259" s="418"/>
      <c r="AL259" s="418"/>
      <c r="AM259" s="418"/>
      <c r="AN259" s="418"/>
      <c r="AO259" s="418"/>
      <c r="AP259" s="449"/>
      <c r="AQ259" s="449"/>
      <c r="AR259" s="449"/>
      <c r="AS259" s="419"/>
      <c r="AT259" s="419"/>
      <c r="AU259" s="420"/>
      <c r="AV259" s="420"/>
      <c r="AW259" s="420"/>
      <c r="AX259" s="420"/>
      <c r="AY259" s="420"/>
      <c r="AZ259" s="420"/>
      <c r="BA259" s="421"/>
      <c r="BB259" s="421"/>
      <c r="BC259" s="421"/>
      <c r="BD259" s="421"/>
      <c r="BE259" s="417"/>
      <c r="BF259" s="417"/>
      <c r="BG259" s="417"/>
      <c r="BH259" s="417"/>
      <c r="BI259" s="417"/>
      <c r="BJ259" s="422"/>
      <c r="BK259" s="418"/>
      <c r="BL259" s="418"/>
      <c r="BM259" s="418"/>
      <c r="BN259" s="418"/>
      <c r="BO259" s="418"/>
      <c r="BP259" s="418"/>
      <c r="BQ259" s="418"/>
      <c r="BR259" s="418"/>
      <c r="BS259" s="418"/>
      <c r="BT259" s="418"/>
      <c r="BU259" s="418"/>
      <c r="BV259" s="418"/>
      <c r="BW259" s="419"/>
      <c r="BX259" s="419"/>
      <c r="BY259" s="419"/>
      <c r="BZ259" s="419"/>
      <c r="CA259" s="419"/>
      <c r="CB259" s="419"/>
      <c r="CC259" s="419"/>
      <c r="CD259" s="419"/>
      <c r="CE259" s="419"/>
      <c r="CF259" s="419"/>
      <c r="CG259" s="419"/>
      <c r="CH259" s="424"/>
      <c r="CI259" s="419"/>
      <c r="CJ259" s="419"/>
      <c r="CK259" s="419"/>
      <c r="CL259" s="419"/>
      <c r="CM259" s="419"/>
      <c r="CN259" s="419"/>
      <c r="CO259" s="420"/>
      <c r="CP259" s="420"/>
      <c r="CQ259" s="420"/>
      <c r="CR259" s="535"/>
      <c r="CS259" s="535"/>
      <c r="CT259" s="535"/>
      <c r="CU259" s="535"/>
      <c r="CV259" s="535"/>
      <c r="CW259" s="535"/>
      <c r="CX259" s="535"/>
      <c r="CY259" s="536"/>
      <c r="CZ259" s="420"/>
      <c r="DA259" s="589"/>
      <c r="DB259" s="589"/>
      <c r="DC259" s="658"/>
      <c r="DD259" s="639"/>
      <c r="DE259" s="639"/>
      <c r="DF259" s="639"/>
      <c r="DG259" s="639"/>
      <c r="DH259" s="639"/>
      <c r="DI259" s="639"/>
      <c r="DJ259" s="639"/>
      <c r="DK259" s="620"/>
      <c r="DL259" s="497">
        <f t="shared" si="304"/>
        <v>0</v>
      </c>
      <c r="DM259" s="126">
        <f t="shared" si="305"/>
        <v>0</v>
      </c>
      <c r="DN259" s="126">
        <f t="shared" si="306"/>
        <v>0</v>
      </c>
      <c r="DO259" s="127">
        <f t="shared" si="307"/>
        <v>0</v>
      </c>
    </row>
    <row r="260" spans="2:123" ht="32.1" hidden="1" customHeight="1" outlineLevel="1" thickBot="1" x14ac:dyDescent="0.3">
      <c r="B260" s="813"/>
      <c r="C260" s="814"/>
      <c r="D260" s="804"/>
      <c r="E260" s="776" t="s">
        <v>137</v>
      </c>
      <c r="F260" s="236" t="s">
        <v>8</v>
      </c>
      <c r="G260" s="238" t="s">
        <v>134</v>
      </c>
      <c r="H260" s="425"/>
      <c r="I260" s="922" t="s">
        <v>239</v>
      </c>
      <c r="J260" s="407"/>
      <c r="K260" s="407"/>
      <c r="L260" s="407"/>
      <c r="M260" s="407"/>
      <c r="N260" s="407"/>
      <c r="O260" s="407"/>
      <c r="P260" s="407"/>
      <c r="Q260" s="407"/>
      <c r="R260" s="407"/>
      <c r="S260" s="407"/>
      <c r="T260" s="407"/>
      <c r="U260" s="408"/>
      <c r="V260" s="408"/>
      <c r="W260" s="408"/>
      <c r="X260" s="408"/>
      <c r="Y260" s="408"/>
      <c r="Z260" s="408"/>
      <c r="AA260" s="408"/>
      <c r="AB260" s="408"/>
      <c r="AC260" s="408"/>
      <c r="AD260" s="408"/>
      <c r="AE260" s="408"/>
      <c r="AF260" s="408"/>
      <c r="AG260" s="408"/>
      <c r="AH260" s="408"/>
      <c r="AI260" s="408"/>
      <c r="AJ260" s="408"/>
      <c r="AK260" s="408"/>
      <c r="AL260" s="408"/>
      <c r="AM260" s="408"/>
      <c r="AN260" s="408"/>
      <c r="AO260" s="408"/>
      <c r="AP260" s="448"/>
      <c r="AQ260" s="448"/>
      <c r="AR260" s="448"/>
      <c r="AS260" s="409"/>
      <c r="AT260" s="409"/>
      <c r="AU260" s="410"/>
      <c r="AV260" s="410"/>
      <c r="AW260" s="410"/>
      <c r="AX260" s="410"/>
      <c r="AY260" s="410"/>
      <c r="AZ260" s="410"/>
      <c r="BA260" s="411"/>
      <c r="BB260" s="411"/>
      <c r="BC260" s="411"/>
      <c r="BD260" s="411"/>
      <c r="BE260" s="407"/>
      <c r="BF260" s="407"/>
      <c r="BG260" s="407"/>
      <c r="BH260" s="407"/>
      <c r="BI260" s="407"/>
      <c r="BJ260" s="412"/>
      <c r="BK260" s="408"/>
      <c r="BL260" s="408"/>
      <c r="BM260" s="408"/>
      <c r="BN260" s="408"/>
      <c r="BO260" s="408"/>
      <c r="BP260" s="408"/>
      <c r="BQ260" s="408"/>
      <c r="BR260" s="408"/>
      <c r="BS260" s="408"/>
      <c r="BT260" s="408"/>
      <c r="BU260" s="408"/>
      <c r="BV260" s="408"/>
      <c r="BW260" s="409"/>
      <c r="BX260" s="409"/>
      <c r="BY260" s="409"/>
      <c r="BZ260" s="409"/>
      <c r="CA260" s="409"/>
      <c r="CB260" s="409"/>
      <c r="CC260" s="409"/>
      <c r="CD260" s="409"/>
      <c r="CE260" s="409"/>
      <c r="CF260" s="409"/>
      <c r="CG260" s="409"/>
      <c r="CH260" s="414"/>
      <c r="CI260" s="409"/>
      <c r="CJ260" s="409"/>
      <c r="CK260" s="409"/>
      <c r="CL260" s="409"/>
      <c r="CM260" s="409"/>
      <c r="CN260" s="409"/>
      <c r="CO260" s="410"/>
      <c r="CP260" s="410"/>
      <c r="CQ260" s="410"/>
      <c r="CR260" s="533"/>
      <c r="CS260" s="533"/>
      <c r="CT260" s="533"/>
      <c r="CU260" s="533"/>
      <c r="CV260" s="533"/>
      <c r="CW260" s="533"/>
      <c r="CX260" s="533"/>
      <c r="CY260" s="534"/>
      <c r="CZ260" s="410"/>
      <c r="DA260" s="588"/>
      <c r="DB260" s="588"/>
      <c r="DC260" s="657"/>
      <c r="DD260" s="638"/>
      <c r="DE260" s="638"/>
      <c r="DF260" s="638"/>
      <c r="DG260" s="638"/>
      <c r="DH260" s="638"/>
      <c r="DI260" s="638"/>
      <c r="DJ260" s="638"/>
      <c r="DK260" s="619"/>
      <c r="DL260" s="494">
        <f t="shared" si="304"/>
        <v>0</v>
      </c>
      <c r="DM260" s="122">
        <f t="shared" si="305"/>
        <v>0</v>
      </c>
      <c r="DN260" s="122">
        <f t="shared" si="306"/>
        <v>0</v>
      </c>
      <c r="DO260" s="124">
        <f t="shared" si="307"/>
        <v>0</v>
      </c>
    </row>
    <row r="261" spans="2:123" ht="32.1" hidden="1" customHeight="1" outlineLevel="1" thickBot="1" x14ac:dyDescent="0.3">
      <c r="B261" s="813"/>
      <c r="C261" s="814"/>
      <c r="D261" s="804"/>
      <c r="E261" s="776"/>
      <c r="F261" s="246" t="s">
        <v>8</v>
      </c>
      <c r="G261" s="248" t="s">
        <v>134</v>
      </c>
      <c r="H261" s="359"/>
      <c r="I261" s="929" t="s">
        <v>240</v>
      </c>
      <c r="J261" s="249"/>
      <c r="K261" s="249"/>
      <c r="L261" s="249"/>
      <c r="M261" s="249"/>
      <c r="N261" s="249"/>
      <c r="O261" s="249"/>
      <c r="P261" s="249"/>
      <c r="Q261" s="249"/>
      <c r="R261" s="249"/>
      <c r="S261" s="249"/>
      <c r="T261" s="249"/>
      <c r="U261" s="250"/>
      <c r="V261" s="250"/>
      <c r="W261" s="250"/>
      <c r="X261" s="250"/>
      <c r="Y261" s="250"/>
      <c r="Z261" s="250"/>
      <c r="AA261" s="250"/>
      <c r="AB261" s="250"/>
      <c r="AC261" s="250"/>
      <c r="AD261" s="250"/>
      <c r="AE261" s="250"/>
      <c r="AF261" s="250"/>
      <c r="AG261" s="250"/>
      <c r="AH261" s="250"/>
      <c r="AI261" s="250"/>
      <c r="AJ261" s="250"/>
      <c r="AK261" s="250"/>
      <c r="AL261" s="250"/>
      <c r="AM261" s="250"/>
      <c r="AN261" s="250"/>
      <c r="AO261" s="250"/>
      <c r="AP261" s="257"/>
      <c r="AQ261" s="257"/>
      <c r="AR261" s="257"/>
      <c r="AS261" s="251"/>
      <c r="AT261" s="251"/>
      <c r="AU261" s="252"/>
      <c r="AV261" s="252"/>
      <c r="AW261" s="252"/>
      <c r="AX261" s="252"/>
      <c r="AY261" s="252"/>
      <c r="AZ261" s="252"/>
      <c r="BA261" s="253"/>
      <c r="BB261" s="253"/>
      <c r="BC261" s="253"/>
      <c r="BD261" s="253"/>
      <c r="BE261" s="249"/>
      <c r="BF261" s="249"/>
      <c r="BG261" s="249"/>
      <c r="BH261" s="249"/>
      <c r="BI261" s="249"/>
      <c r="BJ261" s="254"/>
      <c r="BK261" s="250"/>
      <c r="BL261" s="250"/>
      <c r="BM261" s="250"/>
      <c r="BN261" s="250"/>
      <c r="BO261" s="250"/>
      <c r="BP261" s="250"/>
      <c r="BQ261" s="250"/>
      <c r="BR261" s="250"/>
      <c r="BS261" s="250"/>
      <c r="BT261" s="250"/>
      <c r="BU261" s="250"/>
      <c r="BV261" s="250"/>
      <c r="BW261" s="251"/>
      <c r="BX261" s="251"/>
      <c r="BY261" s="251"/>
      <c r="BZ261" s="251"/>
      <c r="CA261" s="251"/>
      <c r="CB261" s="251"/>
      <c r="CC261" s="251"/>
      <c r="CD261" s="251"/>
      <c r="CE261" s="251"/>
      <c r="CF261" s="251"/>
      <c r="CG261" s="251"/>
      <c r="CH261" s="255"/>
      <c r="CI261" s="251"/>
      <c r="CJ261" s="251"/>
      <c r="CK261" s="251"/>
      <c r="CL261" s="251"/>
      <c r="CM261" s="251"/>
      <c r="CN261" s="251"/>
      <c r="CO261" s="252"/>
      <c r="CP261" s="252"/>
      <c r="CQ261" s="252"/>
      <c r="CR261" s="529"/>
      <c r="CS261" s="529"/>
      <c r="CT261" s="529"/>
      <c r="CU261" s="529"/>
      <c r="CV261" s="529"/>
      <c r="CW261" s="529"/>
      <c r="CX261" s="529"/>
      <c r="CY261" s="530"/>
      <c r="CZ261" s="252"/>
      <c r="DA261" s="586"/>
      <c r="DB261" s="586"/>
      <c r="DC261" s="655"/>
      <c r="DD261" s="637"/>
      <c r="DE261" s="637"/>
      <c r="DF261" s="637"/>
      <c r="DG261" s="637"/>
      <c r="DH261" s="637"/>
      <c r="DI261" s="637"/>
      <c r="DJ261" s="637"/>
      <c r="DK261" s="617"/>
      <c r="DL261" s="495">
        <f t="shared" si="304"/>
        <v>0</v>
      </c>
      <c r="DM261" s="84">
        <f t="shared" si="305"/>
        <v>0</v>
      </c>
      <c r="DN261" s="84">
        <f t="shared" si="306"/>
        <v>0</v>
      </c>
      <c r="DO261" s="125">
        <f t="shared" si="307"/>
        <v>0</v>
      </c>
    </row>
    <row r="262" spans="2:123" ht="32.1" hidden="1" customHeight="1" outlineLevel="1" thickBot="1" x14ac:dyDescent="0.3">
      <c r="B262" s="813"/>
      <c r="C262" s="814"/>
      <c r="D262" s="804"/>
      <c r="E262" s="776"/>
      <c r="F262" s="246" t="s">
        <v>8</v>
      </c>
      <c r="G262" s="248" t="s">
        <v>134</v>
      </c>
      <c r="H262" s="359"/>
      <c r="I262" s="929"/>
      <c r="J262" s="249"/>
      <c r="K262" s="249"/>
      <c r="L262" s="249"/>
      <c r="M262" s="249"/>
      <c r="N262" s="249"/>
      <c r="O262" s="249"/>
      <c r="P262" s="249"/>
      <c r="Q262" s="249"/>
      <c r="R262" s="249"/>
      <c r="S262" s="249"/>
      <c r="T262" s="249"/>
      <c r="U262" s="250"/>
      <c r="V262" s="250"/>
      <c r="W262" s="250"/>
      <c r="X262" s="250"/>
      <c r="Y262" s="250"/>
      <c r="Z262" s="250"/>
      <c r="AA262" s="250"/>
      <c r="AB262" s="250"/>
      <c r="AC262" s="250"/>
      <c r="AD262" s="250"/>
      <c r="AE262" s="250"/>
      <c r="AF262" s="250"/>
      <c r="AG262" s="250"/>
      <c r="AH262" s="250"/>
      <c r="AI262" s="250"/>
      <c r="AJ262" s="250"/>
      <c r="AK262" s="250"/>
      <c r="AL262" s="250"/>
      <c r="AM262" s="250"/>
      <c r="AN262" s="250"/>
      <c r="AO262" s="250"/>
      <c r="AP262" s="257"/>
      <c r="AQ262" s="257"/>
      <c r="AR262" s="257"/>
      <c r="AS262" s="251"/>
      <c r="AT262" s="251"/>
      <c r="AU262" s="252"/>
      <c r="AV262" s="252"/>
      <c r="AW262" s="252"/>
      <c r="AX262" s="252"/>
      <c r="AY262" s="252"/>
      <c r="AZ262" s="252"/>
      <c r="BA262" s="253"/>
      <c r="BB262" s="253"/>
      <c r="BC262" s="253"/>
      <c r="BD262" s="253"/>
      <c r="BE262" s="249"/>
      <c r="BF262" s="249"/>
      <c r="BG262" s="249"/>
      <c r="BH262" s="249"/>
      <c r="BI262" s="249"/>
      <c r="BJ262" s="254"/>
      <c r="BK262" s="250"/>
      <c r="BL262" s="250"/>
      <c r="BM262" s="250"/>
      <c r="BN262" s="250"/>
      <c r="BO262" s="250"/>
      <c r="BP262" s="250"/>
      <c r="BQ262" s="250"/>
      <c r="BR262" s="250"/>
      <c r="BS262" s="250"/>
      <c r="BT262" s="250"/>
      <c r="BU262" s="250"/>
      <c r="BV262" s="250"/>
      <c r="BW262" s="251"/>
      <c r="BX262" s="251"/>
      <c r="BY262" s="251"/>
      <c r="BZ262" s="251"/>
      <c r="CA262" s="251"/>
      <c r="CB262" s="251"/>
      <c r="CC262" s="251"/>
      <c r="CD262" s="251"/>
      <c r="CE262" s="251"/>
      <c r="CF262" s="251"/>
      <c r="CG262" s="251"/>
      <c r="CH262" s="255"/>
      <c r="CI262" s="251"/>
      <c r="CJ262" s="251"/>
      <c r="CK262" s="251"/>
      <c r="CL262" s="251"/>
      <c r="CM262" s="251"/>
      <c r="CN262" s="251"/>
      <c r="CO262" s="252"/>
      <c r="CP262" s="252"/>
      <c r="CQ262" s="252"/>
      <c r="CR262" s="529"/>
      <c r="CS262" s="529"/>
      <c r="CT262" s="529"/>
      <c r="CU262" s="529"/>
      <c r="CV262" s="529"/>
      <c r="CW262" s="529"/>
      <c r="CX262" s="529"/>
      <c r="CY262" s="530"/>
      <c r="CZ262" s="252"/>
      <c r="DA262" s="586"/>
      <c r="DB262" s="586"/>
      <c r="DC262" s="655"/>
      <c r="DD262" s="637"/>
      <c r="DE262" s="637"/>
      <c r="DF262" s="637"/>
      <c r="DG262" s="637"/>
      <c r="DH262" s="637"/>
      <c r="DI262" s="637"/>
      <c r="DJ262" s="637"/>
      <c r="DK262" s="617"/>
      <c r="DL262" s="495">
        <f t="shared" si="304"/>
        <v>0</v>
      </c>
      <c r="DM262" s="84">
        <f t="shared" si="305"/>
        <v>0</v>
      </c>
      <c r="DN262" s="84">
        <f t="shared" si="306"/>
        <v>0</v>
      </c>
      <c r="DO262" s="125">
        <f t="shared" si="307"/>
        <v>0</v>
      </c>
    </row>
    <row r="263" spans="2:123" ht="32.1" hidden="1" customHeight="1" outlineLevel="1" thickBot="1" x14ac:dyDescent="0.3">
      <c r="B263" s="813"/>
      <c r="C263" s="814"/>
      <c r="D263" s="804"/>
      <c r="E263" s="776"/>
      <c r="F263" s="258" t="s">
        <v>8</v>
      </c>
      <c r="G263" s="415" t="s">
        <v>134</v>
      </c>
      <c r="H263" s="416"/>
      <c r="I263" s="961"/>
      <c r="J263" s="417"/>
      <c r="K263" s="417"/>
      <c r="L263" s="417"/>
      <c r="M263" s="417"/>
      <c r="N263" s="417"/>
      <c r="O263" s="417"/>
      <c r="P263" s="417"/>
      <c r="Q263" s="417"/>
      <c r="R263" s="417"/>
      <c r="S263" s="417"/>
      <c r="T263" s="417"/>
      <c r="U263" s="418"/>
      <c r="V263" s="418"/>
      <c r="W263" s="418"/>
      <c r="X263" s="418"/>
      <c r="Y263" s="418"/>
      <c r="Z263" s="418"/>
      <c r="AA263" s="418"/>
      <c r="AB263" s="418"/>
      <c r="AC263" s="418"/>
      <c r="AD263" s="418"/>
      <c r="AE263" s="418"/>
      <c r="AF263" s="418"/>
      <c r="AG263" s="418"/>
      <c r="AH263" s="418"/>
      <c r="AI263" s="418"/>
      <c r="AJ263" s="418"/>
      <c r="AK263" s="418"/>
      <c r="AL263" s="418"/>
      <c r="AM263" s="418"/>
      <c r="AN263" s="418"/>
      <c r="AO263" s="418"/>
      <c r="AP263" s="449"/>
      <c r="AQ263" s="449"/>
      <c r="AR263" s="449"/>
      <c r="AS263" s="419"/>
      <c r="AT263" s="419"/>
      <c r="AU263" s="420"/>
      <c r="AV263" s="420"/>
      <c r="AW263" s="420"/>
      <c r="AX263" s="420"/>
      <c r="AY263" s="420"/>
      <c r="AZ263" s="420"/>
      <c r="BA263" s="421"/>
      <c r="BB263" s="421"/>
      <c r="BC263" s="421"/>
      <c r="BD263" s="421"/>
      <c r="BE263" s="417"/>
      <c r="BF263" s="417"/>
      <c r="BG263" s="417"/>
      <c r="BH263" s="417"/>
      <c r="BI263" s="417"/>
      <c r="BJ263" s="422"/>
      <c r="BK263" s="418"/>
      <c r="BL263" s="418"/>
      <c r="BM263" s="418"/>
      <c r="BN263" s="418"/>
      <c r="BO263" s="418"/>
      <c r="BP263" s="418"/>
      <c r="BQ263" s="418"/>
      <c r="BR263" s="418"/>
      <c r="BS263" s="418"/>
      <c r="BT263" s="418"/>
      <c r="BU263" s="418"/>
      <c r="BV263" s="418"/>
      <c r="BW263" s="419"/>
      <c r="BX263" s="419"/>
      <c r="BY263" s="419"/>
      <c r="BZ263" s="419"/>
      <c r="CA263" s="419"/>
      <c r="CB263" s="419"/>
      <c r="CC263" s="419"/>
      <c r="CD263" s="419"/>
      <c r="CE263" s="419"/>
      <c r="CF263" s="419"/>
      <c r="CG263" s="419"/>
      <c r="CH263" s="424"/>
      <c r="CI263" s="419"/>
      <c r="CJ263" s="419"/>
      <c r="CK263" s="419"/>
      <c r="CL263" s="419"/>
      <c r="CM263" s="419"/>
      <c r="CN263" s="419"/>
      <c r="CO263" s="420"/>
      <c r="CP263" s="420"/>
      <c r="CQ263" s="420"/>
      <c r="CR263" s="535"/>
      <c r="CS263" s="535"/>
      <c r="CT263" s="535"/>
      <c r="CU263" s="535"/>
      <c r="CV263" s="535"/>
      <c r="CW263" s="535"/>
      <c r="CX263" s="535"/>
      <c r="CY263" s="536"/>
      <c r="CZ263" s="420"/>
      <c r="DA263" s="589"/>
      <c r="DB263" s="589"/>
      <c r="DC263" s="658"/>
      <c r="DD263" s="639"/>
      <c r="DE263" s="639"/>
      <c r="DF263" s="639"/>
      <c r="DG263" s="639"/>
      <c r="DH263" s="639"/>
      <c r="DI263" s="639"/>
      <c r="DJ263" s="639"/>
      <c r="DK263" s="620"/>
      <c r="DL263" s="497">
        <f t="shared" si="304"/>
        <v>0</v>
      </c>
      <c r="DM263" s="126">
        <f t="shared" si="305"/>
        <v>0</v>
      </c>
      <c r="DN263" s="126">
        <f t="shared" si="306"/>
        <v>0</v>
      </c>
      <c r="DO263" s="127">
        <f t="shared" si="307"/>
        <v>0</v>
      </c>
    </row>
    <row r="264" spans="2:123" ht="32.1" hidden="1" customHeight="1" outlineLevel="1" thickBot="1" x14ac:dyDescent="0.3">
      <c r="B264" s="813"/>
      <c r="C264" s="814"/>
      <c r="D264" s="804"/>
      <c r="E264" s="775" t="s">
        <v>138</v>
      </c>
      <c r="F264" s="403" t="s">
        <v>8</v>
      </c>
      <c r="G264" s="404" t="s">
        <v>134</v>
      </c>
      <c r="H264" s="359"/>
      <c r="I264" s="948" t="s">
        <v>186</v>
      </c>
      <c r="J264" s="239"/>
      <c r="K264" s="239"/>
      <c r="L264" s="239"/>
      <c r="M264" s="239"/>
      <c r="N264" s="239"/>
      <c r="O264" s="239"/>
      <c r="P264" s="239"/>
      <c r="Q264" s="239"/>
      <c r="R264" s="239"/>
      <c r="S264" s="239"/>
      <c r="T264" s="239"/>
      <c r="U264" s="240"/>
      <c r="V264" s="240"/>
      <c r="W264" s="240"/>
      <c r="X264" s="240"/>
      <c r="Y264" s="240"/>
      <c r="Z264" s="240"/>
      <c r="AA264" s="240"/>
      <c r="AB264" s="240"/>
      <c r="AC264" s="240"/>
      <c r="AD264" s="240"/>
      <c r="AE264" s="240"/>
      <c r="AF264" s="240"/>
      <c r="AG264" s="240"/>
      <c r="AH264" s="240"/>
      <c r="AI264" s="240"/>
      <c r="AJ264" s="240"/>
      <c r="AK264" s="240"/>
      <c r="AL264" s="240"/>
      <c r="AM264" s="240"/>
      <c r="AN264" s="240"/>
      <c r="AO264" s="240"/>
      <c r="AP264" s="447"/>
      <c r="AQ264" s="447"/>
      <c r="AR264" s="447"/>
      <c r="AS264" s="241"/>
      <c r="AT264" s="241"/>
      <c r="AU264" s="242"/>
      <c r="AV264" s="242"/>
      <c r="AW264" s="242"/>
      <c r="AX264" s="242"/>
      <c r="AY264" s="242"/>
      <c r="AZ264" s="242"/>
      <c r="BA264" s="243"/>
      <c r="BB264" s="243"/>
      <c r="BC264" s="243"/>
      <c r="BD264" s="243"/>
      <c r="BE264" s="239"/>
      <c r="BF264" s="239"/>
      <c r="BG264" s="239"/>
      <c r="BH264" s="239"/>
      <c r="BI264" s="239"/>
      <c r="BJ264" s="244"/>
      <c r="BK264" s="240"/>
      <c r="BL264" s="240"/>
      <c r="BM264" s="240"/>
      <c r="BN264" s="240"/>
      <c r="BO264" s="240"/>
      <c r="BP264" s="240"/>
      <c r="BQ264" s="240"/>
      <c r="BR264" s="240"/>
      <c r="BS264" s="240"/>
      <c r="BT264" s="240"/>
      <c r="BU264" s="240"/>
      <c r="BV264" s="240"/>
      <c r="BW264" s="241"/>
      <c r="BX264" s="241"/>
      <c r="BY264" s="241"/>
      <c r="BZ264" s="241"/>
      <c r="CA264" s="241"/>
      <c r="CB264" s="241"/>
      <c r="CC264" s="241"/>
      <c r="CD264" s="241"/>
      <c r="CE264" s="241"/>
      <c r="CF264" s="241"/>
      <c r="CG264" s="241"/>
      <c r="CH264" s="245"/>
      <c r="CI264" s="241"/>
      <c r="CJ264" s="241"/>
      <c r="CK264" s="241"/>
      <c r="CL264" s="241"/>
      <c r="CM264" s="241"/>
      <c r="CN264" s="241"/>
      <c r="CO264" s="242"/>
      <c r="CP264" s="242"/>
      <c r="CQ264" s="242"/>
      <c r="CR264" s="527"/>
      <c r="CS264" s="527"/>
      <c r="CT264" s="527"/>
      <c r="CU264" s="527"/>
      <c r="CV264" s="527"/>
      <c r="CW264" s="527"/>
      <c r="CX264" s="527"/>
      <c r="CY264" s="528"/>
      <c r="CZ264" s="242"/>
      <c r="DA264" s="590"/>
      <c r="DB264" s="590"/>
      <c r="DC264" s="659"/>
      <c r="DD264" s="640"/>
      <c r="DE264" s="640"/>
      <c r="DF264" s="640"/>
      <c r="DG264" s="640"/>
      <c r="DH264" s="640"/>
      <c r="DI264" s="640"/>
      <c r="DJ264" s="640"/>
      <c r="DK264" s="616"/>
      <c r="DL264" s="498">
        <f t="shared" si="304"/>
        <v>0</v>
      </c>
      <c r="DM264" s="121">
        <f t="shared" si="305"/>
        <v>0</v>
      </c>
      <c r="DN264" s="121">
        <f t="shared" si="306"/>
        <v>0</v>
      </c>
      <c r="DO264" s="357">
        <f t="shared" si="307"/>
        <v>0</v>
      </c>
    </row>
    <row r="265" spans="2:123" ht="32.1" hidden="1" customHeight="1" outlineLevel="1" thickBot="1" x14ac:dyDescent="0.3">
      <c r="B265" s="813"/>
      <c r="C265" s="814"/>
      <c r="D265" s="804"/>
      <c r="E265" s="776"/>
      <c r="F265" s="246" t="s">
        <v>8</v>
      </c>
      <c r="G265" s="248" t="s">
        <v>134</v>
      </c>
      <c r="H265" s="359"/>
      <c r="I265" s="944" t="s">
        <v>94</v>
      </c>
      <c r="J265" s="249"/>
      <c r="K265" s="249"/>
      <c r="L265" s="249"/>
      <c r="M265" s="249"/>
      <c r="N265" s="249"/>
      <c r="O265" s="249"/>
      <c r="P265" s="249"/>
      <c r="Q265" s="249"/>
      <c r="R265" s="249"/>
      <c r="S265" s="249"/>
      <c r="T265" s="249"/>
      <c r="U265" s="250"/>
      <c r="V265" s="250"/>
      <c r="W265" s="250"/>
      <c r="X265" s="250"/>
      <c r="Y265" s="250"/>
      <c r="Z265" s="250"/>
      <c r="AA265" s="250"/>
      <c r="AB265" s="250"/>
      <c r="AC265" s="250"/>
      <c r="AD265" s="250"/>
      <c r="AE265" s="250"/>
      <c r="AF265" s="250"/>
      <c r="AG265" s="250"/>
      <c r="AH265" s="250"/>
      <c r="AI265" s="250"/>
      <c r="AJ265" s="250"/>
      <c r="AK265" s="250"/>
      <c r="AL265" s="250"/>
      <c r="AM265" s="250"/>
      <c r="AN265" s="250"/>
      <c r="AO265" s="250"/>
      <c r="AP265" s="257"/>
      <c r="AQ265" s="257"/>
      <c r="AR265" s="257"/>
      <c r="AS265" s="251"/>
      <c r="AT265" s="251"/>
      <c r="AU265" s="252"/>
      <c r="AV265" s="252"/>
      <c r="AW265" s="252"/>
      <c r="AX265" s="252"/>
      <c r="AY265" s="252"/>
      <c r="AZ265" s="252"/>
      <c r="BA265" s="253"/>
      <c r="BB265" s="253"/>
      <c r="BC265" s="253"/>
      <c r="BD265" s="253"/>
      <c r="BE265" s="249"/>
      <c r="BF265" s="249"/>
      <c r="BG265" s="249"/>
      <c r="BH265" s="249"/>
      <c r="BI265" s="249"/>
      <c r="BJ265" s="254"/>
      <c r="BK265" s="250"/>
      <c r="BL265" s="250"/>
      <c r="BM265" s="250"/>
      <c r="BN265" s="250"/>
      <c r="BO265" s="250"/>
      <c r="BP265" s="250"/>
      <c r="BQ265" s="250"/>
      <c r="BR265" s="250"/>
      <c r="BS265" s="250"/>
      <c r="BT265" s="250"/>
      <c r="BU265" s="250"/>
      <c r="BV265" s="250"/>
      <c r="BW265" s="251"/>
      <c r="BX265" s="251"/>
      <c r="BY265" s="251"/>
      <c r="BZ265" s="251"/>
      <c r="CA265" s="251"/>
      <c r="CB265" s="251"/>
      <c r="CC265" s="251"/>
      <c r="CD265" s="251"/>
      <c r="CE265" s="251"/>
      <c r="CF265" s="251"/>
      <c r="CG265" s="251"/>
      <c r="CH265" s="255"/>
      <c r="CI265" s="251"/>
      <c r="CJ265" s="251"/>
      <c r="CK265" s="251"/>
      <c r="CL265" s="251"/>
      <c r="CM265" s="251"/>
      <c r="CN265" s="251"/>
      <c r="CO265" s="252"/>
      <c r="CP265" s="252"/>
      <c r="CQ265" s="252"/>
      <c r="CR265" s="529"/>
      <c r="CS265" s="529"/>
      <c r="CT265" s="529"/>
      <c r="CU265" s="529"/>
      <c r="CV265" s="529"/>
      <c r="CW265" s="529"/>
      <c r="CX265" s="529"/>
      <c r="CY265" s="530"/>
      <c r="CZ265" s="252"/>
      <c r="DA265" s="586"/>
      <c r="DB265" s="586"/>
      <c r="DC265" s="655"/>
      <c r="DD265" s="637"/>
      <c r="DE265" s="637"/>
      <c r="DF265" s="637"/>
      <c r="DG265" s="637"/>
      <c r="DH265" s="637"/>
      <c r="DI265" s="637"/>
      <c r="DJ265" s="637"/>
      <c r="DK265" s="617"/>
      <c r="DL265" s="495">
        <f t="shared" si="304"/>
        <v>0</v>
      </c>
      <c r="DM265" s="84">
        <f t="shared" si="305"/>
        <v>0</v>
      </c>
      <c r="DN265" s="84">
        <f t="shared" si="306"/>
        <v>0</v>
      </c>
      <c r="DO265" s="125">
        <f t="shared" si="307"/>
        <v>0</v>
      </c>
    </row>
    <row r="266" spans="2:123" ht="32.1" hidden="1" customHeight="1" outlineLevel="1" thickBot="1" x14ac:dyDescent="0.3">
      <c r="B266" s="813"/>
      <c r="C266" s="814"/>
      <c r="D266" s="804"/>
      <c r="E266" s="776"/>
      <c r="F266" s="246" t="s">
        <v>8</v>
      </c>
      <c r="G266" s="248" t="s">
        <v>134</v>
      </c>
      <c r="H266" s="359"/>
      <c r="I266" s="929"/>
      <c r="J266" s="249"/>
      <c r="K266" s="249"/>
      <c r="L266" s="249"/>
      <c r="M266" s="249"/>
      <c r="N266" s="249"/>
      <c r="O266" s="249"/>
      <c r="P266" s="249"/>
      <c r="Q266" s="249"/>
      <c r="R266" s="249"/>
      <c r="S266" s="249"/>
      <c r="T266" s="249"/>
      <c r="U266" s="250"/>
      <c r="V266" s="250"/>
      <c r="W266" s="250"/>
      <c r="X266" s="250"/>
      <c r="Y266" s="250"/>
      <c r="Z266" s="250"/>
      <c r="AA266" s="250"/>
      <c r="AB266" s="250"/>
      <c r="AC266" s="250"/>
      <c r="AD266" s="250"/>
      <c r="AE266" s="250"/>
      <c r="AF266" s="250"/>
      <c r="AG266" s="250"/>
      <c r="AH266" s="250"/>
      <c r="AI266" s="250"/>
      <c r="AJ266" s="250"/>
      <c r="AK266" s="250"/>
      <c r="AL266" s="250"/>
      <c r="AM266" s="250"/>
      <c r="AN266" s="250"/>
      <c r="AO266" s="250"/>
      <c r="AP266" s="257"/>
      <c r="AQ266" s="257"/>
      <c r="AR266" s="257"/>
      <c r="AS266" s="251"/>
      <c r="AT266" s="251"/>
      <c r="AU266" s="252"/>
      <c r="AV266" s="252"/>
      <c r="AW266" s="252"/>
      <c r="AX266" s="252"/>
      <c r="AY266" s="252"/>
      <c r="AZ266" s="252"/>
      <c r="BA266" s="253"/>
      <c r="BB266" s="253"/>
      <c r="BC266" s="253"/>
      <c r="BD266" s="253"/>
      <c r="BE266" s="249"/>
      <c r="BF266" s="249"/>
      <c r="BG266" s="249"/>
      <c r="BH266" s="249"/>
      <c r="BI266" s="249"/>
      <c r="BJ266" s="254"/>
      <c r="BK266" s="250"/>
      <c r="BL266" s="250"/>
      <c r="BM266" s="250"/>
      <c r="BN266" s="250"/>
      <c r="BO266" s="250"/>
      <c r="BP266" s="250"/>
      <c r="BQ266" s="250"/>
      <c r="BR266" s="250"/>
      <c r="BS266" s="250"/>
      <c r="BT266" s="250"/>
      <c r="BU266" s="250"/>
      <c r="BV266" s="250"/>
      <c r="BW266" s="251"/>
      <c r="BX266" s="251"/>
      <c r="BY266" s="251"/>
      <c r="BZ266" s="251"/>
      <c r="CA266" s="251"/>
      <c r="CB266" s="251"/>
      <c r="CC266" s="251"/>
      <c r="CD266" s="251"/>
      <c r="CE266" s="251"/>
      <c r="CF266" s="251"/>
      <c r="CG266" s="251"/>
      <c r="CH266" s="255"/>
      <c r="CI266" s="251"/>
      <c r="CJ266" s="251"/>
      <c r="CK266" s="251"/>
      <c r="CL266" s="251"/>
      <c r="CM266" s="251"/>
      <c r="CN266" s="251"/>
      <c r="CO266" s="252"/>
      <c r="CP266" s="252"/>
      <c r="CQ266" s="252"/>
      <c r="CR266" s="529"/>
      <c r="CS266" s="529"/>
      <c r="CT266" s="529"/>
      <c r="CU266" s="529"/>
      <c r="CV266" s="529"/>
      <c r="CW266" s="529"/>
      <c r="CX266" s="529"/>
      <c r="CY266" s="530"/>
      <c r="CZ266" s="252"/>
      <c r="DA266" s="586"/>
      <c r="DB266" s="586"/>
      <c r="DC266" s="655"/>
      <c r="DD266" s="637"/>
      <c r="DE266" s="637"/>
      <c r="DF266" s="637"/>
      <c r="DG266" s="637"/>
      <c r="DH266" s="637"/>
      <c r="DI266" s="637"/>
      <c r="DJ266" s="637"/>
      <c r="DK266" s="617"/>
      <c r="DL266" s="495">
        <f t="shared" si="304"/>
        <v>0</v>
      </c>
      <c r="DM266" s="84">
        <f t="shared" si="305"/>
        <v>0</v>
      </c>
      <c r="DN266" s="84">
        <f t="shared" si="306"/>
        <v>0</v>
      </c>
      <c r="DO266" s="125">
        <f t="shared" si="307"/>
        <v>0</v>
      </c>
    </row>
    <row r="267" spans="2:123" ht="32.1" hidden="1" customHeight="1" outlineLevel="1" thickBot="1" x14ac:dyDescent="0.3">
      <c r="B267" s="813"/>
      <c r="C267" s="814"/>
      <c r="D267" s="794"/>
      <c r="E267" s="776"/>
      <c r="F267" s="246" t="s">
        <v>8</v>
      </c>
      <c r="G267" s="248" t="s">
        <v>134</v>
      </c>
      <c r="H267" s="359"/>
      <c r="I267" s="929"/>
      <c r="J267" s="249"/>
      <c r="K267" s="249"/>
      <c r="L267" s="249"/>
      <c r="M267" s="249"/>
      <c r="N267" s="249"/>
      <c r="O267" s="249"/>
      <c r="P267" s="249"/>
      <c r="Q267" s="249"/>
      <c r="R267" s="249"/>
      <c r="S267" s="249"/>
      <c r="T267" s="249"/>
      <c r="U267" s="250"/>
      <c r="V267" s="250"/>
      <c r="W267" s="250"/>
      <c r="X267" s="250"/>
      <c r="Y267" s="250"/>
      <c r="Z267" s="250"/>
      <c r="AA267" s="250"/>
      <c r="AB267" s="250"/>
      <c r="AC267" s="250"/>
      <c r="AD267" s="250"/>
      <c r="AE267" s="250"/>
      <c r="AF267" s="250"/>
      <c r="AG267" s="250"/>
      <c r="AH267" s="250"/>
      <c r="AI267" s="250"/>
      <c r="AJ267" s="250"/>
      <c r="AK267" s="250"/>
      <c r="AL267" s="250"/>
      <c r="AM267" s="250"/>
      <c r="AN267" s="250"/>
      <c r="AO267" s="250"/>
      <c r="AP267" s="257"/>
      <c r="AQ267" s="257"/>
      <c r="AR267" s="257"/>
      <c r="AS267" s="251"/>
      <c r="AT267" s="251"/>
      <c r="AU267" s="252"/>
      <c r="AV267" s="252"/>
      <c r="AW267" s="252"/>
      <c r="AX267" s="252"/>
      <c r="AY267" s="252"/>
      <c r="AZ267" s="252"/>
      <c r="BA267" s="253"/>
      <c r="BB267" s="253"/>
      <c r="BC267" s="253"/>
      <c r="BD267" s="253"/>
      <c r="BE267" s="249"/>
      <c r="BF267" s="249"/>
      <c r="BG267" s="249"/>
      <c r="BH267" s="249"/>
      <c r="BI267" s="249"/>
      <c r="BJ267" s="254"/>
      <c r="BK267" s="250"/>
      <c r="BL267" s="250"/>
      <c r="BM267" s="250"/>
      <c r="BN267" s="250"/>
      <c r="BO267" s="250"/>
      <c r="BP267" s="250"/>
      <c r="BQ267" s="250"/>
      <c r="BR267" s="250"/>
      <c r="BS267" s="250"/>
      <c r="BT267" s="250"/>
      <c r="BU267" s="250"/>
      <c r="BV267" s="250"/>
      <c r="BW267" s="251"/>
      <c r="BX267" s="251"/>
      <c r="BY267" s="251"/>
      <c r="BZ267" s="251"/>
      <c r="CA267" s="251"/>
      <c r="CB267" s="251"/>
      <c r="CC267" s="251"/>
      <c r="CD267" s="251"/>
      <c r="CE267" s="251"/>
      <c r="CF267" s="251"/>
      <c r="CG267" s="251"/>
      <c r="CH267" s="255"/>
      <c r="CI267" s="251"/>
      <c r="CJ267" s="251"/>
      <c r="CK267" s="251"/>
      <c r="CL267" s="251"/>
      <c r="CM267" s="251"/>
      <c r="CN267" s="251"/>
      <c r="CO267" s="252"/>
      <c r="CP267" s="252"/>
      <c r="CQ267" s="252"/>
      <c r="CR267" s="529"/>
      <c r="CS267" s="529"/>
      <c r="CT267" s="529"/>
      <c r="CU267" s="529"/>
      <c r="CV267" s="529"/>
      <c r="CW267" s="529"/>
      <c r="CX267" s="529"/>
      <c r="CY267" s="530"/>
      <c r="CZ267" s="252"/>
      <c r="DA267" s="586"/>
      <c r="DB267" s="586"/>
      <c r="DC267" s="655"/>
      <c r="DD267" s="637"/>
      <c r="DE267" s="637"/>
      <c r="DF267" s="637"/>
      <c r="DG267" s="637"/>
      <c r="DH267" s="637"/>
      <c r="DI267" s="637"/>
      <c r="DJ267" s="637"/>
      <c r="DK267" s="617"/>
      <c r="DL267" s="495">
        <f t="shared" si="304"/>
        <v>0</v>
      </c>
      <c r="DM267" s="84">
        <f t="shared" si="305"/>
        <v>0</v>
      </c>
      <c r="DN267" s="84">
        <f t="shared" si="306"/>
        <v>0</v>
      </c>
      <c r="DO267" s="125">
        <f t="shared" si="307"/>
        <v>0</v>
      </c>
    </row>
    <row r="268" spans="2:123" s="834" customFormat="1" ht="16.5" hidden="1" customHeight="1" outlineLevel="1" thickBot="1" x14ac:dyDescent="0.35">
      <c r="B268" s="813"/>
      <c r="C268" s="814"/>
      <c r="D268" s="819"/>
      <c r="E268" s="820" t="s">
        <v>254</v>
      </c>
      <c r="F268" s="821"/>
      <c r="G268" s="822"/>
      <c r="H268" s="823"/>
      <c r="I268" s="903"/>
      <c r="J268" s="824">
        <f>SUM(J254:J267)</f>
        <v>0</v>
      </c>
      <c r="K268" s="824">
        <f t="shared" ref="K268:CL268" si="308">SUM(K254:K267)</f>
        <v>0</v>
      </c>
      <c r="L268" s="824">
        <f t="shared" si="308"/>
        <v>0</v>
      </c>
      <c r="M268" s="824">
        <f t="shared" si="308"/>
        <v>0</v>
      </c>
      <c r="N268" s="824">
        <f t="shared" si="308"/>
        <v>0</v>
      </c>
      <c r="O268" s="824">
        <f t="shared" si="308"/>
        <v>0</v>
      </c>
      <c r="P268" s="824">
        <f t="shared" si="308"/>
        <v>0</v>
      </c>
      <c r="Q268" s="824">
        <f t="shared" si="308"/>
        <v>0</v>
      </c>
      <c r="R268" s="824">
        <f t="shared" si="308"/>
        <v>0</v>
      </c>
      <c r="S268" s="824">
        <f t="shared" si="308"/>
        <v>0</v>
      </c>
      <c r="T268" s="824">
        <f t="shared" si="308"/>
        <v>0</v>
      </c>
      <c r="U268" s="825">
        <f t="shared" si="308"/>
        <v>0</v>
      </c>
      <c r="V268" s="825">
        <f t="shared" si="308"/>
        <v>0</v>
      </c>
      <c r="W268" s="825">
        <f t="shared" si="308"/>
        <v>0</v>
      </c>
      <c r="X268" s="825">
        <f t="shared" si="308"/>
        <v>0</v>
      </c>
      <c r="Y268" s="825">
        <f t="shared" si="308"/>
        <v>0</v>
      </c>
      <c r="Z268" s="825">
        <f t="shared" si="308"/>
        <v>0</v>
      </c>
      <c r="AA268" s="825">
        <f t="shared" si="308"/>
        <v>0</v>
      </c>
      <c r="AB268" s="825">
        <f t="shared" ref="AB268:AD268" si="309">SUM(AB254:AB267)</f>
        <v>0</v>
      </c>
      <c r="AC268" s="825">
        <f t="shared" si="309"/>
        <v>0</v>
      </c>
      <c r="AD268" s="825">
        <f t="shared" si="309"/>
        <v>0</v>
      </c>
      <c r="AE268" s="825">
        <f t="shared" si="308"/>
        <v>0</v>
      </c>
      <c r="AF268" s="825">
        <f t="shared" si="308"/>
        <v>0</v>
      </c>
      <c r="AG268" s="825">
        <f t="shared" si="308"/>
        <v>0</v>
      </c>
      <c r="AH268" s="825">
        <f t="shared" si="308"/>
        <v>0</v>
      </c>
      <c r="AI268" s="825">
        <f t="shared" ref="AI268:AO268" si="310">SUM(AI254:AI267)</f>
        <v>0</v>
      </c>
      <c r="AJ268" s="825">
        <f t="shared" si="310"/>
        <v>0</v>
      </c>
      <c r="AK268" s="825">
        <f t="shared" si="310"/>
        <v>0</v>
      </c>
      <c r="AL268" s="825">
        <f t="shared" si="310"/>
        <v>0</v>
      </c>
      <c r="AM268" s="825">
        <f t="shared" si="310"/>
        <v>0</v>
      </c>
      <c r="AN268" s="825">
        <f t="shared" si="310"/>
        <v>0</v>
      </c>
      <c r="AO268" s="825">
        <f t="shared" si="310"/>
        <v>0</v>
      </c>
      <c r="AP268" s="826">
        <f t="shared" si="308"/>
        <v>0</v>
      </c>
      <c r="AQ268" s="826">
        <f t="shared" ref="AQ268" si="311">SUM(AQ254:AQ267)</f>
        <v>0</v>
      </c>
      <c r="AR268" s="826">
        <f t="shared" si="308"/>
        <v>0</v>
      </c>
      <c r="AS268" s="826">
        <f t="shared" si="308"/>
        <v>0</v>
      </c>
      <c r="AT268" s="826">
        <f t="shared" si="308"/>
        <v>0</v>
      </c>
      <c r="AU268" s="827">
        <f t="shared" si="308"/>
        <v>0</v>
      </c>
      <c r="AV268" s="827">
        <f t="shared" si="308"/>
        <v>0</v>
      </c>
      <c r="AW268" s="827">
        <f t="shared" si="308"/>
        <v>0</v>
      </c>
      <c r="AX268" s="827">
        <f t="shared" ref="AX268:AY268" si="312">SUM(AX254:AX267)</f>
        <v>0</v>
      </c>
      <c r="AY268" s="827">
        <f t="shared" si="312"/>
        <v>0</v>
      </c>
      <c r="AZ268" s="827">
        <f t="shared" si="308"/>
        <v>0</v>
      </c>
      <c r="BA268" s="828">
        <f t="shared" si="308"/>
        <v>0</v>
      </c>
      <c r="BB268" s="828">
        <f t="shared" si="308"/>
        <v>0</v>
      </c>
      <c r="BC268" s="828">
        <f t="shared" si="308"/>
        <v>0</v>
      </c>
      <c r="BD268" s="828">
        <f t="shared" si="308"/>
        <v>0</v>
      </c>
      <c r="BE268" s="824">
        <f t="shared" si="308"/>
        <v>0</v>
      </c>
      <c r="BF268" s="824">
        <f t="shared" si="308"/>
        <v>0</v>
      </c>
      <c r="BG268" s="824">
        <f t="shared" si="308"/>
        <v>0</v>
      </c>
      <c r="BH268" s="824">
        <f t="shared" si="308"/>
        <v>0</v>
      </c>
      <c r="BI268" s="824">
        <f t="shared" si="308"/>
        <v>0</v>
      </c>
      <c r="BJ268" s="824">
        <f t="shared" si="308"/>
        <v>0</v>
      </c>
      <c r="BK268" s="825">
        <f t="shared" si="308"/>
        <v>0</v>
      </c>
      <c r="BL268" s="825">
        <f t="shared" si="308"/>
        <v>0</v>
      </c>
      <c r="BM268" s="825">
        <f t="shared" si="308"/>
        <v>0</v>
      </c>
      <c r="BN268" s="825">
        <f t="shared" si="308"/>
        <v>0</v>
      </c>
      <c r="BO268" s="825">
        <f t="shared" si="308"/>
        <v>0</v>
      </c>
      <c r="BP268" s="825">
        <f t="shared" si="308"/>
        <v>0</v>
      </c>
      <c r="BQ268" s="825">
        <f t="shared" si="308"/>
        <v>0</v>
      </c>
      <c r="BR268" s="825">
        <f t="shared" ref="BR268" si="313">SUM(BR254:BR267)</f>
        <v>0</v>
      </c>
      <c r="BS268" s="825">
        <f t="shared" ref="BS268" si="314">SUM(BS254:BS267)</f>
        <v>0</v>
      </c>
      <c r="BT268" s="825">
        <f t="shared" si="308"/>
        <v>0</v>
      </c>
      <c r="BU268" s="825">
        <f t="shared" si="308"/>
        <v>0</v>
      </c>
      <c r="BV268" s="825">
        <f t="shared" si="308"/>
        <v>0</v>
      </c>
      <c r="BW268" s="826">
        <f t="shared" si="308"/>
        <v>0</v>
      </c>
      <c r="BX268" s="826">
        <f t="shared" si="308"/>
        <v>0</v>
      </c>
      <c r="BY268" s="826">
        <f t="shared" si="308"/>
        <v>0</v>
      </c>
      <c r="BZ268" s="826">
        <f t="shared" si="308"/>
        <v>0</v>
      </c>
      <c r="CA268" s="826">
        <f t="shared" si="308"/>
        <v>0</v>
      </c>
      <c r="CB268" s="826">
        <f t="shared" ref="CB268" si="315">SUM(CB254:CB267)</f>
        <v>0</v>
      </c>
      <c r="CC268" s="826">
        <f t="shared" si="308"/>
        <v>0</v>
      </c>
      <c r="CD268" s="826">
        <f t="shared" si="308"/>
        <v>0</v>
      </c>
      <c r="CE268" s="826">
        <f t="shared" si="308"/>
        <v>0</v>
      </c>
      <c r="CF268" s="826">
        <f t="shared" si="308"/>
        <v>0</v>
      </c>
      <c r="CG268" s="826">
        <f t="shared" si="308"/>
        <v>0</v>
      </c>
      <c r="CH268" s="826">
        <f t="shared" si="308"/>
        <v>0</v>
      </c>
      <c r="CI268" s="826">
        <f t="shared" si="308"/>
        <v>0</v>
      </c>
      <c r="CJ268" s="826">
        <f t="shared" si="308"/>
        <v>0</v>
      </c>
      <c r="CK268" s="826">
        <f t="shared" si="308"/>
        <v>0</v>
      </c>
      <c r="CL268" s="826">
        <f t="shared" si="308"/>
        <v>0</v>
      </c>
      <c r="CM268" s="826">
        <f t="shared" ref="CM268:DO268" si="316">SUM(CM254:CM267)</f>
        <v>0</v>
      </c>
      <c r="CN268" s="826">
        <f t="shared" si="316"/>
        <v>0</v>
      </c>
      <c r="CO268" s="827">
        <f t="shared" si="316"/>
        <v>0</v>
      </c>
      <c r="CP268" s="827">
        <f t="shared" si="316"/>
        <v>0</v>
      </c>
      <c r="CQ268" s="827">
        <f t="shared" si="316"/>
        <v>0</v>
      </c>
      <c r="CR268" s="827">
        <f t="shared" si="316"/>
        <v>0</v>
      </c>
      <c r="CS268" s="827">
        <f t="shared" si="316"/>
        <v>0</v>
      </c>
      <c r="CT268" s="827">
        <f t="shared" si="316"/>
        <v>0</v>
      </c>
      <c r="CU268" s="827">
        <f t="shared" si="316"/>
        <v>0</v>
      </c>
      <c r="CV268" s="827">
        <f t="shared" si="316"/>
        <v>0</v>
      </c>
      <c r="CW268" s="827">
        <f t="shared" si="316"/>
        <v>0</v>
      </c>
      <c r="CX268" s="827">
        <f t="shared" si="316"/>
        <v>0</v>
      </c>
      <c r="CY268" s="827">
        <f t="shared" si="316"/>
        <v>0</v>
      </c>
      <c r="CZ268" s="827">
        <f t="shared" si="316"/>
        <v>0</v>
      </c>
      <c r="DA268" s="827">
        <f t="shared" si="316"/>
        <v>0</v>
      </c>
      <c r="DB268" s="827">
        <f t="shared" si="316"/>
        <v>0</v>
      </c>
      <c r="DC268" s="824">
        <f t="shared" si="316"/>
        <v>0</v>
      </c>
      <c r="DD268" s="824">
        <f t="shared" si="316"/>
        <v>0</v>
      </c>
      <c r="DE268" s="824">
        <f t="shared" si="316"/>
        <v>0</v>
      </c>
      <c r="DF268" s="824">
        <f t="shared" si="316"/>
        <v>0</v>
      </c>
      <c r="DG268" s="824">
        <f t="shared" si="316"/>
        <v>0</v>
      </c>
      <c r="DH268" s="824">
        <f t="shared" si="316"/>
        <v>0</v>
      </c>
      <c r="DI268" s="824">
        <f t="shared" si="316"/>
        <v>0</v>
      </c>
      <c r="DJ268" s="824">
        <f t="shared" si="316"/>
        <v>0</v>
      </c>
      <c r="DK268" s="829">
        <f t="shared" si="316"/>
        <v>0</v>
      </c>
      <c r="DL268" s="830">
        <f t="shared" si="316"/>
        <v>0</v>
      </c>
      <c r="DM268" s="831">
        <f t="shared" si="316"/>
        <v>0</v>
      </c>
      <c r="DN268" s="831">
        <f t="shared" si="316"/>
        <v>0</v>
      </c>
      <c r="DO268" s="832">
        <f t="shared" si="316"/>
        <v>0</v>
      </c>
      <c r="DP268" s="833"/>
      <c r="DQ268" s="833"/>
      <c r="DR268" s="833"/>
      <c r="DS268" s="833"/>
    </row>
    <row r="269" spans="2:123" ht="32.1" hidden="1" customHeight="1" outlineLevel="1" x14ac:dyDescent="0.25">
      <c r="B269" s="813"/>
      <c r="C269" s="814"/>
      <c r="D269" s="799" t="s">
        <v>139</v>
      </c>
      <c r="E269" s="780" t="s">
        <v>136</v>
      </c>
      <c r="F269" s="278" t="s">
        <v>8</v>
      </c>
      <c r="G269" s="280" t="s">
        <v>139</v>
      </c>
      <c r="H269" s="351"/>
      <c r="I269" s="931" t="s">
        <v>188</v>
      </c>
      <c r="J269" s="281"/>
      <c r="K269" s="281"/>
      <c r="L269" s="281"/>
      <c r="M269" s="281"/>
      <c r="N269" s="281"/>
      <c r="O269" s="281"/>
      <c r="P269" s="281"/>
      <c r="Q269" s="281"/>
      <c r="R269" s="281"/>
      <c r="S269" s="281"/>
      <c r="T269" s="281"/>
      <c r="U269" s="282"/>
      <c r="V269" s="282"/>
      <c r="W269" s="282"/>
      <c r="X269" s="282"/>
      <c r="Y269" s="282"/>
      <c r="Z269" s="282"/>
      <c r="AA269" s="282"/>
      <c r="AB269" s="282"/>
      <c r="AC269" s="282"/>
      <c r="AD269" s="282"/>
      <c r="AE269" s="282"/>
      <c r="AF269" s="282"/>
      <c r="AG269" s="282"/>
      <c r="AH269" s="282"/>
      <c r="AI269" s="282"/>
      <c r="AJ269" s="282"/>
      <c r="AK269" s="282"/>
      <c r="AL269" s="282"/>
      <c r="AM269" s="282"/>
      <c r="AN269" s="282"/>
      <c r="AO269" s="282"/>
      <c r="AP269" s="283"/>
      <c r="AQ269" s="283"/>
      <c r="AR269" s="283"/>
      <c r="AS269" s="283"/>
      <c r="AT269" s="283"/>
      <c r="AU269" s="284"/>
      <c r="AV269" s="284"/>
      <c r="AW269" s="284"/>
      <c r="AX269" s="284"/>
      <c r="AY269" s="284"/>
      <c r="AZ269" s="284"/>
      <c r="BA269" s="285"/>
      <c r="BB269" s="285"/>
      <c r="BC269" s="285"/>
      <c r="BD269" s="285"/>
      <c r="BE269" s="281"/>
      <c r="BF269" s="281"/>
      <c r="BG269" s="281"/>
      <c r="BH269" s="281"/>
      <c r="BI269" s="281"/>
      <c r="BJ269" s="286"/>
      <c r="BK269" s="282"/>
      <c r="BL269" s="282"/>
      <c r="BM269" s="282"/>
      <c r="BN269" s="282"/>
      <c r="BO269" s="282"/>
      <c r="BP269" s="282"/>
      <c r="BQ269" s="282"/>
      <c r="BR269" s="282"/>
      <c r="BS269" s="282"/>
      <c r="BT269" s="282"/>
      <c r="BU269" s="282"/>
      <c r="BV269" s="282"/>
      <c r="BW269" s="283"/>
      <c r="BX269" s="283"/>
      <c r="BY269" s="283"/>
      <c r="BZ269" s="283"/>
      <c r="CA269" s="283"/>
      <c r="CB269" s="283"/>
      <c r="CC269" s="283"/>
      <c r="CD269" s="283"/>
      <c r="CE269" s="283"/>
      <c r="CF269" s="283"/>
      <c r="CG269" s="283"/>
      <c r="CH269" s="287"/>
      <c r="CI269" s="283"/>
      <c r="CJ269" s="283"/>
      <c r="CK269" s="283"/>
      <c r="CL269" s="283"/>
      <c r="CM269" s="283"/>
      <c r="CN269" s="283"/>
      <c r="CO269" s="284"/>
      <c r="CP269" s="284"/>
      <c r="CQ269" s="284"/>
      <c r="CR269" s="542"/>
      <c r="CS269" s="542"/>
      <c r="CT269" s="542"/>
      <c r="CU269" s="542"/>
      <c r="CV269" s="542"/>
      <c r="CW269" s="542"/>
      <c r="CX269" s="542"/>
      <c r="CY269" s="543"/>
      <c r="CZ269" s="284"/>
      <c r="DA269" s="592"/>
      <c r="DB269" s="592"/>
      <c r="DC269" s="662"/>
      <c r="DD269" s="662"/>
      <c r="DE269" s="662"/>
      <c r="DF269" s="662"/>
      <c r="DG269" s="662"/>
      <c r="DH269" s="662"/>
      <c r="DI269" s="662"/>
      <c r="DJ269" s="662"/>
      <c r="DK269" s="667"/>
      <c r="DL269" s="495">
        <f t="shared" ref="DL269:DL280" si="317">SUM(J269:S269)*5+SUM(V269:AF269)+AH269*4+U269*2.5+AG269/0.75</f>
        <v>0</v>
      </c>
      <c r="DM269" s="84">
        <f t="shared" ref="DM269:DM280" si="318">SUM(J269:DK269)</f>
        <v>0</v>
      </c>
      <c r="DN269" s="84">
        <f t="shared" ref="DN269:DN280" si="319">SUM(BK269:BV269,)</f>
        <v>0</v>
      </c>
      <c r="DO269" s="125">
        <f t="shared" ref="DO269:DO280" si="320">SUM(AT269:AV269)+SUM(AW269:AZ269)*5</f>
        <v>0</v>
      </c>
    </row>
    <row r="270" spans="2:123" ht="32.1" hidden="1" customHeight="1" outlineLevel="1" x14ac:dyDescent="0.25">
      <c r="B270" s="813"/>
      <c r="C270" s="814"/>
      <c r="D270" s="805"/>
      <c r="E270" s="785"/>
      <c r="F270" s="278" t="s">
        <v>8</v>
      </c>
      <c r="G270" s="280" t="s">
        <v>139</v>
      </c>
      <c r="H270" s="351"/>
      <c r="I270" s="931" t="s">
        <v>56</v>
      </c>
      <c r="J270" s="281"/>
      <c r="K270" s="281"/>
      <c r="L270" s="281"/>
      <c r="M270" s="281"/>
      <c r="N270" s="281"/>
      <c r="O270" s="281"/>
      <c r="P270" s="281"/>
      <c r="Q270" s="281"/>
      <c r="R270" s="281"/>
      <c r="S270" s="281"/>
      <c r="T270" s="281"/>
      <c r="U270" s="282"/>
      <c r="V270" s="282"/>
      <c r="W270" s="282"/>
      <c r="X270" s="282"/>
      <c r="Y270" s="282"/>
      <c r="Z270" s="282"/>
      <c r="AA270" s="282"/>
      <c r="AB270" s="282"/>
      <c r="AC270" s="282"/>
      <c r="AD270" s="282"/>
      <c r="AE270" s="282"/>
      <c r="AF270" s="282"/>
      <c r="AG270" s="282"/>
      <c r="AH270" s="282"/>
      <c r="AI270" s="282"/>
      <c r="AJ270" s="282"/>
      <c r="AK270" s="282"/>
      <c r="AL270" s="282"/>
      <c r="AM270" s="282"/>
      <c r="AN270" s="282"/>
      <c r="AO270" s="282"/>
      <c r="AP270" s="283"/>
      <c r="AQ270" s="283"/>
      <c r="AR270" s="283"/>
      <c r="AS270" s="283"/>
      <c r="AT270" s="283"/>
      <c r="AU270" s="284"/>
      <c r="AV270" s="284"/>
      <c r="AW270" s="284"/>
      <c r="AX270" s="284"/>
      <c r="AY270" s="284"/>
      <c r="AZ270" s="284"/>
      <c r="BA270" s="285"/>
      <c r="BB270" s="285"/>
      <c r="BC270" s="285"/>
      <c r="BD270" s="285"/>
      <c r="BE270" s="281"/>
      <c r="BF270" s="281"/>
      <c r="BG270" s="281"/>
      <c r="BH270" s="281"/>
      <c r="BI270" s="281"/>
      <c r="BJ270" s="286"/>
      <c r="BK270" s="282"/>
      <c r="BL270" s="282"/>
      <c r="BM270" s="282"/>
      <c r="BN270" s="282"/>
      <c r="BO270" s="282"/>
      <c r="BP270" s="282"/>
      <c r="BQ270" s="282"/>
      <c r="BR270" s="282"/>
      <c r="BS270" s="282"/>
      <c r="BT270" s="282"/>
      <c r="BU270" s="282"/>
      <c r="BV270" s="282"/>
      <c r="BW270" s="283"/>
      <c r="BX270" s="283"/>
      <c r="BY270" s="283"/>
      <c r="BZ270" s="283"/>
      <c r="CA270" s="283"/>
      <c r="CB270" s="283"/>
      <c r="CC270" s="283"/>
      <c r="CD270" s="283"/>
      <c r="CE270" s="283"/>
      <c r="CF270" s="283"/>
      <c r="CG270" s="283"/>
      <c r="CH270" s="287"/>
      <c r="CI270" s="283"/>
      <c r="CJ270" s="283"/>
      <c r="CK270" s="283"/>
      <c r="CL270" s="283"/>
      <c r="CM270" s="283"/>
      <c r="CN270" s="283"/>
      <c r="CO270" s="284"/>
      <c r="CP270" s="284"/>
      <c r="CQ270" s="284"/>
      <c r="CR270" s="542"/>
      <c r="CS270" s="542"/>
      <c r="CT270" s="542"/>
      <c r="CU270" s="542"/>
      <c r="CV270" s="542"/>
      <c r="CW270" s="542"/>
      <c r="CX270" s="542"/>
      <c r="CY270" s="543"/>
      <c r="CZ270" s="284"/>
      <c r="DA270" s="284"/>
      <c r="DB270" s="284"/>
      <c r="DC270" s="281"/>
      <c r="DD270" s="641"/>
      <c r="DE270" s="641"/>
      <c r="DF270" s="641"/>
      <c r="DG270" s="641"/>
      <c r="DH270" s="641"/>
      <c r="DI270" s="641"/>
      <c r="DJ270" s="641"/>
      <c r="DK270" s="629"/>
      <c r="DL270" s="495">
        <f t="shared" si="317"/>
        <v>0</v>
      </c>
      <c r="DM270" s="84">
        <f t="shared" si="318"/>
        <v>0</v>
      </c>
      <c r="DN270" s="84">
        <f t="shared" si="319"/>
        <v>0</v>
      </c>
      <c r="DO270" s="125">
        <f t="shared" si="320"/>
        <v>0</v>
      </c>
    </row>
    <row r="271" spans="2:123" ht="32.1" hidden="1" customHeight="1" outlineLevel="1" x14ac:dyDescent="0.25">
      <c r="B271" s="813"/>
      <c r="C271" s="814"/>
      <c r="D271" s="805"/>
      <c r="E271" s="785"/>
      <c r="F271" s="278" t="s">
        <v>8</v>
      </c>
      <c r="G271" s="280" t="s">
        <v>139</v>
      </c>
      <c r="H271" s="353"/>
      <c r="I271" s="964" t="s">
        <v>67</v>
      </c>
      <c r="J271" s="281"/>
      <c r="K271" s="281"/>
      <c r="L271" s="281"/>
      <c r="M271" s="281"/>
      <c r="N271" s="281"/>
      <c r="O271" s="281"/>
      <c r="P271" s="281"/>
      <c r="Q271" s="281"/>
      <c r="R271" s="281"/>
      <c r="S271" s="281"/>
      <c r="T271" s="281"/>
      <c r="U271" s="282"/>
      <c r="V271" s="282"/>
      <c r="W271" s="282"/>
      <c r="X271" s="282"/>
      <c r="Y271" s="282"/>
      <c r="Z271" s="282"/>
      <c r="AA271" s="282"/>
      <c r="AB271" s="282"/>
      <c r="AC271" s="282"/>
      <c r="AD271" s="282"/>
      <c r="AE271" s="282"/>
      <c r="AF271" s="282"/>
      <c r="AG271" s="282"/>
      <c r="AH271" s="282"/>
      <c r="AI271" s="282"/>
      <c r="AJ271" s="282"/>
      <c r="AK271" s="282"/>
      <c r="AL271" s="282"/>
      <c r="AM271" s="282"/>
      <c r="AN271" s="282"/>
      <c r="AO271" s="282"/>
      <c r="AP271" s="283"/>
      <c r="AQ271" s="283"/>
      <c r="AR271" s="283"/>
      <c r="AS271" s="283"/>
      <c r="AT271" s="283"/>
      <c r="AU271" s="284"/>
      <c r="AV271" s="284"/>
      <c r="AW271" s="284"/>
      <c r="AX271" s="284"/>
      <c r="AY271" s="284"/>
      <c r="AZ271" s="284"/>
      <c r="BA271" s="285"/>
      <c r="BB271" s="285"/>
      <c r="BC271" s="285"/>
      <c r="BD271" s="285"/>
      <c r="BE271" s="281"/>
      <c r="BF271" s="281"/>
      <c r="BG271" s="281"/>
      <c r="BH271" s="281"/>
      <c r="BI271" s="281"/>
      <c r="BJ271" s="286"/>
      <c r="BK271" s="282"/>
      <c r="BL271" s="282"/>
      <c r="BM271" s="282"/>
      <c r="BN271" s="282"/>
      <c r="BO271" s="282"/>
      <c r="BP271" s="282"/>
      <c r="BQ271" s="282"/>
      <c r="BR271" s="282"/>
      <c r="BS271" s="282"/>
      <c r="BT271" s="282"/>
      <c r="BU271" s="282"/>
      <c r="BV271" s="282"/>
      <c r="BW271" s="283"/>
      <c r="BX271" s="283"/>
      <c r="BY271" s="283"/>
      <c r="BZ271" s="283"/>
      <c r="CA271" s="283"/>
      <c r="CB271" s="283"/>
      <c r="CC271" s="283"/>
      <c r="CD271" s="283"/>
      <c r="CE271" s="283"/>
      <c r="CF271" s="283"/>
      <c r="CG271" s="283"/>
      <c r="CH271" s="287"/>
      <c r="CI271" s="283"/>
      <c r="CJ271" s="283"/>
      <c r="CK271" s="283"/>
      <c r="CL271" s="283"/>
      <c r="CM271" s="283"/>
      <c r="CN271" s="283"/>
      <c r="CO271" s="284"/>
      <c r="CP271" s="284"/>
      <c r="CQ271" s="284"/>
      <c r="CR271" s="542"/>
      <c r="CS271" s="542"/>
      <c r="CT271" s="542"/>
      <c r="CU271" s="542"/>
      <c r="CV271" s="542"/>
      <c r="CW271" s="542"/>
      <c r="CX271" s="542"/>
      <c r="CY271" s="543"/>
      <c r="CZ271" s="284"/>
      <c r="DA271" s="592"/>
      <c r="DB271" s="592"/>
      <c r="DC271" s="662"/>
      <c r="DD271" s="641"/>
      <c r="DE271" s="641"/>
      <c r="DF271" s="641"/>
      <c r="DG271" s="641"/>
      <c r="DH271" s="641"/>
      <c r="DI271" s="641"/>
      <c r="DJ271" s="641"/>
      <c r="DK271" s="629"/>
      <c r="DL271" s="495">
        <f t="shared" si="317"/>
        <v>0</v>
      </c>
      <c r="DM271" s="84">
        <f t="shared" si="318"/>
        <v>0</v>
      </c>
      <c r="DN271" s="84">
        <f t="shared" si="319"/>
        <v>0</v>
      </c>
      <c r="DO271" s="125">
        <f t="shared" si="320"/>
        <v>0</v>
      </c>
    </row>
    <row r="272" spans="2:123" ht="32.1" hidden="1" customHeight="1" outlineLevel="1" thickBot="1" x14ac:dyDescent="0.3">
      <c r="B272" s="813"/>
      <c r="C272" s="814"/>
      <c r="D272" s="805"/>
      <c r="E272" s="785"/>
      <c r="F272" s="372" t="s">
        <v>8</v>
      </c>
      <c r="G272" s="373" t="s">
        <v>139</v>
      </c>
      <c r="H272" s="351"/>
      <c r="I272" s="974"/>
      <c r="J272" s="291"/>
      <c r="K272" s="291"/>
      <c r="L272" s="291"/>
      <c r="M272" s="291"/>
      <c r="N272" s="291"/>
      <c r="O272" s="291"/>
      <c r="P272" s="291"/>
      <c r="Q272" s="291"/>
      <c r="R272" s="291"/>
      <c r="S272" s="291"/>
      <c r="T272" s="291"/>
      <c r="U272" s="292"/>
      <c r="V272" s="292"/>
      <c r="W272" s="292"/>
      <c r="X272" s="292"/>
      <c r="Y272" s="292"/>
      <c r="Z272" s="292"/>
      <c r="AA272" s="292"/>
      <c r="AB272" s="292"/>
      <c r="AC272" s="292"/>
      <c r="AD272" s="292"/>
      <c r="AE272" s="292"/>
      <c r="AF272" s="292"/>
      <c r="AG272" s="292"/>
      <c r="AH272" s="292"/>
      <c r="AI272" s="292"/>
      <c r="AJ272" s="292"/>
      <c r="AK272" s="292"/>
      <c r="AL272" s="292"/>
      <c r="AM272" s="292"/>
      <c r="AN272" s="292"/>
      <c r="AO272" s="292"/>
      <c r="AP272" s="293"/>
      <c r="AQ272" s="293"/>
      <c r="AR272" s="293"/>
      <c r="AS272" s="293"/>
      <c r="AT272" s="441"/>
      <c r="AU272" s="294"/>
      <c r="AV272" s="294"/>
      <c r="AW272" s="294"/>
      <c r="AX272" s="294"/>
      <c r="AY272" s="294"/>
      <c r="AZ272" s="294"/>
      <c r="BA272" s="295"/>
      <c r="BB272" s="295"/>
      <c r="BC272" s="295"/>
      <c r="BD272" s="295"/>
      <c r="BE272" s="291"/>
      <c r="BF272" s="291"/>
      <c r="BG272" s="291"/>
      <c r="BH272" s="291"/>
      <c r="BI272" s="291"/>
      <c r="BJ272" s="296"/>
      <c r="BK272" s="292"/>
      <c r="BL272" s="292"/>
      <c r="BM272" s="292"/>
      <c r="BN272" s="292"/>
      <c r="BO272" s="292"/>
      <c r="BP272" s="292"/>
      <c r="BQ272" s="292"/>
      <c r="BR272" s="292"/>
      <c r="BS272" s="292"/>
      <c r="BT272" s="292"/>
      <c r="BU272" s="292"/>
      <c r="BV272" s="292"/>
      <c r="BW272" s="293"/>
      <c r="BX272" s="293"/>
      <c r="BY272" s="293"/>
      <c r="BZ272" s="293"/>
      <c r="CA272" s="293"/>
      <c r="CB272" s="293"/>
      <c r="CC272" s="293"/>
      <c r="CD272" s="293"/>
      <c r="CE272" s="293"/>
      <c r="CF272" s="293"/>
      <c r="CG272" s="293"/>
      <c r="CH272" s="297"/>
      <c r="CI272" s="293"/>
      <c r="CJ272" s="293"/>
      <c r="CK272" s="293"/>
      <c r="CL272" s="293"/>
      <c r="CM272" s="293"/>
      <c r="CN272" s="293"/>
      <c r="CO272" s="294"/>
      <c r="CP272" s="294"/>
      <c r="CQ272" s="294"/>
      <c r="CR272" s="544"/>
      <c r="CS272" s="544"/>
      <c r="CT272" s="544"/>
      <c r="CU272" s="544"/>
      <c r="CV272" s="544"/>
      <c r="CW272" s="544"/>
      <c r="CX272" s="544"/>
      <c r="CY272" s="545"/>
      <c r="CZ272" s="294"/>
      <c r="DA272" s="599"/>
      <c r="DB272" s="599"/>
      <c r="DC272" s="668"/>
      <c r="DD272" s="642"/>
      <c r="DE272" s="642"/>
      <c r="DF272" s="642"/>
      <c r="DG272" s="642"/>
      <c r="DH272" s="642"/>
      <c r="DI272" s="642"/>
      <c r="DJ272" s="642"/>
      <c r="DK272" s="630"/>
      <c r="DL272" s="496">
        <f t="shared" si="317"/>
        <v>0</v>
      </c>
      <c r="DM272" s="120">
        <f t="shared" si="318"/>
        <v>0</v>
      </c>
      <c r="DN272" s="120">
        <f t="shared" si="319"/>
        <v>0</v>
      </c>
      <c r="DO272" s="358">
        <f t="shared" si="320"/>
        <v>0</v>
      </c>
    </row>
    <row r="273" spans="2:123" ht="32.1" hidden="1" customHeight="1" outlineLevel="1" thickBot="1" x14ac:dyDescent="0.3">
      <c r="B273" s="813"/>
      <c r="C273" s="814"/>
      <c r="D273" s="805"/>
      <c r="E273" s="779" t="s">
        <v>137</v>
      </c>
      <c r="F273" s="268" t="s">
        <v>8</v>
      </c>
      <c r="G273" s="270" t="s">
        <v>139</v>
      </c>
      <c r="H273" s="443"/>
      <c r="I273" s="934" t="s">
        <v>241</v>
      </c>
      <c r="J273" s="379"/>
      <c r="K273" s="379"/>
      <c r="L273" s="379"/>
      <c r="M273" s="379"/>
      <c r="N273" s="379"/>
      <c r="O273" s="379"/>
      <c r="P273" s="379"/>
      <c r="Q273" s="379"/>
      <c r="R273" s="379"/>
      <c r="S273" s="379"/>
      <c r="T273" s="379"/>
      <c r="U273" s="380"/>
      <c r="V273" s="380"/>
      <c r="W273" s="380"/>
      <c r="X273" s="380"/>
      <c r="Y273" s="380"/>
      <c r="Z273" s="380"/>
      <c r="AA273" s="380"/>
      <c r="AB273" s="380"/>
      <c r="AC273" s="380"/>
      <c r="AD273" s="380"/>
      <c r="AE273" s="380"/>
      <c r="AF273" s="380"/>
      <c r="AG273" s="380"/>
      <c r="AH273" s="380"/>
      <c r="AI273" s="380"/>
      <c r="AJ273" s="380"/>
      <c r="AK273" s="380"/>
      <c r="AL273" s="380"/>
      <c r="AM273" s="380"/>
      <c r="AN273" s="380"/>
      <c r="AO273" s="380"/>
      <c r="AP273" s="381"/>
      <c r="AQ273" s="381"/>
      <c r="AR273" s="381"/>
      <c r="AS273" s="381"/>
      <c r="AT273" s="444"/>
      <c r="AU273" s="382"/>
      <c r="AV273" s="382"/>
      <c r="AW273" s="382"/>
      <c r="AX273" s="382"/>
      <c r="AY273" s="382"/>
      <c r="AZ273" s="382"/>
      <c r="BA273" s="383"/>
      <c r="BB273" s="383"/>
      <c r="BC273" s="383"/>
      <c r="BD273" s="383"/>
      <c r="BE273" s="379"/>
      <c r="BF273" s="379"/>
      <c r="BG273" s="379"/>
      <c r="BH273" s="379"/>
      <c r="BI273" s="379"/>
      <c r="BJ273" s="384"/>
      <c r="BK273" s="380"/>
      <c r="BL273" s="380"/>
      <c r="BM273" s="380"/>
      <c r="BN273" s="380"/>
      <c r="BO273" s="380"/>
      <c r="BP273" s="380"/>
      <c r="BQ273" s="380"/>
      <c r="BR273" s="380"/>
      <c r="BS273" s="380"/>
      <c r="BT273" s="380"/>
      <c r="BU273" s="380"/>
      <c r="BV273" s="380"/>
      <c r="BW273" s="381"/>
      <c r="BX273" s="381"/>
      <c r="BY273" s="381"/>
      <c r="BZ273" s="381"/>
      <c r="CA273" s="381"/>
      <c r="CB273" s="381"/>
      <c r="CC273" s="381"/>
      <c r="CD273" s="381"/>
      <c r="CE273" s="381"/>
      <c r="CF273" s="381"/>
      <c r="CG273" s="381"/>
      <c r="CH273" s="386"/>
      <c r="CI273" s="381"/>
      <c r="CJ273" s="381"/>
      <c r="CK273" s="381"/>
      <c r="CL273" s="381"/>
      <c r="CM273" s="381"/>
      <c r="CN273" s="381"/>
      <c r="CO273" s="382"/>
      <c r="CP273" s="382"/>
      <c r="CQ273" s="382"/>
      <c r="CR273" s="546"/>
      <c r="CS273" s="546"/>
      <c r="CT273" s="546"/>
      <c r="CU273" s="546"/>
      <c r="CV273" s="546"/>
      <c r="CW273" s="546"/>
      <c r="CX273" s="546"/>
      <c r="CY273" s="547"/>
      <c r="CZ273" s="382"/>
      <c r="DA273" s="600"/>
      <c r="DB273" s="600"/>
      <c r="DC273" s="669"/>
      <c r="DD273" s="643"/>
      <c r="DE273" s="643"/>
      <c r="DF273" s="643"/>
      <c r="DG273" s="643"/>
      <c r="DH273" s="643"/>
      <c r="DI273" s="643"/>
      <c r="DJ273" s="643"/>
      <c r="DK273" s="631"/>
      <c r="DL273" s="494">
        <f t="shared" si="317"/>
        <v>0</v>
      </c>
      <c r="DM273" s="122">
        <f t="shared" si="318"/>
        <v>0</v>
      </c>
      <c r="DN273" s="122">
        <f t="shared" si="319"/>
        <v>0</v>
      </c>
      <c r="DO273" s="124">
        <f t="shared" si="320"/>
        <v>0</v>
      </c>
    </row>
    <row r="274" spans="2:123" ht="32.1" hidden="1" customHeight="1" outlineLevel="1" thickBot="1" x14ac:dyDescent="0.3">
      <c r="B274" s="813"/>
      <c r="C274" s="814"/>
      <c r="D274" s="805"/>
      <c r="E274" s="779"/>
      <c r="F274" s="278" t="s">
        <v>8</v>
      </c>
      <c r="G274" s="280" t="s">
        <v>139</v>
      </c>
      <c r="H274" s="351"/>
      <c r="I274" s="931" t="s">
        <v>242</v>
      </c>
      <c r="J274" s="281"/>
      <c r="K274" s="281"/>
      <c r="L274" s="281"/>
      <c r="M274" s="281"/>
      <c r="N274" s="281"/>
      <c r="O274" s="281"/>
      <c r="P274" s="281"/>
      <c r="Q274" s="281"/>
      <c r="R274" s="281"/>
      <c r="S274" s="281"/>
      <c r="T274" s="281"/>
      <c r="U274" s="282"/>
      <c r="V274" s="282"/>
      <c r="W274" s="282"/>
      <c r="X274" s="282"/>
      <c r="Y274" s="282"/>
      <c r="Z274" s="282"/>
      <c r="AA274" s="282"/>
      <c r="AB274" s="282"/>
      <c r="AC274" s="282"/>
      <c r="AD274" s="282"/>
      <c r="AE274" s="282"/>
      <c r="AF274" s="282"/>
      <c r="AG274" s="282"/>
      <c r="AH274" s="282"/>
      <c r="AI274" s="282"/>
      <c r="AJ274" s="282"/>
      <c r="AK274" s="282"/>
      <c r="AL274" s="282"/>
      <c r="AM274" s="282"/>
      <c r="AN274" s="282"/>
      <c r="AO274" s="282"/>
      <c r="AP274" s="283"/>
      <c r="AQ274" s="283"/>
      <c r="AR274" s="283"/>
      <c r="AS274" s="283"/>
      <c r="AT274" s="355"/>
      <c r="AU274" s="284"/>
      <c r="AV274" s="284"/>
      <c r="AW274" s="284"/>
      <c r="AX274" s="284"/>
      <c r="AY274" s="284"/>
      <c r="AZ274" s="284"/>
      <c r="BA274" s="285"/>
      <c r="BB274" s="285"/>
      <c r="BC274" s="285"/>
      <c r="BD274" s="285"/>
      <c r="BE274" s="281"/>
      <c r="BF274" s="281"/>
      <c r="BG274" s="281"/>
      <c r="BH274" s="281"/>
      <c r="BI274" s="281"/>
      <c r="BJ274" s="286"/>
      <c r="BK274" s="282"/>
      <c r="BL274" s="282"/>
      <c r="BM274" s="282"/>
      <c r="BN274" s="282"/>
      <c r="BO274" s="282"/>
      <c r="BP274" s="282"/>
      <c r="BQ274" s="282"/>
      <c r="BR274" s="282"/>
      <c r="BS274" s="282"/>
      <c r="BT274" s="282"/>
      <c r="BU274" s="282"/>
      <c r="BV274" s="282"/>
      <c r="BW274" s="283"/>
      <c r="BX274" s="283"/>
      <c r="BY274" s="283"/>
      <c r="BZ274" s="283"/>
      <c r="CA274" s="283"/>
      <c r="CB274" s="283"/>
      <c r="CC274" s="283"/>
      <c r="CD274" s="283"/>
      <c r="CE274" s="283"/>
      <c r="CF274" s="283"/>
      <c r="CG274" s="283"/>
      <c r="CH274" s="287"/>
      <c r="CI274" s="283"/>
      <c r="CJ274" s="283"/>
      <c r="CK274" s="283"/>
      <c r="CL274" s="283"/>
      <c r="CM274" s="283"/>
      <c r="CN274" s="283"/>
      <c r="CO274" s="284"/>
      <c r="CP274" s="284"/>
      <c r="CQ274" s="284"/>
      <c r="CR274" s="542"/>
      <c r="CS274" s="542"/>
      <c r="CT274" s="542"/>
      <c r="CU274" s="542"/>
      <c r="CV274" s="542"/>
      <c r="CW274" s="542"/>
      <c r="CX274" s="542"/>
      <c r="CY274" s="543"/>
      <c r="CZ274" s="284"/>
      <c r="DA274" s="579"/>
      <c r="DB274" s="579"/>
      <c r="DC274" s="648"/>
      <c r="DD274" s="641"/>
      <c r="DE274" s="641"/>
      <c r="DF274" s="641"/>
      <c r="DG274" s="641"/>
      <c r="DH274" s="641"/>
      <c r="DI274" s="641"/>
      <c r="DJ274" s="641"/>
      <c r="DK274" s="629"/>
      <c r="DL274" s="495">
        <f t="shared" si="317"/>
        <v>0</v>
      </c>
      <c r="DM274" s="84">
        <f t="shared" si="318"/>
        <v>0</v>
      </c>
      <c r="DN274" s="84">
        <f t="shared" si="319"/>
        <v>0</v>
      </c>
      <c r="DO274" s="125">
        <f t="shared" si="320"/>
        <v>0</v>
      </c>
    </row>
    <row r="275" spans="2:123" ht="32.1" hidden="1" customHeight="1" outlineLevel="1" thickBot="1" x14ac:dyDescent="0.3">
      <c r="B275" s="813"/>
      <c r="C275" s="814"/>
      <c r="D275" s="805"/>
      <c r="E275" s="779"/>
      <c r="F275" s="278" t="s">
        <v>8</v>
      </c>
      <c r="G275" s="280" t="s">
        <v>139</v>
      </c>
      <c r="H275" s="351"/>
      <c r="I275" s="931" t="s">
        <v>176</v>
      </c>
      <c r="J275" s="281"/>
      <c r="K275" s="281"/>
      <c r="L275" s="281"/>
      <c r="M275" s="281"/>
      <c r="N275" s="281"/>
      <c r="O275" s="281"/>
      <c r="P275" s="281"/>
      <c r="Q275" s="281"/>
      <c r="R275" s="281"/>
      <c r="S275" s="281"/>
      <c r="T275" s="281"/>
      <c r="U275" s="282"/>
      <c r="V275" s="282"/>
      <c r="W275" s="282"/>
      <c r="X275" s="282"/>
      <c r="Y275" s="282"/>
      <c r="Z275" s="282"/>
      <c r="AA275" s="282"/>
      <c r="AB275" s="282"/>
      <c r="AC275" s="282"/>
      <c r="AD275" s="282"/>
      <c r="AE275" s="282"/>
      <c r="AF275" s="282"/>
      <c r="AG275" s="282"/>
      <c r="AH275" s="282"/>
      <c r="AI275" s="282"/>
      <c r="AJ275" s="282"/>
      <c r="AK275" s="282"/>
      <c r="AL275" s="282"/>
      <c r="AM275" s="282"/>
      <c r="AN275" s="282"/>
      <c r="AO275" s="282"/>
      <c r="AP275" s="283"/>
      <c r="AQ275" s="283"/>
      <c r="AR275" s="283"/>
      <c r="AS275" s="283"/>
      <c r="AT275" s="355"/>
      <c r="AU275" s="284"/>
      <c r="AV275" s="284"/>
      <c r="AW275" s="284"/>
      <c r="AX275" s="284"/>
      <c r="AY275" s="284"/>
      <c r="AZ275" s="284"/>
      <c r="BA275" s="285"/>
      <c r="BB275" s="285"/>
      <c r="BC275" s="285"/>
      <c r="BD275" s="285"/>
      <c r="BE275" s="281"/>
      <c r="BF275" s="281"/>
      <c r="BG275" s="281"/>
      <c r="BH275" s="281"/>
      <c r="BI275" s="281"/>
      <c r="BJ275" s="286"/>
      <c r="BK275" s="282"/>
      <c r="BL275" s="282"/>
      <c r="BM275" s="282"/>
      <c r="BN275" s="282"/>
      <c r="BO275" s="282"/>
      <c r="BP275" s="282"/>
      <c r="BQ275" s="282"/>
      <c r="BR275" s="282"/>
      <c r="BS275" s="282"/>
      <c r="BT275" s="282"/>
      <c r="BU275" s="282"/>
      <c r="BV275" s="282"/>
      <c r="BW275" s="283"/>
      <c r="BX275" s="283"/>
      <c r="BY275" s="283"/>
      <c r="BZ275" s="283"/>
      <c r="CA275" s="283"/>
      <c r="CB275" s="283"/>
      <c r="CC275" s="283"/>
      <c r="CD275" s="283"/>
      <c r="CE275" s="283"/>
      <c r="CF275" s="283"/>
      <c r="CG275" s="283"/>
      <c r="CH275" s="287"/>
      <c r="CI275" s="283"/>
      <c r="CJ275" s="283"/>
      <c r="CK275" s="283"/>
      <c r="CL275" s="283"/>
      <c r="CM275" s="283"/>
      <c r="CN275" s="283"/>
      <c r="CO275" s="284"/>
      <c r="CP275" s="284"/>
      <c r="CQ275" s="284"/>
      <c r="CR275" s="542"/>
      <c r="CS275" s="542"/>
      <c r="CT275" s="542"/>
      <c r="CU275" s="542"/>
      <c r="CV275" s="542"/>
      <c r="CW275" s="542"/>
      <c r="CX275" s="542"/>
      <c r="CY275" s="543"/>
      <c r="CZ275" s="284"/>
      <c r="DA275" s="579"/>
      <c r="DB275" s="579"/>
      <c r="DC275" s="648"/>
      <c r="DD275" s="641"/>
      <c r="DE275" s="641"/>
      <c r="DF275" s="641"/>
      <c r="DG275" s="641"/>
      <c r="DH275" s="641"/>
      <c r="DI275" s="641"/>
      <c r="DJ275" s="641"/>
      <c r="DK275" s="629"/>
      <c r="DL275" s="495">
        <f t="shared" si="317"/>
        <v>0</v>
      </c>
      <c r="DM275" s="84">
        <f t="shared" si="318"/>
        <v>0</v>
      </c>
      <c r="DN275" s="84">
        <f t="shared" si="319"/>
        <v>0</v>
      </c>
      <c r="DO275" s="125">
        <f t="shared" si="320"/>
        <v>0</v>
      </c>
    </row>
    <row r="276" spans="2:123" ht="32.1" hidden="1" customHeight="1" outlineLevel="1" thickBot="1" x14ac:dyDescent="0.3">
      <c r="B276" s="813"/>
      <c r="C276" s="814"/>
      <c r="D276" s="805"/>
      <c r="E276" s="779"/>
      <c r="F276" s="288" t="s">
        <v>8</v>
      </c>
      <c r="G276" s="290" t="s">
        <v>139</v>
      </c>
      <c r="H276" s="445"/>
      <c r="I276" s="935"/>
      <c r="J276" s="387"/>
      <c r="K276" s="387"/>
      <c r="L276" s="387"/>
      <c r="M276" s="387"/>
      <c r="N276" s="387"/>
      <c r="O276" s="387"/>
      <c r="P276" s="387"/>
      <c r="Q276" s="387"/>
      <c r="R276" s="387"/>
      <c r="S276" s="387"/>
      <c r="T276" s="387"/>
      <c r="U276" s="388"/>
      <c r="V276" s="388"/>
      <c r="W276" s="388"/>
      <c r="X276" s="388"/>
      <c r="Y276" s="388"/>
      <c r="Z276" s="388"/>
      <c r="AA276" s="388"/>
      <c r="AB276" s="388"/>
      <c r="AC276" s="388"/>
      <c r="AD276" s="388"/>
      <c r="AE276" s="388"/>
      <c r="AF276" s="388"/>
      <c r="AG276" s="388"/>
      <c r="AH276" s="388"/>
      <c r="AI276" s="388"/>
      <c r="AJ276" s="388"/>
      <c r="AK276" s="388"/>
      <c r="AL276" s="388"/>
      <c r="AM276" s="388"/>
      <c r="AN276" s="388"/>
      <c r="AO276" s="388"/>
      <c r="AP276" s="389"/>
      <c r="AQ276" s="389"/>
      <c r="AR276" s="389"/>
      <c r="AS276" s="389"/>
      <c r="AT276" s="446"/>
      <c r="AU276" s="390"/>
      <c r="AV276" s="390"/>
      <c r="AW276" s="390"/>
      <c r="AX276" s="390"/>
      <c r="AY276" s="390"/>
      <c r="AZ276" s="390"/>
      <c r="BA276" s="391"/>
      <c r="BB276" s="391"/>
      <c r="BC276" s="391"/>
      <c r="BD276" s="391"/>
      <c r="BE276" s="387"/>
      <c r="BF276" s="387"/>
      <c r="BG276" s="387"/>
      <c r="BH276" s="387"/>
      <c r="BI276" s="387"/>
      <c r="BJ276" s="392"/>
      <c r="BK276" s="388"/>
      <c r="BL276" s="388"/>
      <c r="BM276" s="388"/>
      <c r="BN276" s="388"/>
      <c r="BO276" s="388"/>
      <c r="BP276" s="388"/>
      <c r="BQ276" s="388"/>
      <c r="BR276" s="388"/>
      <c r="BS276" s="388"/>
      <c r="BT276" s="388"/>
      <c r="BU276" s="388"/>
      <c r="BV276" s="388"/>
      <c r="BW276" s="389"/>
      <c r="BX276" s="389"/>
      <c r="BY276" s="389"/>
      <c r="BZ276" s="389"/>
      <c r="CA276" s="389"/>
      <c r="CB276" s="389"/>
      <c r="CC276" s="389"/>
      <c r="CD276" s="389"/>
      <c r="CE276" s="389"/>
      <c r="CF276" s="389"/>
      <c r="CG276" s="389"/>
      <c r="CH276" s="394"/>
      <c r="CI276" s="389"/>
      <c r="CJ276" s="389"/>
      <c r="CK276" s="389"/>
      <c r="CL276" s="389"/>
      <c r="CM276" s="389"/>
      <c r="CN276" s="389"/>
      <c r="CO276" s="390"/>
      <c r="CP276" s="390"/>
      <c r="CQ276" s="390"/>
      <c r="CR276" s="548"/>
      <c r="CS276" s="548"/>
      <c r="CT276" s="548"/>
      <c r="CU276" s="548"/>
      <c r="CV276" s="548"/>
      <c r="CW276" s="548"/>
      <c r="CX276" s="548"/>
      <c r="CY276" s="549"/>
      <c r="CZ276" s="390"/>
      <c r="DA276" s="601"/>
      <c r="DB276" s="601"/>
      <c r="DC276" s="670"/>
      <c r="DD276" s="644"/>
      <c r="DE276" s="644"/>
      <c r="DF276" s="644"/>
      <c r="DG276" s="644"/>
      <c r="DH276" s="644"/>
      <c r="DI276" s="644"/>
      <c r="DJ276" s="644"/>
      <c r="DK276" s="632"/>
      <c r="DL276" s="497">
        <f t="shared" si="317"/>
        <v>0</v>
      </c>
      <c r="DM276" s="126">
        <f t="shared" si="318"/>
        <v>0</v>
      </c>
      <c r="DN276" s="126">
        <f t="shared" si="319"/>
        <v>0</v>
      </c>
      <c r="DO276" s="127">
        <f t="shared" si="320"/>
        <v>0</v>
      </c>
    </row>
    <row r="277" spans="2:123" ht="32.1" hidden="1" customHeight="1" outlineLevel="1" thickBot="1" x14ac:dyDescent="0.3">
      <c r="B277" s="813"/>
      <c r="C277" s="814"/>
      <c r="D277" s="805"/>
      <c r="E277" s="778" t="s">
        <v>138</v>
      </c>
      <c r="F277" s="375" t="s">
        <v>8</v>
      </c>
      <c r="G277" s="376" t="s">
        <v>139</v>
      </c>
      <c r="H277" s="351"/>
      <c r="I277" s="932" t="s">
        <v>86</v>
      </c>
      <c r="J277" s="271"/>
      <c r="K277" s="271"/>
      <c r="L277" s="271"/>
      <c r="M277" s="271"/>
      <c r="N277" s="271"/>
      <c r="O277" s="271"/>
      <c r="P277" s="271"/>
      <c r="Q277" s="271"/>
      <c r="R277" s="271"/>
      <c r="S277" s="271"/>
      <c r="T277" s="271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  <c r="AF277" s="272"/>
      <c r="AG277" s="272"/>
      <c r="AH277" s="272"/>
      <c r="AI277" s="272"/>
      <c r="AJ277" s="272"/>
      <c r="AK277" s="272"/>
      <c r="AL277" s="272"/>
      <c r="AM277" s="272"/>
      <c r="AN277" s="272"/>
      <c r="AO277" s="272"/>
      <c r="AP277" s="273"/>
      <c r="AQ277" s="273"/>
      <c r="AR277" s="273"/>
      <c r="AS277" s="273"/>
      <c r="AT277" s="442"/>
      <c r="AU277" s="274"/>
      <c r="AV277" s="274"/>
      <c r="AW277" s="274"/>
      <c r="AX277" s="274"/>
      <c r="AY277" s="274"/>
      <c r="AZ277" s="274"/>
      <c r="BA277" s="275"/>
      <c r="BB277" s="275"/>
      <c r="BC277" s="275"/>
      <c r="BD277" s="275"/>
      <c r="BE277" s="271"/>
      <c r="BF277" s="271"/>
      <c r="BG277" s="271"/>
      <c r="BH277" s="271"/>
      <c r="BI277" s="271"/>
      <c r="BJ277" s="276"/>
      <c r="BK277" s="272"/>
      <c r="BL277" s="272"/>
      <c r="BM277" s="272"/>
      <c r="BN277" s="272"/>
      <c r="BO277" s="272"/>
      <c r="BP277" s="272"/>
      <c r="BQ277" s="272"/>
      <c r="BR277" s="272"/>
      <c r="BS277" s="272"/>
      <c r="BT277" s="272"/>
      <c r="BU277" s="272"/>
      <c r="BV277" s="272"/>
      <c r="BW277" s="273"/>
      <c r="BX277" s="273"/>
      <c r="BY277" s="273"/>
      <c r="BZ277" s="273"/>
      <c r="CA277" s="273"/>
      <c r="CB277" s="273"/>
      <c r="CC277" s="273"/>
      <c r="CD277" s="273"/>
      <c r="CE277" s="273"/>
      <c r="CF277" s="273"/>
      <c r="CG277" s="273"/>
      <c r="CH277" s="277"/>
      <c r="CI277" s="273"/>
      <c r="CJ277" s="273"/>
      <c r="CK277" s="273"/>
      <c r="CL277" s="273"/>
      <c r="CM277" s="273"/>
      <c r="CN277" s="273"/>
      <c r="CO277" s="274"/>
      <c r="CP277" s="274"/>
      <c r="CQ277" s="274"/>
      <c r="CR277" s="540"/>
      <c r="CS277" s="540"/>
      <c r="CT277" s="540"/>
      <c r="CU277" s="540"/>
      <c r="CV277" s="540"/>
      <c r="CW277" s="540"/>
      <c r="CX277" s="540"/>
      <c r="CY277" s="541"/>
      <c r="CZ277" s="274"/>
      <c r="DA277" s="602"/>
      <c r="DB277" s="602"/>
      <c r="DC277" s="671"/>
      <c r="DD277" s="645"/>
      <c r="DE277" s="645"/>
      <c r="DF277" s="645"/>
      <c r="DG277" s="645"/>
      <c r="DH277" s="645"/>
      <c r="DI277" s="645"/>
      <c r="DJ277" s="645"/>
      <c r="DK277" s="628"/>
      <c r="DL277" s="498">
        <f t="shared" si="317"/>
        <v>0</v>
      </c>
      <c r="DM277" s="121">
        <f t="shared" si="318"/>
        <v>0</v>
      </c>
      <c r="DN277" s="121">
        <f t="shared" si="319"/>
        <v>0</v>
      </c>
      <c r="DO277" s="357">
        <f t="shared" si="320"/>
        <v>0</v>
      </c>
    </row>
    <row r="278" spans="2:123" ht="32.1" hidden="1" customHeight="1" outlineLevel="1" thickBot="1" x14ac:dyDescent="0.3">
      <c r="B278" s="813"/>
      <c r="C278" s="814"/>
      <c r="D278" s="805"/>
      <c r="E278" s="779"/>
      <c r="F278" s="278" t="s">
        <v>8</v>
      </c>
      <c r="G278" s="280" t="s">
        <v>139</v>
      </c>
      <c r="H278" s="351"/>
      <c r="I278" s="931"/>
      <c r="J278" s="281"/>
      <c r="K278" s="281"/>
      <c r="L278" s="281"/>
      <c r="M278" s="281"/>
      <c r="N278" s="281"/>
      <c r="O278" s="281"/>
      <c r="P278" s="281"/>
      <c r="Q278" s="281"/>
      <c r="R278" s="281"/>
      <c r="S278" s="281"/>
      <c r="T278" s="281"/>
      <c r="U278" s="282"/>
      <c r="V278" s="282"/>
      <c r="W278" s="282"/>
      <c r="X278" s="282"/>
      <c r="Y278" s="282"/>
      <c r="Z278" s="282"/>
      <c r="AA278" s="282"/>
      <c r="AB278" s="282"/>
      <c r="AC278" s="282"/>
      <c r="AD278" s="282"/>
      <c r="AE278" s="282"/>
      <c r="AF278" s="282"/>
      <c r="AG278" s="282"/>
      <c r="AH278" s="282"/>
      <c r="AI278" s="282"/>
      <c r="AJ278" s="282"/>
      <c r="AK278" s="282"/>
      <c r="AL278" s="282"/>
      <c r="AM278" s="282"/>
      <c r="AN278" s="282"/>
      <c r="AO278" s="282"/>
      <c r="AP278" s="283"/>
      <c r="AQ278" s="283"/>
      <c r="AR278" s="283"/>
      <c r="AS278" s="283"/>
      <c r="AT278" s="355"/>
      <c r="AU278" s="284"/>
      <c r="AV278" s="284"/>
      <c r="AW278" s="284"/>
      <c r="AX278" s="284"/>
      <c r="AY278" s="284"/>
      <c r="AZ278" s="284"/>
      <c r="BA278" s="285"/>
      <c r="BB278" s="285"/>
      <c r="BC278" s="285"/>
      <c r="BD278" s="285"/>
      <c r="BE278" s="281"/>
      <c r="BF278" s="281"/>
      <c r="BG278" s="281"/>
      <c r="BH278" s="281"/>
      <c r="BI278" s="281"/>
      <c r="BJ278" s="286"/>
      <c r="BK278" s="282"/>
      <c r="BL278" s="282"/>
      <c r="BM278" s="282"/>
      <c r="BN278" s="282"/>
      <c r="BO278" s="282"/>
      <c r="BP278" s="282"/>
      <c r="BQ278" s="282"/>
      <c r="BR278" s="282"/>
      <c r="BS278" s="282"/>
      <c r="BT278" s="282"/>
      <c r="BU278" s="282"/>
      <c r="BV278" s="282"/>
      <c r="BW278" s="283"/>
      <c r="BX278" s="283"/>
      <c r="BY278" s="283"/>
      <c r="BZ278" s="283"/>
      <c r="CA278" s="283"/>
      <c r="CB278" s="283"/>
      <c r="CC278" s="283"/>
      <c r="CD278" s="283"/>
      <c r="CE278" s="283"/>
      <c r="CF278" s="283"/>
      <c r="CG278" s="283"/>
      <c r="CH278" s="287"/>
      <c r="CI278" s="283"/>
      <c r="CJ278" s="283"/>
      <c r="CK278" s="283"/>
      <c r="CL278" s="283"/>
      <c r="CM278" s="283"/>
      <c r="CN278" s="283"/>
      <c r="CO278" s="284"/>
      <c r="CP278" s="284"/>
      <c r="CQ278" s="284"/>
      <c r="CR278" s="542"/>
      <c r="CS278" s="542"/>
      <c r="CT278" s="542"/>
      <c r="CU278" s="542"/>
      <c r="CV278" s="542"/>
      <c r="CW278" s="542"/>
      <c r="CX278" s="542"/>
      <c r="CY278" s="543"/>
      <c r="CZ278" s="284"/>
      <c r="DA278" s="579"/>
      <c r="DB278" s="579"/>
      <c r="DC278" s="648"/>
      <c r="DD278" s="641"/>
      <c r="DE278" s="641"/>
      <c r="DF278" s="641"/>
      <c r="DG278" s="641"/>
      <c r="DH278" s="641"/>
      <c r="DI278" s="641"/>
      <c r="DJ278" s="641"/>
      <c r="DK278" s="629"/>
      <c r="DL278" s="495">
        <f t="shared" si="317"/>
        <v>0</v>
      </c>
      <c r="DM278" s="84">
        <f t="shared" si="318"/>
        <v>0</v>
      </c>
      <c r="DN278" s="84">
        <f t="shared" si="319"/>
        <v>0</v>
      </c>
      <c r="DO278" s="125">
        <f t="shared" si="320"/>
        <v>0</v>
      </c>
    </row>
    <row r="279" spans="2:123" ht="32.1" hidden="1" customHeight="1" outlineLevel="1" thickBot="1" x14ac:dyDescent="0.3">
      <c r="B279" s="813"/>
      <c r="C279" s="814"/>
      <c r="D279" s="805"/>
      <c r="E279" s="779"/>
      <c r="F279" s="278" t="s">
        <v>8</v>
      </c>
      <c r="G279" s="280" t="s">
        <v>139</v>
      </c>
      <c r="H279" s="351"/>
      <c r="I279" s="931"/>
      <c r="J279" s="281"/>
      <c r="K279" s="281"/>
      <c r="L279" s="281"/>
      <c r="M279" s="281"/>
      <c r="N279" s="281"/>
      <c r="O279" s="281"/>
      <c r="P279" s="281"/>
      <c r="Q279" s="281"/>
      <c r="R279" s="281"/>
      <c r="S279" s="281"/>
      <c r="T279" s="281"/>
      <c r="U279" s="282"/>
      <c r="V279" s="282"/>
      <c r="W279" s="282"/>
      <c r="X279" s="282"/>
      <c r="Y279" s="282"/>
      <c r="Z279" s="282"/>
      <c r="AA279" s="282"/>
      <c r="AB279" s="282"/>
      <c r="AC279" s="282"/>
      <c r="AD279" s="282"/>
      <c r="AE279" s="282"/>
      <c r="AF279" s="282"/>
      <c r="AG279" s="282"/>
      <c r="AH279" s="282"/>
      <c r="AI279" s="282"/>
      <c r="AJ279" s="282"/>
      <c r="AK279" s="282"/>
      <c r="AL279" s="282"/>
      <c r="AM279" s="282"/>
      <c r="AN279" s="282"/>
      <c r="AO279" s="282"/>
      <c r="AP279" s="283"/>
      <c r="AQ279" s="283"/>
      <c r="AR279" s="283"/>
      <c r="AS279" s="283"/>
      <c r="AT279" s="355"/>
      <c r="AU279" s="284"/>
      <c r="AV279" s="284"/>
      <c r="AW279" s="284"/>
      <c r="AX279" s="284"/>
      <c r="AY279" s="284"/>
      <c r="AZ279" s="284"/>
      <c r="BA279" s="285"/>
      <c r="BB279" s="285"/>
      <c r="BC279" s="285"/>
      <c r="BD279" s="285"/>
      <c r="BE279" s="281"/>
      <c r="BF279" s="281"/>
      <c r="BG279" s="281"/>
      <c r="BH279" s="281"/>
      <c r="BI279" s="281"/>
      <c r="BJ279" s="286"/>
      <c r="BK279" s="282"/>
      <c r="BL279" s="282"/>
      <c r="BM279" s="282"/>
      <c r="BN279" s="282"/>
      <c r="BO279" s="282"/>
      <c r="BP279" s="282"/>
      <c r="BQ279" s="282"/>
      <c r="BR279" s="282"/>
      <c r="BS279" s="282"/>
      <c r="BT279" s="282"/>
      <c r="BU279" s="282"/>
      <c r="BV279" s="282"/>
      <c r="BW279" s="283"/>
      <c r="BX279" s="283"/>
      <c r="BY279" s="283"/>
      <c r="BZ279" s="283"/>
      <c r="CA279" s="283"/>
      <c r="CB279" s="283"/>
      <c r="CC279" s="283"/>
      <c r="CD279" s="283"/>
      <c r="CE279" s="283"/>
      <c r="CF279" s="283"/>
      <c r="CG279" s="283"/>
      <c r="CH279" s="287"/>
      <c r="CI279" s="283"/>
      <c r="CJ279" s="283"/>
      <c r="CK279" s="283"/>
      <c r="CL279" s="283"/>
      <c r="CM279" s="283"/>
      <c r="CN279" s="283"/>
      <c r="CO279" s="284"/>
      <c r="CP279" s="284"/>
      <c r="CQ279" s="284"/>
      <c r="CR279" s="542"/>
      <c r="CS279" s="542"/>
      <c r="CT279" s="542"/>
      <c r="CU279" s="542"/>
      <c r="CV279" s="542"/>
      <c r="CW279" s="542"/>
      <c r="CX279" s="542"/>
      <c r="CY279" s="543"/>
      <c r="CZ279" s="284"/>
      <c r="DA279" s="579"/>
      <c r="DB279" s="579"/>
      <c r="DC279" s="648"/>
      <c r="DD279" s="641"/>
      <c r="DE279" s="641"/>
      <c r="DF279" s="641"/>
      <c r="DG279" s="641"/>
      <c r="DH279" s="641"/>
      <c r="DI279" s="641"/>
      <c r="DJ279" s="641"/>
      <c r="DK279" s="629"/>
      <c r="DL279" s="495">
        <f t="shared" si="317"/>
        <v>0</v>
      </c>
      <c r="DM279" s="84">
        <f t="shared" si="318"/>
        <v>0</v>
      </c>
      <c r="DN279" s="84">
        <f t="shared" si="319"/>
        <v>0</v>
      </c>
      <c r="DO279" s="125">
        <f t="shared" si="320"/>
        <v>0</v>
      </c>
    </row>
    <row r="280" spans="2:123" ht="32.1" hidden="1" customHeight="1" outlineLevel="1" thickBot="1" x14ac:dyDescent="0.3">
      <c r="B280" s="813"/>
      <c r="C280" s="814"/>
      <c r="D280" s="797"/>
      <c r="E280" s="779"/>
      <c r="F280" s="278" t="s">
        <v>8</v>
      </c>
      <c r="G280" s="280" t="s">
        <v>139</v>
      </c>
      <c r="H280" s="351"/>
      <c r="I280" s="931"/>
      <c r="J280" s="281"/>
      <c r="K280" s="281"/>
      <c r="L280" s="281"/>
      <c r="M280" s="281"/>
      <c r="N280" s="281"/>
      <c r="O280" s="281"/>
      <c r="P280" s="281"/>
      <c r="Q280" s="281"/>
      <c r="R280" s="281"/>
      <c r="S280" s="281"/>
      <c r="T280" s="281"/>
      <c r="U280" s="282"/>
      <c r="V280" s="282"/>
      <c r="W280" s="282"/>
      <c r="X280" s="282"/>
      <c r="Y280" s="282"/>
      <c r="Z280" s="282"/>
      <c r="AA280" s="282"/>
      <c r="AB280" s="282"/>
      <c r="AC280" s="282"/>
      <c r="AD280" s="282"/>
      <c r="AE280" s="282"/>
      <c r="AF280" s="282"/>
      <c r="AG280" s="282"/>
      <c r="AH280" s="282"/>
      <c r="AI280" s="282"/>
      <c r="AJ280" s="282"/>
      <c r="AK280" s="282"/>
      <c r="AL280" s="282"/>
      <c r="AM280" s="282"/>
      <c r="AN280" s="282"/>
      <c r="AO280" s="282"/>
      <c r="AP280" s="283"/>
      <c r="AQ280" s="283"/>
      <c r="AR280" s="283"/>
      <c r="AS280" s="283"/>
      <c r="AT280" s="355"/>
      <c r="AU280" s="284"/>
      <c r="AV280" s="284"/>
      <c r="AW280" s="284"/>
      <c r="AX280" s="284"/>
      <c r="AY280" s="284"/>
      <c r="AZ280" s="284"/>
      <c r="BA280" s="285"/>
      <c r="BB280" s="285"/>
      <c r="BC280" s="285"/>
      <c r="BD280" s="285"/>
      <c r="BE280" s="281"/>
      <c r="BF280" s="281"/>
      <c r="BG280" s="281"/>
      <c r="BH280" s="281"/>
      <c r="BI280" s="281"/>
      <c r="BJ280" s="286"/>
      <c r="BK280" s="282"/>
      <c r="BL280" s="282"/>
      <c r="BM280" s="282"/>
      <c r="BN280" s="282"/>
      <c r="BO280" s="282"/>
      <c r="BP280" s="282"/>
      <c r="BQ280" s="282"/>
      <c r="BR280" s="282"/>
      <c r="BS280" s="282"/>
      <c r="BT280" s="282"/>
      <c r="BU280" s="282"/>
      <c r="BV280" s="282"/>
      <c r="BW280" s="283"/>
      <c r="BX280" s="283"/>
      <c r="BY280" s="283"/>
      <c r="BZ280" s="283"/>
      <c r="CA280" s="283"/>
      <c r="CB280" s="283"/>
      <c r="CC280" s="283"/>
      <c r="CD280" s="283"/>
      <c r="CE280" s="283"/>
      <c r="CF280" s="283"/>
      <c r="CG280" s="283"/>
      <c r="CH280" s="287"/>
      <c r="CI280" s="283"/>
      <c r="CJ280" s="283"/>
      <c r="CK280" s="283"/>
      <c r="CL280" s="283"/>
      <c r="CM280" s="283"/>
      <c r="CN280" s="283"/>
      <c r="CO280" s="284"/>
      <c r="CP280" s="284"/>
      <c r="CQ280" s="284"/>
      <c r="CR280" s="542"/>
      <c r="CS280" s="542"/>
      <c r="CT280" s="542"/>
      <c r="CU280" s="542"/>
      <c r="CV280" s="542"/>
      <c r="CW280" s="542"/>
      <c r="CX280" s="542"/>
      <c r="CY280" s="543"/>
      <c r="CZ280" s="284"/>
      <c r="DA280" s="579"/>
      <c r="DB280" s="579"/>
      <c r="DC280" s="648"/>
      <c r="DD280" s="641"/>
      <c r="DE280" s="641"/>
      <c r="DF280" s="641"/>
      <c r="DG280" s="641"/>
      <c r="DH280" s="641"/>
      <c r="DI280" s="641"/>
      <c r="DJ280" s="641"/>
      <c r="DK280" s="629"/>
      <c r="DL280" s="495">
        <f t="shared" si="317"/>
        <v>0</v>
      </c>
      <c r="DM280" s="84">
        <f t="shared" si="318"/>
        <v>0</v>
      </c>
      <c r="DN280" s="84">
        <f t="shared" si="319"/>
        <v>0</v>
      </c>
      <c r="DO280" s="125">
        <f t="shared" si="320"/>
        <v>0</v>
      </c>
    </row>
    <row r="281" spans="2:123" s="834" customFormat="1" ht="16.5" hidden="1" customHeight="1" outlineLevel="1" thickBot="1" x14ac:dyDescent="0.35">
      <c r="B281" s="813"/>
      <c r="C281" s="814"/>
      <c r="D281" s="819"/>
      <c r="E281" s="820" t="s">
        <v>254</v>
      </c>
      <c r="F281" s="821"/>
      <c r="G281" s="822"/>
      <c r="H281" s="823"/>
      <c r="I281" s="903"/>
      <c r="J281" s="824">
        <f>SUM(J269:J280)</f>
        <v>0</v>
      </c>
      <c r="K281" s="824">
        <f t="shared" ref="K281:CL281" si="321">SUM(K269:K280)</f>
        <v>0</v>
      </c>
      <c r="L281" s="824">
        <f t="shared" si="321"/>
        <v>0</v>
      </c>
      <c r="M281" s="824">
        <f t="shared" si="321"/>
        <v>0</v>
      </c>
      <c r="N281" s="824">
        <f t="shared" si="321"/>
        <v>0</v>
      </c>
      <c r="O281" s="824">
        <f t="shared" si="321"/>
        <v>0</v>
      </c>
      <c r="P281" s="824">
        <f t="shared" si="321"/>
        <v>0</v>
      </c>
      <c r="Q281" s="824">
        <f t="shared" si="321"/>
        <v>0</v>
      </c>
      <c r="R281" s="824">
        <f t="shared" si="321"/>
        <v>0</v>
      </c>
      <c r="S281" s="824">
        <f t="shared" si="321"/>
        <v>0</v>
      </c>
      <c r="T281" s="824">
        <f t="shared" si="321"/>
        <v>0</v>
      </c>
      <c r="U281" s="825">
        <f t="shared" si="321"/>
        <v>0</v>
      </c>
      <c r="V281" s="825">
        <f t="shared" si="321"/>
        <v>0</v>
      </c>
      <c r="W281" s="825">
        <f t="shared" si="321"/>
        <v>0</v>
      </c>
      <c r="X281" s="825">
        <f t="shared" si="321"/>
        <v>0</v>
      </c>
      <c r="Y281" s="825">
        <f t="shared" si="321"/>
        <v>0</v>
      </c>
      <c r="Z281" s="825">
        <f t="shared" si="321"/>
        <v>0</v>
      </c>
      <c r="AA281" s="825">
        <f t="shared" si="321"/>
        <v>0</v>
      </c>
      <c r="AB281" s="825">
        <f t="shared" ref="AB281:AD281" si="322">SUM(AB269:AB280)</f>
        <v>0</v>
      </c>
      <c r="AC281" s="825">
        <f t="shared" si="322"/>
        <v>0</v>
      </c>
      <c r="AD281" s="825">
        <f t="shared" si="322"/>
        <v>0</v>
      </c>
      <c r="AE281" s="825">
        <f t="shared" si="321"/>
        <v>0</v>
      </c>
      <c r="AF281" s="825">
        <f t="shared" si="321"/>
        <v>0</v>
      </c>
      <c r="AG281" s="825">
        <f t="shared" si="321"/>
        <v>0</v>
      </c>
      <c r="AH281" s="825">
        <f t="shared" si="321"/>
        <v>0</v>
      </c>
      <c r="AI281" s="825">
        <f t="shared" ref="AI281:AO281" si="323">SUM(AI269:AI280)</f>
        <v>0</v>
      </c>
      <c r="AJ281" s="825">
        <f t="shared" si="323"/>
        <v>0</v>
      </c>
      <c r="AK281" s="825">
        <f t="shared" si="323"/>
        <v>0</v>
      </c>
      <c r="AL281" s="825">
        <f t="shared" si="323"/>
        <v>0</v>
      </c>
      <c r="AM281" s="825">
        <f t="shared" si="323"/>
        <v>0</v>
      </c>
      <c r="AN281" s="825">
        <f t="shared" si="323"/>
        <v>0</v>
      </c>
      <c r="AO281" s="825">
        <f t="shared" si="323"/>
        <v>0</v>
      </c>
      <c r="AP281" s="826">
        <f t="shared" si="321"/>
        <v>0</v>
      </c>
      <c r="AQ281" s="826">
        <f t="shared" ref="AQ281" si="324">SUM(AQ269:AQ280)</f>
        <v>0</v>
      </c>
      <c r="AR281" s="826">
        <f t="shared" si="321"/>
        <v>0</v>
      </c>
      <c r="AS281" s="826">
        <f t="shared" si="321"/>
        <v>0</v>
      </c>
      <c r="AT281" s="826">
        <f t="shared" si="321"/>
        <v>0</v>
      </c>
      <c r="AU281" s="827">
        <f t="shared" si="321"/>
        <v>0</v>
      </c>
      <c r="AV281" s="827">
        <f t="shared" si="321"/>
        <v>0</v>
      </c>
      <c r="AW281" s="827">
        <f t="shared" si="321"/>
        <v>0</v>
      </c>
      <c r="AX281" s="827">
        <f t="shared" ref="AX281:AY281" si="325">SUM(AX269:AX280)</f>
        <v>0</v>
      </c>
      <c r="AY281" s="827">
        <f t="shared" si="325"/>
        <v>0</v>
      </c>
      <c r="AZ281" s="827">
        <f t="shared" si="321"/>
        <v>0</v>
      </c>
      <c r="BA281" s="828">
        <f t="shared" si="321"/>
        <v>0</v>
      </c>
      <c r="BB281" s="828">
        <f t="shared" si="321"/>
        <v>0</v>
      </c>
      <c r="BC281" s="828">
        <f t="shared" si="321"/>
        <v>0</v>
      </c>
      <c r="BD281" s="828">
        <f t="shared" si="321"/>
        <v>0</v>
      </c>
      <c r="BE281" s="824">
        <f t="shared" si="321"/>
        <v>0</v>
      </c>
      <c r="BF281" s="824">
        <f t="shared" si="321"/>
        <v>0</v>
      </c>
      <c r="BG281" s="824">
        <f t="shared" si="321"/>
        <v>0</v>
      </c>
      <c r="BH281" s="824">
        <f t="shared" si="321"/>
        <v>0</v>
      </c>
      <c r="BI281" s="824">
        <f t="shared" si="321"/>
        <v>0</v>
      </c>
      <c r="BJ281" s="824">
        <f t="shared" si="321"/>
        <v>0</v>
      </c>
      <c r="BK281" s="825">
        <f t="shared" si="321"/>
        <v>0</v>
      </c>
      <c r="BL281" s="825">
        <f t="shared" si="321"/>
        <v>0</v>
      </c>
      <c r="BM281" s="825">
        <f t="shared" si="321"/>
        <v>0</v>
      </c>
      <c r="BN281" s="825">
        <f t="shared" si="321"/>
        <v>0</v>
      </c>
      <c r="BO281" s="825">
        <f t="shared" si="321"/>
        <v>0</v>
      </c>
      <c r="BP281" s="825">
        <f t="shared" si="321"/>
        <v>0</v>
      </c>
      <c r="BQ281" s="825">
        <f t="shared" si="321"/>
        <v>0</v>
      </c>
      <c r="BR281" s="825">
        <f t="shared" ref="BR281" si="326">SUM(BR269:BR280)</f>
        <v>0</v>
      </c>
      <c r="BS281" s="825">
        <f t="shared" ref="BS281" si="327">SUM(BS269:BS280)</f>
        <v>0</v>
      </c>
      <c r="BT281" s="825">
        <f t="shared" si="321"/>
        <v>0</v>
      </c>
      <c r="BU281" s="825">
        <f t="shared" si="321"/>
        <v>0</v>
      </c>
      <c r="BV281" s="825">
        <f t="shared" si="321"/>
        <v>0</v>
      </c>
      <c r="BW281" s="826">
        <f t="shared" si="321"/>
        <v>0</v>
      </c>
      <c r="BX281" s="826">
        <f t="shared" si="321"/>
        <v>0</v>
      </c>
      <c r="BY281" s="826">
        <f t="shared" si="321"/>
        <v>0</v>
      </c>
      <c r="BZ281" s="826">
        <f t="shared" si="321"/>
        <v>0</v>
      </c>
      <c r="CA281" s="826">
        <f t="shared" si="321"/>
        <v>0</v>
      </c>
      <c r="CB281" s="826">
        <f t="shared" ref="CB281" si="328">SUM(CB269:CB280)</f>
        <v>0</v>
      </c>
      <c r="CC281" s="826">
        <f t="shared" si="321"/>
        <v>0</v>
      </c>
      <c r="CD281" s="826">
        <f t="shared" si="321"/>
        <v>0</v>
      </c>
      <c r="CE281" s="826">
        <f t="shared" si="321"/>
        <v>0</v>
      </c>
      <c r="CF281" s="826">
        <f t="shared" si="321"/>
        <v>0</v>
      </c>
      <c r="CG281" s="826">
        <f t="shared" si="321"/>
        <v>0</v>
      </c>
      <c r="CH281" s="826">
        <f t="shared" si="321"/>
        <v>0</v>
      </c>
      <c r="CI281" s="826">
        <f t="shared" si="321"/>
        <v>0</v>
      </c>
      <c r="CJ281" s="826">
        <f t="shared" si="321"/>
        <v>0</v>
      </c>
      <c r="CK281" s="826">
        <f t="shared" si="321"/>
        <v>0</v>
      </c>
      <c r="CL281" s="826">
        <f t="shared" si="321"/>
        <v>0</v>
      </c>
      <c r="CM281" s="826">
        <f t="shared" ref="CM281:DO281" si="329">SUM(CM269:CM280)</f>
        <v>0</v>
      </c>
      <c r="CN281" s="826">
        <f t="shared" si="329"/>
        <v>0</v>
      </c>
      <c r="CO281" s="827">
        <f t="shared" si="329"/>
        <v>0</v>
      </c>
      <c r="CP281" s="827">
        <f t="shared" si="329"/>
        <v>0</v>
      </c>
      <c r="CQ281" s="827">
        <f t="shared" si="329"/>
        <v>0</v>
      </c>
      <c r="CR281" s="827">
        <f t="shared" si="329"/>
        <v>0</v>
      </c>
      <c r="CS281" s="827">
        <f t="shared" si="329"/>
        <v>0</v>
      </c>
      <c r="CT281" s="827">
        <f t="shared" si="329"/>
        <v>0</v>
      </c>
      <c r="CU281" s="827">
        <f t="shared" si="329"/>
        <v>0</v>
      </c>
      <c r="CV281" s="827">
        <f t="shared" si="329"/>
        <v>0</v>
      </c>
      <c r="CW281" s="827">
        <f t="shared" si="329"/>
        <v>0</v>
      </c>
      <c r="CX281" s="827">
        <f t="shared" si="329"/>
        <v>0</v>
      </c>
      <c r="CY281" s="827">
        <f t="shared" si="329"/>
        <v>0</v>
      </c>
      <c r="CZ281" s="827">
        <f t="shared" si="329"/>
        <v>0</v>
      </c>
      <c r="DA281" s="827">
        <f t="shared" si="329"/>
        <v>0</v>
      </c>
      <c r="DB281" s="827">
        <f t="shared" si="329"/>
        <v>0</v>
      </c>
      <c r="DC281" s="824">
        <f t="shared" si="329"/>
        <v>0</v>
      </c>
      <c r="DD281" s="824">
        <f t="shared" si="329"/>
        <v>0</v>
      </c>
      <c r="DE281" s="824">
        <f t="shared" si="329"/>
        <v>0</v>
      </c>
      <c r="DF281" s="824">
        <f t="shared" si="329"/>
        <v>0</v>
      </c>
      <c r="DG281" s="824">
        <f t="shared" si="329"/>
        <v>0</v>
      </c>
      <c r="DH281" s="824">
        <f t="shared" si="329"/>
        <v>0</v>
      </c>
      <c r="DI281" s="824">
        <f t="shared" si="329"/>
        <v>0</v>
      </c>
      <c r="DJ281" s="824">
        <f t="shared" si="329"/>
        <v>0</v>
      </c>
      <c r="DK281" s="829">
        <f t="shared" si="329"/>
        <v>0</v>
      </c>
      <c r="DL281" s="830">
        <f t="shared" si="329"/>
        <v>0</v>
      </c>
      <c r="DM281" s="831">
        <f t="shared" si="329"/>
        <v>0</v>
      </c>
      <c r="DN281" s="831">
        <f t="shared" si="329"/>
        <v>0</v>
      </c>
      <c r="DO281" s="832">
        <f t="shared" si="329"/>
        <v>0</v>
      </c>
      <c r="DP281" s="833"/>
      <c r="DQ281" s="833"/>
      <c r="DR281" s="833"/>
      <c r="DS281" s="833"/>
    </row>
    <row r="282" spans="2:123" ht="32.1" hidden="1" customHeight="1" outlineLevel="1" thickBot="1" x14ac:dyDescent="0.3">
      <c r="B282" s="813"/>
      <c r="C282" s="814"/>
      <c r="D282" s="801" t="s">
        <v>192</v>
      </c>
      <c r="E282" s="786"/>
      <c r="F282" s="308" t="s">
        <v>8</v>
      </c>
      <c r="G282" s="346" t="s">
        <v>192</v>
      </c>
      <c r="H282" s="347"/>
      <c r="I282" s="936" t="s">
        <v>64</v>
      </c>
      <c r="J282" s="311"/>
      <c r="K282" s="311"/>
      <c r="L282" s="311"/>
      <c r="M282" s="311"/>
      <c r="N282" s="311"/>
      <c r="O282" s="311"/>
      <c r="P282" s="311"/>
      <c r="Q282" s="311"/>
      <c r="R282" s="311"/>
      <c r="S282" s="311"/>
      <c r="T282" s="311"/>
      <c r="U282" s="312"/>
      <c r="V282" s="312"/>
      <c r="W282" s="312"/>
      <c r="X282" s="312"/>
      <c r="Y282" s="312"/>
      <c r="Z282" s="312"/>
      <c r="AA282" s="312"/>
      <c r="AB282" s="312"/>
      <c r="AC282" s="312"/>
      <c r="AD282" s="312"/>
      <c r="AE282" s="312"/>
      <c r="AF282" s="312"/>
      <c r="AG282" s="312"/>
      <c r="AH282" s="312"/>
      <c r="AI282" s="312"/>
      <c r="AJ282" s="312"/>
      <c r="AK282" s="312"/>
      <c r="AL282" s="312"/>
      <c r="AM282" s="312"/>
      <c r="AN282" s="312"/>
      <c r="AO282" s="312"/>
      <c r="AP282" s="313"/>
      <c r="AQ282" s="313"/>
      <c r="AR282" s="313"/>
      <c r="AS282" s="313"/>
      <c r="AT282" s="349"/>
      <c r="AU282" s="314"/>
      <c r="AV282" s="314"/>
      <c r="AW282" s="314"/>
      <c r="AX282" s="314"/>
      <c r="AY282" s="314"/>
      <c r="AZ282" s="314"/>
      <c r="BA282" s="315"/>
      <c r="BB282" s="315"/>
      <c r="BC282" s="315"/>
      <c r="BD282" s="315"/>
      <c r="BE282" s="311"/>
      <c r="BF282" s="311"/>
      <c r="BG282" s="311"/>
      <c r="BH282" s="311"/>
      <c r="BI282" s="311"/>
      <c r="BJ282" s="316"/>
      <c r="BK282" s="312"/>
      <c r="BL282" s="312"/>
      <c r="BM282" s="312"/>
      <c r="BN282" s="312"/>
      <c r="BO282" s="312"/>
      <c r="BP282" s="312"/>
      <c r="BQ282" s="312"/>
      <c r="BR282" s="312"/>
      <c r="BS282" s="312"/>
      <c r="BT282" s="312"/>
      <c r="BU282" s="312"/>
      <c r="BV282" s="312"/>
      <c r="BW282" s="313"/>
      <c r="BX282" s="313"/>
      <c r="BY282" s="313"/>
      <c r="BZ282" s="313"/>
      <c r="CA282" s="313"/>
      <c r="CB282" s="313"/>
      <c r="CC282" s="313"/>
      <c r="CD282" s="313"/>
      <c r="CE282" s="313"/>
      <c r="CF282" s="313"/>
      <c r="CG282" s="313"/>
      <c r="CH282" s="317"/>
      <c r="CI282" s="313"/>
      <c r="CJ282" s="313"/>
      <c r="CK282" s="313"/>
      <c r="CL282" s="313"/>
      <c r="CM282" s="313"/>
      <c r="CN282" s="313"/>
      <c r="CO282" s="314"/>
      <c r="CP282" s="314"/>
      <c r="CQ282" s="314"/>
      <c r="CR282" s="552"/>
      <c r="CS282" s="552"/>
      <c r="CT282" s="552"/>
      <c r="CU282" s="552"/>
      <c r="CV282" s="552"/>
      <c r="CW282" s="552"/>
      <c r="CX282" s="552"/>
      <c r="CY282" s="553"/>
      <c r="CZ282" s="314"/>
      <c r="DA282" s="596"/>
      <c r="DB282" s="596"/>
      <c r="DC282" s="666"/>
      <c r="DD282" s="646"/>
      <c r="DE282" s="646"/>
      <c r="DF282" s="646"/>
      <c r="DG282" s="646"/>
      <c r="DH282" s="646"/>
      <c r="DI282" s="646"/>
      <c r="DJ282" s="646"/>
      <c r="DK282" s="634"/>
      <c r="DL282" s="495">
        <f>SUM(J282:S282)*5+SUM(V282:AF282)+AH282*4+U282*2.5+AG282/0.75</f>
        <v>0</v>
      </c>
      <c r="DM282" s="84">
        <f>SUM(J282:DK282)</f>
        <v>0</v>
      </c>
      <c r="DN282" s="84">
        <f>SUM(BK282:BV282,)</f>
        <v>0</v>
      </c>
      <c r="DO282" s="125">
        <f>SUM(AT282:AV282)+SUM(AW282:AZ282)*5</f>
        <v>0</v>
      </c>
    </row>
    <row r="283" spans="2:123" ht="32.1" hidden="1" customHeight="1" outlineLevel="1" thickBot="1" x14ac:dyDescent="0.3">
      <c r="B283" s="813"/>
      <c r="C283" s="814"/>
      <c r="D283" s="801"/>
      <c r="E283" s="786"/>
      <c r="F283" s="308" t="s">
        <v>8</v>
      </c>
      <c r="G283" s="346" t="s">
        <v>192</v>
      </c>
      <c r="H283" s="347"/>
      <c r="I283" s="936" t="s">
        <v>60</v>
      </c>
      <c r="J283" s="311"/>
      <c r="K283" s="311"/>
      <c r="L283" s="311"/>
      <c r="M283" s="311"/>
      <c r="N283" s="311"/>
      <c r="O283" s="311"/>
      <c r="P283" s="311"/>
      <c r="Q283" s="311"/>
      <c r="R283" s="311"/>
      <c r="S283" s="311"/>
      <c r="T283" s="311"/>
      <c r="U283" s="312"/>
      <c r="V283" s="312"/>
      <c r="W283" s="312"/>
      <c r="X283" s="312"/>
      <c r="Y283" s="312"/>
      <c r="Z283" s="312"/>
      <c r="AA283" s="312"/>
      <c r="AB283" s="312"/>
      <c r="AC283" s="312"/>
      <c r="AD283" s="312"/>
      <c r="AE283" s="312"/>
      <c r="AF283" s="312"/>
      <c r="AG283" s="312"/>
      <c r="AH283" s="312"/>
      <c r="AI283" s="312"/>
      <c r="AJ283" s="312"/>
      <c r="AK283" s="312"/>
      <c r="AL283" s="312"/>
      <c r="AM283" s="312"/>
      <c r="AN283" s="312"/>
      <c r="AO283" s="312"/>
      <c r="AP283" s="313"/>
      <c r="AQ283" s="313"/>
      <c r="AR283" s="313"/>
      <c r="AS283" s="313"/>
      <c r="AT283" s="313"/>
      <c r="AU283" s="314"/>
      <c r="AV283" s="314"/>
      <c r="AW283" s="314"/>
      <c r="AX283" s="314"/>
      <c r="AY283" s="314"/>
      <c r="AZ283" s="314"/>
      <c r="BA283" s="315"/>
      <c r="BB283" s="315"/>
      <c r="BC283" s="315"/>
      <c r="BD283" s="315"/>
      <c r="BE283" s="311"/>
      <c r="BF283" s="311"/>
      <c r="BG283" s="311"/>
      <c r="BH283" s="311"/>
      <c r="BI283" s="311"/>
      <c r="BJ283" s="316"/>
      <c r="BK283" s="312"/>
      <c r="BL283" s="312"/>
      <c r="BM283" s="312"/>
      <c r="BN283" s="312"/>
      <c r="BO283" s="312"/>
      <c r="BP283" s="312"/>
      <c r="BQ283" s="312"/>
      <c r="BR283" s="312"/>
      <c r="BS283" s="312"/>
      <c r="BT283" s="312"/>
      <c r="BU283" s="312"/>
      <c r="BV283" s="312"/>
      <c r="BW283" s="313"/>
      <c r="BX283" s="313"/>
      <c r="BY283" s="313"/>
      <c r="BZ283" s="313"/>
      <c r="CA283" s="313"/>
      <c r="CB283" s="313"/>
      <c r="CC283" s="313"/>
      <c r="CD283" s="313"/>
      <c r="CE283" s="313"/>
      <c r="CF283" s="313"/>
      <c r="CG283" s="313"/>
      <c r="CH283" s="317"/>
      <c r="CI283" s="313"/>
      <c r="CJ283" s="313"/>
      <c r="CK283" s="313"/>
      <c r="CL283" s="313"/>
      <c r="CM283" s="313"/>
      <c r="CN283" s="313"/>
      <c r="CO283" s="314"/>
      <c r="CP283" s="314"/>
      <c r="CQ283" s="314"/>
      <c r="CR283" s="552"/>
      <c r="CS283" s="552"/>
      <c r="CT283" s="552"/>
      <c r="CU283" s="552"/>
      <c r="CV283" s="552"/>
      <c r="CW283" s="552"/>
      <c r="CX283" s="552"/>
      <c r="CY283" s="553"/>
      <c r="CZ283" s="314"/>
      <c r="DA283" s="596"/>
      <c r="DB283" s="596"/>
      <c r="DC283" s="666"/>
      <c r="DD283" s="646"/>
      <c r="DE283" s="646"/>
      <c r="DF283" s="646"/>
      <c r="DG283" s="646"/>
      <c r="DH283" s="646"/>
      <c r="DI283" s="646"/>
      <c r="DJ283" s="646"/>
      <c r="DK283" s="634"/>
      <c r="DL283" s="495">
        <f>SUM(J283:S283)*5+SUM(V283:AF283)+AH283*4+U283*2.5+AG283/0.75</f>
        <v>0</v>
      </c>
      <c r="DM283" s="84">
        <f>SUM(J283:DK283)</f>
        <v>0</v>
      </c>
      <c r="DN283" s="84">
        <f>SUM(BK283:BV283,)</f>
        <v>0</v>
      </c>
      <c r="DO283" s="125">
        <f>SUM(AT283:AV283)+SUM(AW283:AZ283)*5</f>
        <v>0</v>
      </c>
    </row>
    <row r="284" spans="2:123" ht="32.1" hidden="1" customHeight="1" outlineLevel="1" thickBot="1" x14ac:dyDescent="0.3">
      <c r="B284" s="813"/>
      <c r="C284" s="814"/>
      <c r="D284" s="801"/>
      <c r="E284" s="786"/>
      <c r="F284" s="308" t="s">
        <v>8</v>
      </c>
      <c r="G284" s="346" t="s">
        <v>192</v>
      </c>
      <c r="H284" s="347"/>
      <c r="I284" s="936" t="s">
        <v>98</v>
      </c>
      <c r="J284" s="311"/>
      <c r="K284" s="311"/>
      <c r="L284" s="311"/>
      <c r="M284" s="311"/>
      <c r="N284" s="311"/>
      <c r="O284" s="311"/>
      <c r="P284" s="311"/>
      <c r="Q284" s="311"/>
      <c r="R284" s="311"/>
      <c r="S284" s="311"/>
      <c r="T284" s="311"/>
      <c r="U284" s="312"/>
      <c r="V284" s="312"/>
      <c r="W284" s="312"/>
      <c r="X284" s="312"/>
      <c r="Y284" s="312"/>
      <c r="Z284" s="312"/>
      <c r="AA284" s="312"/>
      <c r="AB284" s="312"/>
      <c r="AC284" s="312"/>
      <c r="AD284" s="312"/>
      <c r="AE284" s="312"/>
      <c r="AF284" s="312"/>
      <c r="AG284" s="312"/>
      <c r="AH284" s="312"/>
      <c r="AI284" s="312"/>
      <c r="AJ284" s="312"/>
      <c r="AK284" s="312"/>
      <c r="AL284" s="312"/>
      <c r="AM284" s="312"/>
      <c r="AN284" s="312"/>
      <c r="AO284" s="312"/>
      <c r="AP284" s="313"/>
      <c r="AQ284" s="313"/>
      <c r="AR284" s="313"/>
      <c r="AS284" s="313"/>
      <c r="AT284" s="313"/>
      <c r="AU284" s="314"/>
      <c r="AV284" s="314"/>
      <c r="AW284" s="314"/>
      <c r="AX284" s="314"/>
      <c r="AY284" s="314"/>
      <c r="AZ284" s="314"/>
      <c r="BA284" s="315"/>
      <c r="BB284" s="315"/>
      <c r="BC284" s="315"/>
      <c r="BD284" s="315"/>
      <c r="BE284" s="311"/>
      <c r="BF284" s="311"/>
      <c r="BG284" s="311"/>
      <c r="BH284" s="311"/>
      <c r="BI284" s="311"/>
      <c r="BJ284" s="316"/>
      <c r="BK284" s="312"/>
      <c r="BL284" s="312"/>
      <c r="BM284" s="312"/>
      <c r="BN284" s="312"/>
      <c r="BO284" s="312"/>
      <c r="BP284" s="312"/>
      <c r="BQ284" s="312"/>
      <c r="BR284" s="312"/>
      <c r="BS284" s="312"/>
      <c r="BT284" s="312"/>
      <c r="BU284" s="312"/>
      <c r="BV284" s="312"/>
      <c r="BW284" s="313"/>
      <c r="BX284" s="313"/>
      <c r="BY284" s="313"/>
      <c r="BZ284" s="313"/>
      <c r="CA284" s="313"/>
      <c r="CB284" s="313"/>
      <c r="CC284" s="313"/>
      <c r="CD284" s="313"/>
      <c r="CE284" s="313"/>
      <c r="CF284" s="313"/>
      <c r="CG284" s="313"/>
      <c r="CH284" s="317"/>
      <c r="CI284" s="313"/>
      <c r="CJ284" s="313"/>
      <c r="CK284" s="313"/>
      <c r="CL284" s="313"/>
      <c r="CM284" s="313"/>
      <c r="CN284" s="313"/>
      <c r="CO284" s="314"/>
      <c r="CP284" s="314"/>
      <c r="CQ284" s="314"/>
      <c r="CR284" s="552"/>
      <c r="CS284" s="552"/>
      <c r="CT284" s="552"/>
      <c r="CU284" s="552"/>
      <c r="CV284" s="552"/>
      <c r="CW284" s="552"/>
      <c r="CX284" s="552"/>
      <c r="CY284" s="553"/>
      <c r="CZ284" s="314"/>
      <c r="DA284" s="596"/>
      <c r="DB284" s="596"/>
      <c r="DC284" s="666"/>
      <c r="DD284" s="646"/>
      <c r="DE284" s="646"/>
      <c r="DF284" s="646"/>
      <c r="DG284" s="646"/>
      <c r="DH284" s="646"/>
      <c r="DI284" s="646"/>
      <c r="DJ284" s="646"/>
      <c r="DK284" s="634"/>
      <c r="DL284" s="495">
        <f>SUM(J284:S284)*5+SUM(V284:AF284)+AH284*4+U284*2.5+AG284/0.75</f>
        <v>0</v>
      </c>
      <c r="DM284" s="84">
        <f>SUM(J284:DK284)</f>
        <v>0</v>
      </c>
      <c r="DN284" s="84">
        <f>SUM(BK284:BV284,)</f>
        <v>0</v>
      </c>
      <c r="DO284" s="125">
        <f>SUM(AT284:AV284)+SUM(AW284:AZ284)*5</f>
        <v>0</v>
      </c>
    </row>
    <row r="285" spans="2:123" ht="32.1" hidden="1" customHeight="1" outlineLevel="1" thickBot="1" x14ac:dyDescent="0.3">
      <c r="B285" s="813"/>
      <c r="C285" s="814"/>
      <c r="D285" s="801"/>
      <c r="E285" s="786"/>
      <c r="F285" s="308" t="s">
        <v>8</v>
      </c>
      <c r="G285" s="346" t="s">
        <v>192</v>
      </c>
      <c r="H285" s="347"/>
      <c r="I285" s="937" t="s">
        <v>67</v>
      </c>
      <c r="J285" s="311"/>
      <c r="K285" s="311"/>
      <c r="L285" s="311"/>
      <c r="M285" s="311"/>
      <c r="N285" s="311"/>
      <c r="O285" s="311"/>
      <c r="P285" s="311"/>
      <c r="Q285" s="311"/>
      <c r="R285" s="311"/>
      <c r="S285" s="311"/>
      <c r="T285" s="311"/>
      <c r="U285" s="312"/>
      <c r="V285" s="312"/>
      <c r="W285" s="312"/>
      <c r="X285" s="312"/>
      <c r="Y285" s="312"/>
      <c r="Z285" s="312"/>
      <c r="AA285" s="312"/>
      <c r="AB285" s="312"/>
      <c r="AC285" s="312"/>
      <c r="AD285" s="312"/>
      <c r="AE285" s="312"/>
      <c r="AF285" s="312"/>
      <c r="AG285" s="312"/>
      <c r="AH285" s="312"/>
      <c r="AI285" s="312"/>
      <c r="AJ285" s="312"/>
      <c r="AK285" s="312"/>
      <c r="AL285" s="312"/>
      <c r="AM285" s="312"/>
      <c r="AN285" s="312"/>
      <c r="AO285" s="312"/>
      <c r="AP285" s="313"/>
      <c r="AQ285" s="313"/>
      <c r="AR285" s="313"/>
      <c r="AS285" s="313"/>
      <c r="AT285" s="313"/>
      <c r="AU285" s="314"/>
      <c r="AV285" s="314"/>
      <c r="AW285" s="314"/>
      <c r="AX285" s="314"/>
      <c r="AY285" s="314"/>
      <c r="AZ285" s="314"/>
      <c r="BA285" s="315"/>
      <c r="BB285" s="315"/>
      <c r="BC285" s="315"/>
      <c r="BD285" s="315"/>
      <c r="BE285" s="311"/>
      <c r="BF285" s="311"/>
      <c r="BG285" s="311"/>
      <c r="BH285" s="311"/>
      <c r="BI285" s="311"/>
      <c r="BJ285" s="316"/>
      <c r="BK285" s="312"/>
      <c r="BL285" s="312"/>
      <c r="BM285" s="312"/>
      <c r="BN285" s="312"/>
      <c r="BO285" s="312"/>
      <c r="BP285" s="312"/>
      <c r="BQ285" s="312"/>
      <c r="BR285" s="312"/>
      <c r="BS285" s="312"/>
      <c r="BT285" s="312"/>
      <c r="BU285" s="312"/>
      <c r="BV285" s="312"/>
      <c r="BW285" s="313"/>
      <c r="BX285" s="313"/>
      <c r="BY285" s="313"/>
      <c r="BZ285" s="313"/>
      <c r="CA285" s="313"/>
      <c r="CB285" s="313"/>
      <c r="CC285" s="313"/>
      <c r="CD285" s="313"/>
      <c r="CE285" s="313"/>
      <c r="CF285" s="313"/>
      <c r="CG285" s="313"/>
      <c r="CH285" s="317"/>
      <c r="CI285" s="313"/>
      <c r="CJ285" s="313"/>
      <c r="CK285" s="313"/>
      <c r="CL285" s="313"/>
      <c r="CM285" s="313"/>
      <c r="CN285" s="313"/>
      <c r="CO285" s="314"/>
      <c r="CP285" s="314"/>
      <c r="CQ285" s="314"/>
      <c r="CR285" s="552"/>
      <c r="CS285" s="552"/>
      <c r="CT285" s="552"/>
      <c r="CU285" s="552"/>
      <c r="CV285" s="552"/>
      <c r="CW285" s="552"/>
      <c r="CX285" s="552"/>
      <c r="CY285" s="553"/>
      <c r="CZ285" s="314"/>
      <c r="DA285" s="596"/>
      <c r="DB285" s="596"/>
      <c r="DC285" s="666"/>
      <c r="DD285" s="646"/>
      <c r="DE285" s="646"/>
      <c r="DF285" s="646"/>
      <c r="DG285" s="646"/>
      <c r="DH285" s="646"/>
      <c r="DI285" s="646"/>
      <c r="DJ285" s="646"/>
      <c r="DK285" s="634"/>
      <c r="DL285" s="495">
        <f>SUM(J285:S285)*5+SUM(V285:AF285)+AH285*4+U285*2.5+AG285/0.75</f>
        <v>0</v>
      </c>
      <c r="DM285" s="84">
        <f>SUM(J285:DK285)</f>
        <v>0</v>
      </c>
      <c r="DN285" s="84">
        <f>SUM(BK285:BV285,)</f>
        <v>0</v>
      </c>
      <c r="DO285" s="125">
        <f>SUM(AT285:AV285)+SUM(AW285:AZ285)*5</f>
        <v>0</v>
      </c>
    </row>
    <row r="286" spans="2:123" s="834" customFormat="1" ht="16.5" hidden="1" customHeight="1" outlineLevel="1" thickBot="1" x14ac:dyDescent="0.35">
      <c r="B286" s="813"/>
      <c r="C286" s="814"/>
      <c r="D286" s="835"/>
      <c r="E286" s="836" t="s">
        <v>254</v>
      </c>
      <c r="F286" s="837"/>
      <c r="G286" s="838"/>
      <c r="H286" s="839"/>
      <c r="I286" s="918"/>
      <c r="J286" s="824">
        <f>SUM(J282:J285)</f>
        <v>0</v>
      </c>
      <c r="K286" s="824">
        <f t="shared" ref="K286:CL286" si="330">SUM(K282:K285)</f>
        <v>0</v>
      </c>
      <c r="L286" s="824">
        <f t="shared" si="330"/>
        <v>0</v>
      </c>
      <c r="M286" s="824">
        <f t="shared" si="330"/>
        <v>0</v>
      </c>
      <c r="N286" s="824">
        <f t="shared" si="330"/>
        <v>0</v>
      </c>
      <c r="O286" s="824">
        <f t="shared" si="330"/>
        <v>0</v>
      </c>
      <c r="P286" s="824">
        <f t="shared" si="330"/>
        <v>0</v>
      </c>
      <c r="Q286" s="824">
        <f t="shared" si="330"/>
        <v>0</v>
      </c>
      <c r="R286" s="824">
        <f t="shared" si="330"/>
        <v>0</v>
      </c>
      <c r="S286" s="824">
        <f t="shared" si="330"/>
        <v>0</v>
      </c>
      <c r="T286" s="824">
        <f t="shared" si="330"/>
        <v>0</v>
      </c>
      <c r="U286" s="825">
        <f t="shared" si="330"/>
        <v>0</v>
      </c>
      <c r="V286" s="825">
        <f t="shared" si="330"/>
        <v>0</v>
      </c>
      <c r="W286" s="825">
        <f t="shared" si="330"/>
        <v>0</v>
      </c>
      <c r="X286" s="825">
        <f t="shared" si="330"/>
        <v>0</v>
      </c>
      <c r="Y286" s="825">
        <f t="shared" si="330"/>
        <v>0</v>
      </c>
      <c r="Z286" s="825">
        <f t="shared" si="330"/>
        <v>0</v>
      </c>
      <c r="AA286" s="825">
        <f t="shared" si="330"/>
        <v>0</v>
      </c>
      <c r="AB286" s="825">
        <f t="shared" ref="AB286:AD286" si="331">SUM(AB282:AB285)</f>
        <v>0</v>
      </c>
      <c r="AC286" s="825">
        <f t="shared" si="331"/>
        <v>0</v>
      </c>
      <c r="AD286" s="825">
        <f t="shared" si="331"/>
        <v>0</v>
      </c>
      <c r="AE286" s="825">
        <f t="shared" si="330"/>
        <v>0</v>
      </c>
      <c r="AF286" s="825">
        <f t="shared" si="330"/>
        <v>0</v>
      </c>
      <c r="AG286" s="825">
        <f t="shared" si="330"/>
        <v>0</v>
      </c>
      <c r="AH286" s="825">
        <f t="shared" si="330"/>
        <v>0</v>
      </c>
      <c r="AI286" s="825">
        <f t="shared" ref="AI286:AO286" si="332">SUM(AI282:AI285)</f>
        <v>0</v>
      </c>
      <c r="AJ286" s="825">
        <f t="shared" si="332"/>
        <v>0</v>
      </c>
      <c r="AK286" s="825">
        <f t="shared" si="332"/>
        <v>0</v>
      </c>
      <c r="AL286" s="825">
        <f t="shared" si="332"/>
        <v>0</v>
      </c>
      <c r="AM286" s="825">
        <f t="shared" si="332"/>
        <v>0</v>
      </c>
      <c r="AN286" s="825">
        <f t="shared" si="332"/>
        <v>0</v>
      </c>
      <c r="AO286" s="825">
        <f t="shared" si="332"/>
        <v>0</v>
      </c>
      <c r="AP286" s="826">
        <f t="shared" si="330"/>
        <v>0</v>
      </c>
      <c r="AQ286" s="826">
        <f t="shared" ref="AQ286" si="333">SUM(AQ282:AQ285)</f>
        <v>0</v>
      </c>
      <c r="AR286" s="826">
        <f t="shared" si="330"/>
        <v>0</v>
      </c>
      <c r="AS286" s="826">
        <f t="shared" si="330"/>
        <v>0</v>
      </c>
      <c r="AT286" s="826">
        <f t="shared" si="330"/>
        <v>0</v>
      </c>
      <c r="AU286" s="827">
        <f t="shared" si="330"/>
        <v>0</v>
      </c>
      <c r="AV286" s="827">
        <f t="shared" si="330"/>
        <v>0</v>
      </c>
      <c r="AW286" s="827">
        <f t="shared" si="330"/>
        <v>0</v>
      </c>
      <c r="AX286" s="827">
        <f t="shared" ref="AX286:AY286" si="334">SUM(AX282:AX285)</f>
        <v>0</v>
      </c>
      <c r="AY286" s="827">
        <f t="shared" si="334"/>
        <v>0</v>
      </c>
      <c r="AZ286" s="827">
        <f t="shared" si="330"/>
        <v>0</v>
      </c>
      <c r="BA286" s="828">
        <f t="shared" si="330"/>
        <v>0</v>
      </c>
      <c r="BB286" s="828">
        <f t="shared" si="330"/>
        <v>0</v>
      </c>
      <c r="BC286" s="828">
        <f t="shared" si="330"/>
        <v>0</v>
      </c>
      <c r="BD286" s="828">
        <f t="shared" si="330"/>
        <v>0</v>
      </c>
      <c r="BE286" s="824">
        <f t="shared" si="330"/>
        <v>0</v>
      </c>
      <c r="BF286" s="824">
        <f t="shared" si="330"/>
        <v>0</v>
      </c>
      <c r="BG286" s="824">
        <f t="shared" si="330"/>
        <v>0</v>
      </c>
      <c r="BH286" s="824">
        <f t="shared" si="330"/>
        <v>0</v>
      </c>
      <c r="BI286" s="824">
        <f t="shared" si="330"/>
        <v>0</v>
      </c>
      <c r="BJ286" s="824">
        <f t="shared" si="330"/>
        <v>0</v>
      </c>
      <c r="BK286" s="825">
        <f t="shared" si="330"/>
        <v>0</v>
      </c>
      <c r="BL286" s="825">
        <f t="shared" si="330"/>
        <v>0</v>
      </c>
      <c r="BM286" s="825">
        <f t="shared" si="330"/>
        <v>0</v>
      </c>
      <c r="BN286" s="825">
        <f t="shared" si="330"/>
        <v>0</v>
      </c>
      <c r="BO286" s="825">
        <f t="shared" si="330"/>
        <v>0</v>
      </c>
      <c r="BP286" s="825">
        <f t="shared" si="330"/>
        <v>0</v>
      </c>
      <c r="BQ286" s="825">
        <f t="shared" si="330"/>
        <v>0</v>
      </c>
      <c r="BR286" s="825">
        <f t="shared" ref="BR286" si="335">SUM(BR282:BR285)</f>
        <v>0</v>
      </c>
      <c r="BS286" s="825">
        <f t="shared" ref="BS286" si="336">SUM(BS282:BS285)</f>
        <v>0</v>
      </c>
      <c r="BT286" s="825">
        <f t="shared" si="330"/>
        <v>0</v>
      </c>
      <c r="BU286" s="825">
        <f t="shared" si="330"/>
        <v>0</v>
      </c>
      <c r="BV286" s="825">
        <f t="shared" si="330"/>
        <v>0</v>
      </c>
      <c r="BW286" s="826">
        <f t="shared" si="330"/>
        <v>0</v>
      </c>
      <c r="BX286" s="826">
        <f t="shared" si="330"/>
        <v>0</v>
      </c>
      <c r="BY286" s="826">
        <f t="shared" si="330"/>
        <v>0</v>
      </c>
      <c r="BZ286" s="826">
        <f t="shared" si="330"/>
        <v>0</v>
      </c>
      <c r="CA286" s="826">
        <f t="shared" si="330"/>
        <v>0</v>
      </c>
      <c r="CB286" s="826">
        <f t="shared" ref="CB286" si="337">SUM(CB282:CB285)</f>
        <v>0</v>
      </c>
      <c r="CC286" s="826">
        <f t="shared" si="330"/>
        <v>0</v>
      </c>
      <c r="CD286" s="826">
        <f t="shared" si="330"/>
        <v>0</v>
      </c>
      <c r="CE286" s="826">
        <f t="shared" si="330"/>
        <v>0</v>
      </c>
      <c r="CF286" s="826">
        <f t="shared" si="330"/>
        <v>0</v>
      </c>
      <c r="CG286" s="826">
        <f t="shared" si="330"/>
        <v>0</v>
      </c>
      <c r="CH286" s="826">
        <f t="shared" si="330"/>
        <v>0</v>
      </c>
      <c r="CI286" s="826">
        <f t="shared" si="330"/>
        <v>0</v>
      </c>
      <c r="CJ286" s="826">
        <f t="shared" si="330"/>
        <v>0</v>
      </c>
      <c r="CK286" s="826">
        <f t="shared" si="330"/>
        <v>0</v>
      </c>
      <c r="CL286" s="826">
        <f t="shared" si="330"/>
        <v>0</v>
      </c>
      <c r="CM286" s="826">
        <f t="shared" ref="CM286:DO286" si="338">SUM(CM282:CM285)</f>
        <v>0</v>
      </c>
      <c r="CN286" s="826">
        <f t="shared" si="338"/>
        <v>0</v>
      </c>
      <c r="CO286" s="827">
        <f t="shared" si="338"/>
        <v>0</v>
      </c>
      <c r="CP286" s="827">
        <f t="shared" si="338"/>
        <v>0</v>
      </c>
      <c r="CQ286" s="827">
        <f t="shared" si="338"/>
        <v>0</v>
      </c>
      <c r="CR286" s="827">
        <f t="shared" si="338"/>
        <v>0</v>
      </c>
      <c r="CS286" s="827">
        <f t="shared" si="338"/>
        <v>0</v>
      </c>
      <c r="CT286" s="827">
        <f t="shared" si="338"/>
        <v>0</v>
      </c>
      <c r="CU286" s="827">
        <f t="shared" si="338"/>
        <v>0</v>
      </c>
      <c r="CV286" s="827">
        <f t="shared" si="338"/>
        <v>0</v>
      </c>
      <c r="CW286" s="827">
        <f t="shared" si="338"/>
        <v>0</v>
      </c>
      <c r="CX286" s="827">
        <f t="shared" si="338"/>
        <v>0</v>
      </c>
      <c r="CY286" s="827">
        <f t="shared" si="338"/>
        <v>0</v>
      </c>
      <c r="CZ286" s="827">
        <f t="shared" si="338"/>
        <v>0</v>
      </c>
      <c r="DA286" s="827">
        <f t="shared" si="338"/>
        <v>0</v>
      </c>
      <c r="DB286" s="827">
        <f t="shared" si="338"/>
        <v>0</v>
      </c>
      <c r="DC286" s="824">
        <f t="shared" si="338"/>
        <v>0</v>
      </c>
      <c r="DD286" s="824">
        <f t="shared" si="338"/>
        <v>0</v>
      </c>
      <c r="DE286" s="824">
        <f t="shared" si="338"/>
        <v>0</v>
      </c>
      <c r="DF286" s="824">
        <f t="shared" si="338"/>
        <v>0</v>
      </c>
      <c r="DG286" s="824">
        <f t="shared" si="338"/>
        <v>0</v>
      </c>
      <c r="DH286" s="824">
        <f t="shared" si="338"/>
        <v>0</v>
      </c>
      <c r="DI286" s="824">
        <f t="shared" si="338"/>
        <v>0</v>
      </c>
      <c r="DJ286" s="824">
        <f t="shared" si="338"/>
        <v>0</v>
      </c>
      <c r="DK286" s="829">
        <f t="shared" si="338"/>
        <v>0</v>
      </c>
      <c r="DL286" s="830">
        <f t="shared" si="338"/>
        <v>0</v>
      </c>
      <c r="DM286" s="831">
        <f t="shared" si="338"/>
        <v>0</v>
      </c>
      <c r="DN286" s="831">
        <f t="shared" si="338"/>
        <v>0</v>
      </c>
      <c r="DO286" s="832">
        <f t="shared" si="338"/>
        <v>0</v>
      </c>
      <c r="DP286" s="833"/>
      <c r="DQ286" s="833"/>
      <c r="DR286" s="833"/>
      <c r="DS286" s="833"/>
    </row>
    <row r="287" spans="2:123" s="789" customFormat="1" ht="32.1" customHeight="1" collapsed="1" thickBot="1" x14ac:dyDescent="0.4">
      <c r="B287" s="985" t="s">
        <v>255</v>
      </c>
      <c r="C287" s="840"/>
      <c r="D287" s="841"/>
      <c r="E287" s="784" t="s">
        <v>256</v>
      </c>
      <c r="F287" s="842"/>
      <c r="G287" s="843"/>
      <c r="H287" s="784"/>
      <c r="I287" s="842" t="s">
        <v>292</v>
      </c>
      <c r="J287" s="130">
        <f>SUMIF($E243:$E286,$E287,J243:J286)</f>
        <v>0</v>
      </c>
      <c r="K287" s="130">
        <f t="shared" ref="K287:CL287" si="339">SUMIF($E243:$E286,$E287,K243:K286)</f>
        <v>0</v>
      </c>
      <c r="L287" s="130">
        <f t="shared" si="339"/>
        <v>0</v>
      </c>
      <c r="M287" s="130">
        <f t="shared" si="339"/>
        <v>0</v>
      </c>
      <c r="N287" s="130">
        <f t="shared" si="339"/>
        <v>0</v>
      </c>
      <c r="O287" s="130">
        <f t="shared" si="339"/>
        <v>0</v>
      </c>
      <c r="P287" s="130">
        <f t="shared" si="339"/>
        <v>0</v>
      </c>
      <c r="Q287" s="130">
        <f t="shared" si="339"/>
        <v>0</v>
      </c>
      <c r="R287" s="130">
        <f t="shared" si="339"/>
        <v>0</v>
      </c>
      <c r="S287" s="130">
        <f t="shared" si="339"/>
        <v>0</v>
      </c>
      <c r="T287" s="130">
        <f t="shared" si="339"/>
        <v>0</v>
      </c>
      <c r="U287" s="135">
        <f t="shared" si="339"/>
        <v>0</v>
      </c>
      <c r="V287" s="135">
        <f t="shared" si="339"/>
        <v>0</v>
      </c>
      <c r="W287" s="135">
        <f t="shared" si="339"/>
        <v>0</v>
      </c>
      <c r="X287" s="135">
        <f t="shared" si="339"/>
        <v>0</v>
      </c>
      <c r="Y287" s="135">
        <f t="shared" si="339"/>
        <v>0</v>
      </c>
      <c r="Z287" s="135">
        <f t="shared" si="339"/>
        <v>0</v>
      </c>
      <c r="AA287" s="135">
        <f t="shared" si="339"/>
        <v>0</v>
      </c>
      <c r="AB287" s="135">
        <f t="shared" ref="AB287:AD287" si="340">SUMIF($E243:$E286,$E287,AB243:AB286)</f>
        <v>0</v>
      </c>
      <c r="AC287" s="135">
        <f t="shared" si="340"/>
        <v>0</v>
      </c>
      <c r="AD287" s="135">
        <f t="shared" si="340"/>
        <v>0</v>
      </c>
      <c r="AE287" s="135">
        <f t="shared" si="339"/>
        <v>0</v>
      </c>
      <c r="AF287" s="135">
        <f t="shared" si="339"/>
        <v>0</v>
      </c>
      <c r="AG287" s="135">
        <f t="shared" si="339"/>
        <v>0</v>
      </c>
      <c r="AH287" s="135">
        <f t="shared" si="339"/>
        <v>0</v>
      </c>
      <c r="AI287" s="135">
        <f t="shared" ref="AI287:AO287" si="341">SUMIF($E243:$E286,$E287,AI243:AI286)</f>
        <v>0</v>
      </c>
      <c r="AJ287" s="135">
        <f t="shared" si="341"/>
        <v>0</v>
      </c>
      <c r="AK287" s="135">
        <f t="shared" si="341"/>
        <v>0</v>
      </c>
      <c r="AL287" s="135">
        <f t="shared" si="341"/>
        <v>0</v>
      </c>
      <c r="AM287" s="135">
        <f t="shared" si="341"/>
        <v>0</v>
      </c>
      <c r="AN287" s="135">
        <f t="shared" si="341"/>
        <v>0</v>
      </c>
      <c r="AO287" s="135">
        <f t="shared" si="341"/>
        <v>0</v>
      </c>
      <c r="AP287" s="138">
        <f t="shared" si="339"/>
        <v>0</v>
      </c>
      <c r="AQ287" s="138">
        <f t="shared" ref="AQ287" si="342">SUMIF($E243:$E286,$E287,AQ243:AQ286)</f>
        <v>0</v>
      </c>
      <c r="AR287" s="138">
        <f t="shared" si="339"/>
        <v>0</v>
      </c>
      <c r="AS287" s="138">
        <f t="shared" si="339"/>
        <v>0</v>
      </c>
      <c r="AT287" s="138">
        <f t="shared" si="339"/>
        <v>0</v>
      </c>
      <c r="AU287" s="146">
        <f t="shared" si="339"/>
        <v>0</v>
      </c>
      <c r="AV287" s="146">
        <f t="shared" si="339"/>
        <v>0</v>
      </c>
      <c r="AW287" s="146">
        <f t="shared" si="339"/>
        <v>0</v>
      </c>
      <c r="AX287" s="146">
        <f t="shared" ref="AX287:AY287" si="343">SUMIF($E243:$E286,$E287,AX243:AX286)</f>
        <v>0</v>
      </c>
      <c r="AY287" s="146">
        <f t="shared" si="343"/>
        <v>0</v>
      </c>
      <c r="AZ287" s="146">
        <f t="shared" si="339"/>
        <v>0</v>
      </c>
      <c r="BA287" s="142">
        <f t="shared" si="339"/>
        <v>0</v>
      </c>
      <c r="BB287" s="142">
        <f t="shared" si="339"/>
        <v>0</v>
      </c>
      <c r="BC287" s="142">
        <f t="shared" si="339"/>
        <v>0</v>
      </c>
      <c r="BD287" s="142">
        <f t="shared" si="339"/>
        <v>0</v>
      </c>
      <c r="BE287" s="130">
        <f t="shared" si="339"/>
        <v>0</v>
      </c>
      <c r="BF287" s="130">
        <f t="shared" si="339"/>
        <v>0</v>
      </c>
      <c r="BG287" s="130">
        <f t="shared" si="339"/>
        <v>0</v>
      </c>
      <c r="BH287" s="130">
        <f t="shared" si="339"/>
        <v>0</v>
      </c>
      <c r="BI287" s="130">
        <f t="shared" si="339"/>
        <v>0</v>
      </c>
      <c r="BJ287" s="130">
        <f t="shared" si="339"/>
        <v>0</v>
      </c>
      <c r="BK287" s="135">
        <f t="shared" si="339"/>
        <v>0</v>
      </c>
      <c r="BL287" s="135">
        <f t="shared" si="339"/>
        <v>0</v>
      </c>
      <c r="BM287" s="135">
        <f t="shared" si="339"/>
        <v>0</v>
      </c>
      <c r="BN287" s="135">
        <f t="shared" si="339"/>
        <v>0</v>
      </c>
      <c r="BO287" s="135">
        <f t="shared" si="339"/>
        <v>0</v>
      </c>
      <c r="BP287" s="135">
        <f t="shared" si="339"/>
        <v>0</v>
      </c>
      <c r="BQ287" s="135">
        <f t="shared" si="339"/>
        <v>0</v>
      </c>
      <c r="BR287" s="135">
        <f t="shared" ref="BR287" si="344">SUMIF($E243:$E286,$E287,BR243:BR286)</f>
        <v>0</v>
      </c>
      <c r="BS287" s="135">
        <f t="shared" ref="BS287" si="345">SUMIF($E243:$E286,$E287,BS243:BS286)</f>
        <v>0</v>
      </c>
      <c r="BT287" s="135">
        <f t="shared" si="339"/>
        <v>0</v>
      </c>
      <c r="BU287" s="135">
        <f t="shared" si="339"/>
        <v>0</v>
      </c>
      <c r="BV287" s="135">
        <f t="shared" si="339"/>
        <v>0</v>
      </c>
      <c r="BW287" s="138">
        <f t="shared" si="339"/>
        <v>0</v>
      </c>
      <c r="BX287" s="138">
        <f t="shared" si="339"/>
        <v>0</v>
      </c>
      <c r="BY287" s="138">
        <f t="shared" si="339"/>
        <v>0</v>
      </c>
      <c r="BZ287" s="138">
        <f t="shared" si="339"/>
        <v>0</v>
      </c>
      <c r="CA287" s="138">
        <f t="shared" si="339"/>
        <v>0</v>
      </c>
      <c r="CB287" s="138">
        <f t="shared" ref="CB287" si="346">SUMIF($E243:$E286,$E287,CB243:CB286)</f>
        <v>0</v>
      </c>
      <c r="CC287" s="138">
        <f t="shared" si="339"/>
        <v>0</v>
      </c>
      <c r="CD287" s="138">
        <f t="shared" si="339"/>
        <v>0</v>
      </c>
      <c r="CE287" s="138">
        <f t="shared" si="339"/>
        <v>0</v>
      </c>
      <c r="CF287" s="138">
        <f t="shared" si="339"/>
        <v>0</v>
      </c>
      <c r="CG287" s="138">
        <f t="shared" si="339"/>
        <v>0</v>
      </c>
      <c r="CH287" s="138">
        <f t="shared" si="339"/>
        <v>0</v>
      </c>
      <c r="CI287" s="138">
        <f t="shared" si="339"/>
        <v>0</v>
      </c>
      <c r="CJ287" s="138">
        <f t="shared" si="339"/>
        <v>0</v>
      </c>
      <c r="CK287" s="138">
        <f t="shared" si="339"/>
        <v>0</v>
      </c>
      <c r="CL287" s="138">
        <f t="shared" si="339"/>
        <v>0</v>
      </c>
      <c r="CM287" s="138">
        <f t="shared" ref="CM287:DO287" si="347">SUMIF($E243:$E286,$E287,CM243:CM286)</f>
        <v>0</v>
      </c>
      <c r="CN287" s="138">
        <f t="shared" si="347"/>
        <v>0</v>
      </c>
      <c r="CO287" s="146">
        <f t="shared" si="347"/>
        <v>0</v>
      </c>
      <c r="CP287" s="146">
        <f t="shared" si="347"/>
        <v>0</v>
      </c>
      <c r="CQ287" s="146">
        <f t="shared" si="347"/>
        <v>0</v>
      </c>
      <c r="CR287" s="146">
        <f t="shared" si="347"/>
        <v>0</v>
      </c>
      <c r="CS287" s="146">
        <f t="shared" si="347"/>
        <v>0</v>
      </c>
      <c r="CT287" s="146">
        <f t="shared" si="347"/>
        <v>0</v>
      </c>
      <c r="CU287" s="146">
        <f t="shared" si="347"/>
        <v>0</v>
      </c>
      <c r="CV287" s="146">
        <f t="shared" si="347"/>
        <v>0</v>
      </c>
      <c r="CW287" s="146">
        <f t="shared" si="347"/>
        <v>0</v>
      </c>
      <c r="CX287" s="146">
        <f t="shared" si="347"/>
        <v>0</v>
      </c>
      <c r="CY287" s="146">
        <f t="shared" si="347"/>
        <v>0</v>
      </c>
      <c r="CZ287" s="146">
        <f t="shared" si="347"/>
        <v>0</v>
      </c>
      <c r="DA287" s="146">
        <f t="shared" si="347"/>
        <v>0</v>
      </c>
      <c r="DB287" s="146">
        <f t="shared" si="347"/>
        <v>0</v>
      </c>
      <c r="DC287" s="130">
        <f t="shared" si="347"/>
        <v>0</v>
      </c>
      <c r="DD287" s="130">
        <f t="shared" si="347"/>
        <v>0</v>
      </c>
      <c r="DE287" s="130">
        <f t="shared" si="347"/>
        <v>0</v>
      </c>
      <c r="DF287" s="130">
        <f t="shared" si="347"/>
        <v>0</v>
      </c>
      <c r="DG287" s="130">
        <f t="shared" si="347"/>
        <v>0</v>
      </c>
      <c r="DH287" s="130">
        <f t="shared" si="347"/>
        <v>0</v>
      </c>
      <c r="DI287" s="130">
        <f t="shared" si="347"/>
        <v>0</v>
      </c>
      <c r="DJ287" s="130">
        <f t="shared" si="347"/>
        <v>0</v>
      </c>
      <c r="DK287" s="636">
        <f t="shared" si="347"/>
        <v>0</v>
      </c>
      <c r="DL287" s="492">
        <f t="shared" si="347"/>
        <v>0</v>
      </c>
      <c r="DM287" s="492">
        <f t="shared" si="347"/>
        <v>0</v>
      </c>
      <c r="DN287" s="492">
        <f t="shared" si="347"/>
        <v>0</v>
      </c>
      <c r="DO287" s="683">
        <f t="shared" si="347"/>
        <v>0</v>
      </c>
      <c r="DP287" s="844"/>
      <c r="DQ287" s="844"/>
      <c r="DR287" s="844"/>
      <c r="DS287" s="844"/>
    </row>
    <row r="288" spans="2:123" ht="32.1" hidden="1" customHeight="1" outlineLevel="1" thickBot="1" x14ac:dyDescent="0.3">
      <c r="B288" s="811" t="s">
        <v>153</v>
      </c>
      <c r="C288" s="812">
        <f>C243+1</f>
        <v>45123</v>
      </c>
      <c r="D288" s="803" t="s">
        <v>133</v>
      </c>
      <c r="E288" s="774" t="s">
        <v>136</v>
      </c>
      <c r="F288" s="213" t="s">
        <v>9</v>
      </c>
      <c r="G288" s="205" t="s">
        <v>133</v>
      </c>
      <c r="H288" s="330"/>
      <c r="I288" s="969" t="s">
        <v>243</v>
      </c>
      <c r="J288" s="216"/>
      <c r="K288" s="216"/>
      <c r="L288" s="216"/>
      <c r="M288" s="216"/>
      <c r="N288" s="216"/>
      <c r="O288" s="216"/>
      <c r="P288" s="216"/>
      <c r="Q288" s="216"/>
      <c r="R288" s="216"/>
      <c r="S288" s="216"/>
      <c r="T288" s="216"/>
      <c r="U288" s="217"/>
      <c r="V288" s="217"/>
      <c r="W288" s="217"/>
      <c r="X288" s="217"/>
      <c r="Y288" s="217"/>
      <c r="Z288" s="217"/>
      <c r="AA288" s="217"/>
      <c r="AB288" s="217"/>
      <c r="AC288" s="217"/>
      <c r="AD288" s="217"/>
      <c r="AE288" s="217"/>
      <c r="AF288" s="217"/>
      <c r="AG288" s="217"/>
      <c r="AH288" s="217"/>
      <c r="AI288" s="217"/>
      <c r="AJ288" s="217"/>
      <c r="AK288" s="217"/>
      <c r="AL288" s="217"/>
      <c r="AM288" s="217"/>
      <c r="AN288" s="217"/>
      <c r="AO288" s="217"/>
      <c r="AP288" s="218"/>
      <c r="AQ288" s="218"/>
      <c r="AR288" s="218"/>
      <c r="AS288" s="218"/>
      <c r="AT288" s="218"/>
      <c r="AU288" s="219"/>
      <c r="AV288" s="219"/>
      <c r="AW288" s="219"/>
      <c r="AX288" s="219"/>
      <c r="AY288" s="219"/>
      <c r="AZ288" s="219"/>
      <c r="BA288" s="220"/>
      <c r="BB288" s="220"/>
      <c r="BC288" s="220"/>
      <c r="BD288" s="220"/>
      <c r="BE288" s="216"/>
      <c r="BF288" s="216"/>
      <c r="BG288" s="216"/>
      <c r="BH288" s="216"/>
      <c r="BI288" s="216"/>
      <c r="BJ288" s="221"/>
      <c r="BK288" s="217"/>
      <c r="BL288" s="217"/>
      <c r="BM288" s="217"/>
      <c r="BN288" s="217"/>
      <c r="BO288" s="217"/>
      <c r="BP288" s="217"/>
      <c r="BQ288" s="217"/>
      <c r="BR288" s="217"/>
      <c r="BS288" s="217"/>
      <c r="BT288" s="217"/>
      <c r="BU288" s="217"/>
      <c r="BV288" s="217"/>
      <c r="BW288" s="218"/>
      <c r="BX288" s="218"/>
      <c r="BY288" s="218"/>
      <c r="BZ288" s="218"/>
      <c r="CA288" s="218"/>
      <c r="CB288" s="218"/>
      <c r="CC288" s="218"/>
      <c r="CD288" s="218"/>
      <c r="CE288" s="218"/>
      <c r="CF288" s="218"/>
      <c r="CG288" s="218"/>
      <c r="CH288" s="222"/>
      <c r="CI288" s="218"/>
      <c r="CJ288" s="218"/>
      <c r="CK288" s="218"/>
      <c r="CL288" s="218"/>
      <c r="CM288" s="218"/>
      <c r="CN288" s="218"/>
      <c r="CO288" s="219"/>
      <c r="CP288" s="219"/>
      <c r="CQ288" s="219"/>
      <c r="CR288" s="514"/>
      <c r="CS288" s="521"/>
      <c r="CT288" s="557"/>
      <c r="CU288" s="557"/>
      <c r="CV288" s="557"/>
      <c r="CW288" s="514"/>
      <c r="CX288" s="514"/>
      <c r="CY288" s="515"/>
      <c r="CZ288" s="219"/>
      <c r="DA288" s="581"/>
      <c r="DB288" s="581"/>
      <c r="DC288" s="650"/>
      <c r="DD288" s="216"/>
      <c r="DE288" s="216"/>
      <c r="DF288" s="216"/>
      <c r="DG288" s="216"/>
      <c r="DH288" s="216"/>
      <c r="DI288" s="216"/>
      <c r="DJ288" s="216"/>
      <c r="DK288" s="612"/>
      <c r="DL288" s="494">
        <f t="shared" ref="DL288:DL297" si="348">SUM(J288:S288)*5+SUM(V288:AF288)+AH288*4+U288*2.5+AG288/0.75</f>
        <v>0</v>
      </c>
      <c r="DM288" s="122">
        <f t="shared" ref="DM288:DM297" si="349">SUM(J288:DK288)</f>
        <v>0</v>
      </c>
      <c r="DN288" s="122">
        <f t="shared" ref="DN288:DN297" si="350">SUM(BK288:BV288,)</f>
        <v>0</v>
      </c>
      <c r="DO288" s="124">
        <f t="shared" ref="DO288:DO297" si="351">SUM(AT288:AV288)+SUM(AW288:AZ288)*5</f>
        <v>0</v>
      </c>
    </row>
    <row r="289" spans="2:123" ht="32.1" hidden="1" customHeight="1" outlineLevel="1" thickBot="1" x14ac:dyDescent="0.3">
      <c r="B289" s="813"/>
      <c r="C289" s="814"/>
      <c r="D289" s="792"/>
      <c r="E289" s="772"/>
      <c r="F289" s="213" t="s">
        <v>9</v>
      </c>
      <c r="G289" s="339" t="s">
        <v>133</v>
      </c>
      <c r="H289" s="330"/>
      <c r="I289" s="969" t="s">
        <v>189</v>
      </c>
      <c r="J289" s="216"/>
      <c r="K289" s="216"/>
      <c r="L289" s="216"/>
      <c r="M289" s="216"/>
      <c r="N289" s="216"/>
      <c r="O289" s="216"/>
      <c r="P289" s="216"/>
      <c r="Q289" s="216"/>
      <c r="R289" s="216"/>
      <c r="S289" s="216"/>
      <c r="T289" s="216"/>
      <c r="U289" s="217"/>
      <c r="V289" s="217"/>
      <c r="W289" s="217"/>
      <c r="X289" s="217"/>
      <c r="Y289" s="217"/>
      <c r="Z289" s="217"/>
      <c r="AA289" s="217"/>
      <c r="AB289" s="217"/>
      <c r="AC289" s="217"/>
      <c r="AD289" s="217"/>
      <c r="AE289" s="217"/>
      <c r="AF289" s="217"/>
      <c r="AG289" s="217"/>
      <c r="AH289" s="217"/>
      <c r="AI289" s="217"/>
      <c r="AJ289" s="217"/>
      <c r="AK289" s="217"/>
      <c r="AL289" s="217"/>
      <c r="AM289" s="217"/>
      <c r="AN289" s="217"/>
      <c r="AO289" s="217"/>
      <c r="AP289" s="218"/>
      <c r="AQ289" s="218"/>
      <c r="AR289" s="218"/>
      <c r="AS289" s="218"/>
      <c r="AT289" s="218"/>
      <c r="AU289" s="219"/>
      <c r="AV289" s="219"/>
      <c r="AW289" s="219"/>
      <c r="AX289" s="219"/>
      <c r="AY289" s="219"/>
      <c r="AZ289" s="219"/>
      <c r="BA289" s="220"/>
      <c r="BB289" s="220"/>
      <c r="BC289" s="220"/>
      <c r="BD289" s="220"/>
      <c r="BE289" s="216"/>
      <c r="BF289" s="216"/>
      <c r="BG289" s="216"/>
      <c r="BH289" s="216"/>
      <c r="BI289" s="216"/>
      <c r="BJ289" s="221"/>
      <c r="BK289" s="217"/>
      <c r="BL289" s="217"/>
      <c r="BM289" s="217"/>
      <c r="BN289" s="217"/>
      <c r="BO289" s="217"/>
      <c r="BP289" s="217"/>
      <c r="BQ289" s="217"/>
      <c r="BR289" s="217"/>
      <c r="BS289" s="217"/>
      <c r="BT289" s="217"/>
      <c r="BU289" s="217"/>
      <c r="BV289" s="217"/>
      <c r="BW289" s="218"/>
      <c r="BX289" s="218"/>
      <c r="BY289" s="218"/>
      <c r="BZ289" s="218"/>
      <c r="CA289" s="218"/>
      <c r="CB289" s="218"/>
      <c r="CC289" s="218"/>
      <c r="CD289" s="218"/>
      <c r="CE289" s="218"/>
      <c r="CF289" s="218"/>
      <c r="CG289" s="218"/>
      <c r="CH289" s="222"/>
      <c r="CI289" s="218"/>
      <c r="CJ289" s="218"/>
      <c r="CK289" s="218"/>
      <c r="CL289" s="218"/>
      <c r="CM289" s="218"/>
      <c r="CN289" s="218"/>
      <c r="CO289" s="219"/>
      <c r="CP289" s="219"/>
      <c r="CQ289" s="219"/>
      <c r="CR289" s="514"/>
      <c r="CS289" s="557"/>
      <c r="CT289" s="557"/>
      <c r="CU289" s="557"/>
      <c r="CV289" s="521"/>
      <c r="CW289" s="514"/>
      <c r="CX289" s="514"/>
      <c r="CY289" s="515"/>
      <c r="CZ289" s="219"/>
      <c r="DA289" s="581"/>
      <c r="DB289" s="581"/>
      <c r="DC289" s="650"/>
      <c r="DD289" s="216"/>
      <c r="DE289" s="216"/>
      <c r="DF289" s="216"/>
      <c r="DG289" s="216"/>
      <c r="DH289" s="216"/>
      <c r="DI289" s="216"/>
      <c r="DJ289" s="216"/>
      <c r="DK289" s="612"/>
      <c r="DL289" s="495">
        <f t="shared" si="348"/>
        <v>0</v>
      </c>
      <c r="DM289" s="84">
        <f t="shared" si="349"/>
        <v>0</v>
      </c>
      <c r="DN289" s="84">
        <f t="shared" si="350"/>
        <v>0</v>
      </c>
      <c r="DO289" s="125">
        <f t="shared" si="351"/>
        <v>0</v>
      </c>
    </row>
    <row r="290" spans="2:123" ht="32.1" hidden="1" customHeight="1" outlineLevel="1" thickBot="1" x14ac:dyDescent="0.3">
      <c r="B290" s="813"/>
      <c r="C290" s="814"/>
      <c r="D290" s="792"/>
      <c r="E290" s="773"/>
      <c r="F290" s="426" t="s">
        <v>9</v>
      </c>
      <c r="G290" s="427" t="s">
        <v>133</v>
      </c>
      <c r="H290" s="330"/>
      <c r="I290" s="970" t="s">
        <v>176</v>
      </c>
      <c r="J290" s="227"/>
      <c r="K290" s="227"/>
      <c r="L290" s="227"/>
      <c r="M290" s="227"/>
      <c r="N290" s="227"/>
      <c r="O290" s="227"/>
      <c r="P290" s="227"/>
      <c r="Q290" s="227"/>
      <c r="R290" s="227"/>
      <c r="S290" s="227"/>
      <c r="T290" s="227"/>
      <c r="U290" s="228"/>
      <c r="V290" s="228"/>
      <c r="W290" s="228"/>
      <c r="X290" s="228"/>
      <c r="Y290" s="228"/>
      <c r="Z290" s="228"/>
      <c r="AA290" s="228"/>
      <c r="AB290" s="228"/>
      <c r="AC290" s="228"/>
      <c r="AD290" s="228"/>
      <c r="AE290" s="228"/>
      <c r="AF290" s="228"/>
      <c r="AG290" s="228"/>
      <c r="AH290" s="228"/>
      <c r="AI290" s="228"/>
      <c r="AJ290" s="228"/>
      <c r="AK290" s="228"/>
      <c r="AL290" s="228"/>
      <c r="AM290" s="228"/>
      <c r="AN290" s="228"/>
      <c r="AO290" s="228"/>
      <c r="AP290" s="229"/>
      <c r="AQ290" s="229"/>
      <c r="AR290" s="229"/>
      <c r="AS290" s="229"/>
      <c r="AT290" s="229"/>
      <c r="AU290" s="230"/>
      <c r="AV290" s="230"/>
      <c r="AW290" s="230"/>
      <c r="AX290" s="230"/>
      <c r="AY290" s="230"/>
      <c r="AZ290" s="230"/>
      <c r="BA290" s="232"/>
      <c r="BB290" s="232"/>
      <c r="BC290" s="232"/>
      <c r="BD290" s="232"/>
      <c r="BE290" s="227"/>
      <c r="BF290" s="227"/>
      <c r="BG290" s="227"/>
      <c r="BH290" s="227"/>
      <c r="BI290" s="227"/>
      <c r="BJ290" s="233"/>
      <c r="BK290" s="228"/>
      <c r="BL290" s="228"/>
      <c r="BM290" s="228"/>
      <c r="BN290" s="228"/>
      <c r="BO290" s="228"/>
      <c r="BP290" s="228"/>
      <c r="BQ290" s="228"/>
      <c r="BR290" s="228"/>
      <c r="BS290" s="228"/>
      <c r="BT290" s="228"/>
      <c r="BU290" s="228"/>
      <c r="BV290" s="228"/>
      <c r="BW290" s="229"/>
      <c r="BX290" s="229"/>
      <c r="BY290" s="229"/>
      <c r="BZ290" s="229"/>
      <c r="CA290" s="229"/>
      <c r="CB290" s="229"/>
      <c r="CC290" s="229"/>
      <c r="CD290" s="229"/>
      <c r="CE290" s="229"/>
      <c r="CF290" s="229"/>
      <c r="CG290" s="229"/>
      <c r="CH290" s="235"/>
      <c r="CI290" s="229"/>
      <c r="CJ290" s="229"/>
      <c r="CK290" s="229"/>
      <c r="CL290" s="229"/>
      <c r="CM290" s="229"/>
      <c r="CN290" s="229"/>
      <c r="CO290" s="230"/>
      <c r="CP290" s="230"/>
      <c r="CQ290" s="230"/>
      <c r="CR290" s="516"/>
      <c r="CS290" s="558"/>
      <c r="CT290" s="558"/>
      <c r="CU290" s="558"/>
      <c r="CV290" s="526"/>
      <c r="CW290" s="516"/>
      <c r="CX290" s="516"/>
      <c r="CY290" s="517"/>
      <c r="CZ290" s="230"/>
      <c r="DA290" s="582"/>
      <c r="DB290" s="582"/>
      <c r="DC290" s="651"/>
      <c r="DD290" s="227"/>
      <c r="DE290" s="227"/>
      <c r="DF290" s="227"/>
      <c r="DG290" s="227"/>
      <c r="DH290" s="227"/>
      <c r="DI290" s="227"/>
      <c r="DJ290" s="227"/>
      <c r="DK290" s="613"/>
      <c r="DL290" s="496">
        <f t="shared" si="348"/>
        <v>0</v>
      </c>
      <c r="DM290" s="120">
        <f t="shared" si="349"/>
        <v>0</v>
      </c>
      <c r="DN290" s="120">
        <f t="shared" si="350"/>
        <v>0</v>
      </c>
      <c r="DO290" s="358">
        <f t="shared" si="351"/>
        <v>0</v>
      </c>
    </row>
    <row r="291" spans="2:123" ht="32.1" hidden="1" customHeight="1" outlineLevel="1" thickBot="1" x14ac:dyDescent="0.3">
      <c r="B291" s="813"/>
      <c r="C291" s="814"/>
      <c r="D291" s="792"/>
      <c r="E291" s="772" t="s">
        <v>137</v>
      </c>
      <c r="F291" s="429" t="s">
        <v>9</v>
      </c>
      <c r="G291" s="430" t="s">
        <v>133</v>
      </c>
      <c r="H291" s="431"/>
      <c r="I291" s="971" t="s">
        <v>90</v>
      </c>
      <c r="J291" s="206"/>
      <c r="K291" s="206"/>
      <c r="L291" s="206"/>
      <c r="M291" s="206"/>
      <c r="N291" s="206"/>
      <c r="O291" s="206"/>
      <c r="P291" s="206"/>
      <c r="Q291" s="206"/>
      <c r="R291" s="206"/>
      <c r="S291" s="206"/>
      <c r="T291" s="206"/>
      <c r="U291" s="207"/>
      <c r="V291" s="207"/>
      <c r="W291" s="207"/>
      <c r="X291" s="207"/>
      <c r="Y291" s="207"/>
      <c r="Z291" s="207"/>
      <c r="AA291" s="207"/>
      <c r="AB291" s="207"/>
      <c r="AC291" s="207"/>
      <c r="AD291" s="207"/>
      <c r="AE291" s="207"/>
      <c r="AF291" s="207"/>
      <c r="AG291" s="207"/>
      <c r="AH291" s="207"/>
      <c r="AI291" s="207"/>
      <c r="AJ291" s="207"/>
      <c r="AK291" s="207"/>
      <c r="AL291" s="207"/>
      <c r="AM291" s="207"/>
      <c r="AN291" s="207"/>
      <c r="AO291" s="207"/>
      <c r="AP291" s="208"/>
      <c r="AQ291" s="208"/>
      <c r="AR291" s="208"/>
      <c r="AS291" s="208"/>
      <c r="AT291" s="208"/>
      <c r="AU291" s="209"/>
      <c r="AV291" s="209"/>
      <c r="AW291" s="209"/>
      <c r="AX291" s="209"/>
      <c r="AY291" s="209"/>
      <c r="AZ291" s="209"/>
      <c r="BA291" s="210"/>
      <c r="BB291" s="210"/>
      <c r="BC291" s="210"/>
      <c r="BD291" s="210"/>
      <c r="BE291" s="206"/>
      <c r="BF291" s="206"/>
      <c r="BG291" s="206"/>
      <c r="BH291" s="206"/>
      <c r="BI291" s="206"/>
      <c r="BJ291" s="211"/>
      <c r="BK291" s="207"/>
      <c r="BL291" s="207"/>
      <c r="BM291" s="207"/>
      <c r="BN291" s="207"/>
      <c r="BO291" s="207"/>
      <c r="BP291" s="207"/>
      <c r="BQ291" s="207"/>
      <c r="BR291" s="207"/>
      <c r="BS291" s="207"/>
      <c r="BT291" s="207"/>
      <c r="BU291" s="207"/>
      <c r="BV291" s="207"/>
      <c r="BW291" s="208"/>
      <c r="BX291" s="208"/>
      <c r="BY291" s="208"/>
      <c r="BZ291" s="208"/>
      <c r="CA291" s="208"/>
      <c r="CB291" s="208"/>
      <c r="CC291" s="208"/>
      <c r="CD291" s="208"/>
      <c r="CE291" s="208"/>
      <c r="CF291" s="208"/>
      <c r="CG291" s="208"/>
      <c r="CH291" s="212"/>
      <c r="CI291" s="208"/>
      <c r="CJ291" s="208"/>
      <c r="CK291" s="208"/>
      <c r="CL291" s="208"/>
      <c r="CM291" s="208"/>
      <c r="CN291" s="208"/>
      <c r="CO291" s="209"/>
      <c r="CP291" s="209"/>
      <c r="CQ291" s="209"/>
      <c r="CR291" s="512"/>
      <c r="CS291" s="559"/>
      <c r="CT291" s="559"/>
      <c r="CU291" s="559"/>
      <c r="CV291" s="519"/>
      <c r="CW291" s="512"/>
      <c r="CX291" s="512"/>
      <c r="CY291" s="513"/>
      <c r="CZ291" s="209"/>
      <c r="DA291" s="583"/>
      <c r="DB291" s="583"/>
      <c r="DC291" s="652"/>
      <c r="DD291" s="206"/>
      <c r="DE291" s="206"/>
      <c r="DF291" s="206"/>
      <c r="DG291" s="206"/>
      <c r="DH291" s="206"/>
      <c r="DI291" s="206"/>
      <c r="DJ291" s="206"/>
      <c r="DK291" s="611"/>
      <c r="DL291" s="494">
        <f t="shared" si="348"/>
        <v>0</v>
      </c>
      <c r="DM291" s="122">
        <f t="shared" si="349"/>
        <v>0</v>
      </c>
      <c r="DN291" s="122">
        <f t="shared" si="350"/>
        <v>0</v>
      </c>
      <c r="DO291" s="124">
        <f t="shared" si="351"/>
        <v>0</v>
      </c>
    </row>
    <row r="292" spans="2:123" ht="32.1" hidden="1" customHeight="1" outlineLevel="1" thickBot="1" x14ac:dyDescent="0.3">
      <c r="B292" s="813"/>
      <c r="C292" s="814"/>
      <c r="D292" s="792"/>
      <c r="E292" s="772"/>
      <c r="F292" s="213" t="s">
        <v>9</v>
      </c>
      <c r="G292" s="339" t="s">
        <v>133</v>
      </c>
      <c r="H292" s="330"/>
      <c r="I292" s="969" t="s">
        <v>56</v>
      </c>
      <c r="J292" s="216"/>
      <c r="K292" s="216"/>
      <c r="L292" s="216"/>
      <c r="M292" s="216"/>
      <c r="N292" s="216"/>
      <c r="O292" s="216"/>
      <c r="P292" s="216"/>
      <c r="Q292" s="216"/>
      <c r="R292" s="216"/>
      <c r="S292" s="216"/>
      <c r="T292" s="216"/>
      <c r="U292" s="217"/>
      <c r="V292" s="217"/>
      <c r="W292" s="217"/>
      <c r="X292" s="217"/>
      <c r="Y292" s="217"/>
      <c r="Z292" s="217"/>
      <c r="AA292" s="217"/>
      <c r="AB292" s="217"/>
      <c r="AC292" s="217"/>
      <c r="AD292" s="217"/>
      <c r="AE292" s="217"/>
      <c r="AF292" s="217"/>
      <c r="AG292" s="217"/>
      <c r="AH292" s="217"/>
      <c r="AI292" s="217"/>
      <c r="AJ292" s="217"/>
      <c r="AK292" s="217"/>
      <c r="AL292" s="217"/>
      <c r="AM292" s="217"/>
      <c r="AN292" s="217"/>
      <c r="AO292" s="217"/>
      <c r="AP292" s="218"/>
      <c r="AQ292" s="218"/>
      <c r="AR292" s="218"/>
      <c r="AS292" s="218"/>
      <c r="AT292" s="218"/>
      <c r="AU292" s="219"/>
      <c r="AV292" s="219"/>
      <c r="AW292" s="219"/>
      <c r="AX292" s="219"/>
      <c r="AY292" s="219"/>
      <c r="AZ292" s="219"/>
      <c r="BA292" s="220"/>
      <c r="BB292" s="220"/>
      <c r="BC292" s="220"/>
      <c r="BD292" s="220"/>
      <c r="BE292" s="216"/>
      <c r="BF292" s="216"/>
      <c r="BG292" s="216"/>
      <c r="BH292" s="216"/>
      <c r="BI292" s="216"/>
      <c r="BJ292" s="221"/>
      <c r="BK292" s="217"/>
      <c r="BL292" s="217"/>
      <c r="BM292" s="217"/>
      <c r="BN292" s="217"/>
      <c r="BO292" s="217"/>
      <c r="BP292" s="217"/>
      <c r="BQ292" s="217"/>
      <c r="BR292" s="217"/>
      <c r="BS292" s="217"/>
      <c r="BT292" s="217"/>
      <c r="BU292" s="217"/>
      <c r="BV292" s="217"/>
      <c r="BW292" s="218"/>
      <c r="BX292" s="218"/>
      <c r="BY292" s="218"/>
      <c r="BZ292" s="218"/>
      <c r="CA292" s="218"/>
      <c r="CB292" s="218"/>
      <c r="CC292" s="218"/>
      <c r="CD292" s="218"/>
      <c r="CE292" s="218"/>
      <c r="CF292" s="218"/>
      <c r="CG292" s="218"/>
      <c r="CH292" s="222"/>
      <c r="CI292" s="218"/>
      <c r="CJ292" s="218"/>
      <c r="CK292" s="218"/>
      <c r="CL292" s="218"/>
      <c r="CM292" s="218"/>
      <c r="CN292" s="218"/>
      <c r="CO292" s="219"/>
      <c r="CP292" s="219"/>
      <c r="CQ292" s="219"/>
      <c r="CR292" s="514"/>
      <c r="CS292" s="557"/>
      <c r="CT292" s="557"/>
      <c r="CU292" s="557"/>
      <c r="CV292" s="521"/>
      <c r="CW292" s="514"/>
      <c r="CX292" s="514"/>
      <c r="CY292" s="515"/>
      <c r="CZ292" s="219"/>
      <c r="DA292" s="581"/>
      <c r="DB292" s="581"/>
      <c r="DC292" s="650"/>
      <c r="DD292" s="216"/>
      <c r="DE292" s="216"/>
      <c r="DF292" s="216"/>
      <c r="DG292" s="216"/>
      <c r="DH292" s="216"/>
      <c r="DI292" s="216"/>
      <c r="DJ292" s="216"/>
      <c r="DK292" s="612"/>
      <c r="DL292" s="495">
        <f t="shared" si="348"/>
        <v>0</v>
      </c>
      <c r="DM292" s="84">
        <f t="shared" si="349"/>
        <v>0</v>
      </c>
      <c r="DN292" s="84">
        <f t="shared" si="350"/>
        <v>0</v>
      </c>
      <c r="DO292" s="125">
        <f t="shared" si="351"/>
        <v>0</v>
      </c>
    </row>
    <row r="293" spans="2:123" ht="32.1" hidden="1" customHeight="1" outlineLevel="1" thickBot="1" x14ac:dyDescent="0.3">
      <c r="B293" s="813"/>
      <c r="C293" s="814"/>
      <c r="D293" s="792"/>
      <c r="E293" s="772"/>
      <c r="F293" s="224" t="s">
        <v>9</v>
      </c>
      <c r="G293" s="432" t="s">
        <v>133</v>
      </c>
      <c r="H293" s="433"/>
      <c r="I293" s="975" t="s">
        <v>71</v>
      </c>
      <c r="J293" s="434"/>
      <c r="K293" s="434"/>
      <c r="L293" s="434"/>
      <c r="M293" s="434"/>
      <c r="N293" s="434"/>
      <c r="O293" s="434"/>
      <c r="P293" s="434"/>
      <c r="Q293" s="434"/>
      <c r="R293" s="434"/>
      <c r="S293" s="434"/>
      <c r="T293" s="434"/>
      <c r="U293" s="435"/>
      <c r="V293" s="435"/>
      <c r="W293" s="435"/>
      <c r="X293" s="435"/>
      <c r="Y293" s="435"/>
      <c r="Z293" s="435"/>
      <c r="AA293" s="435"/>
      <c r="AB293" s="435"/>
      <c r="AC293" s="435"/>
      <c r="AD293" s="435"/>
      <c r="AE293" s="435"/>
      <c r="AF293" s="435"/>
      <c r="AG293" s="435"/>
      <c r="AH293" s="435"/>
      <c r="AI293" s="435"/>
      <c r="AJ293" s="435"/>
      <c r="AK293" s="435"/>
      <c r="AL293" s="435"/>
      <c r="AM293" s="435"/>
      <c r="AN293" s="435"/>
      <c r="AO293" s="435"/>
      <c r="AP293" s="436"/>
      <c r="AQ293" s="436"/>
      <c r="AR293" s="436"/>
      <c r="AS293" s="436"/>
      <c r="AT293" s="436"/>
      <c r="AU293" s="437"/>
      <c r="AV293" s="437"/>
      <c r="AW293" s="437"/>
      <c r="AX293" s="437"/>
      <c r="AY293" s="437"/>
      <c r="AZ293" s="437"/>
      <c r="BA293" s="438"/>
      <c r="BB293" s="438"/>
      <c r="BC293" s="438"/>
      <c r="BD293" s="438"/>
      <c r="BE293" s="434"/>
      <c r="BF293" s="434"/>
      <c r="BG293" s="434"/>
      <c r="BH293" s="434"/>
      <c r="BI293" s="434"/>
      <c r="BJ293" s="439"/>
      <c r="BK293" s="435"/>
      <c r="BL293" s="435"/>
      <c r="BM293" s="435"/>
      <c r="BN293" s="435"/>
      <c r="BO293" s="435"/>
      <c r="BP293" s="435"/>
      <c r="BQ293" s="435"/>
      <c r="BR293" s="435"/>
      <c r="BS293" s="435"/>
      <c r="BT293" s="435"/>
      <c r="BU293" s="435"/>
      <c r="BV293" s="435"/>
      <c r="BW293" s="436"/>
      <c r="BX293" s="436"/>
      <c r="BY293" s="436"/>
      <c r="BZ293" s="436"/>
      <c r="CA293" s="436"/>
      <c r="CB293" s="436"/>
      <c r="CC293" s="436"/>
      <c r="CD293" s="436"/>
      <c r="CE293" s="436"/>
      <c r="CF293" s="436"/>
      <c r="CG293" s="436"/>
      <c r="CH293" s="440"/>
      <c r="CI293" s="436"/>
      <c r="CJ293" s="436"/>
      <c r="CK293" s="436"/>
      <c r="CL293" s="436"/>
      <c r="CM293" s="436"/>
      <c r="CN293" s="436"/>
      <c r="CO293" s="437"/>
      <c r="CP293" s="437"/>
      <c r="CQ293" s="437"/>
      <c r="CR293" s="522"/>
      <c r="CS293" s="561"/>
      <c r="CT293" s="561"/>
      <c r="CU293" s="561"/>
      <c r="CV293" s="560"/>
      <c r="CW293" s="522"/>
      <c r="CX293" s="522"/>
      <c r="CY293" s="523"/>
      <c r="CZ293" s="437"/>
      <c r="DA293" s="584"/>
      <c r="DB293" s="584"/>
      <c r="DC293" s="653"/>
      <c r="DD293" s="434"/>
      <c r="DE293" s="434"/>
      <c r="DF293" s="434"/>
      <c r="DG293" s="434"/>
      <c r="DH293" s="434"/>
      <c r="DI293" s="434"/>
      <c r="DJ293" s="434"/>
      <c r="DK293" s="614"/>
      <c r="DL293" s="497">
        <f t="shared" si="348"/>
        <v>0</v>
      </c>
      <c r="DM293" s="126">
        <f t="shared" si="349"/>
        <v>0</v>
      </c>
      <c r="DN293" s="126">
        <f t="shared" si="350"/>
        <v>0</v>
      </c>
      <c r="DO293" s="127">
        <f t="shared" si="351"/>
        <v>0</v>
      </c>
    </row>
    <row r="294" spans="2:123" ht="32.1" hidden="1" customHeight="1" outlineLevel="1" thickBot="1" x14ac:dyDescent="0.3">
      <c r="B294" s="813"/>
      <c r="C294" s="814"/>
      <c r="D294" s="792"/>
      <c r="E294" s="774" t="s">
        <v>138</v>
      </c>
      <c r="F294" s="328" t="s">
        <v>9</v>
      </c>
      <c r="G294" s="428" t="s">
        <v>133</v>
      </c>
      <c r="H294" s="330"/>
      <c r="I294" s="972" t="s">
        <v>179</v>
      </c>
      <c r="J294" s="331"/>
      <c r="K294" s="331"/>
      <c r="L294" s="331"/>
      <c r="M294" s="331"/>
      <c r="N294" s="331"/>
      <c r="O294" s="331"/>
      <c r="P294" s="331"/>
      <c r="Q294" s="331"/>
      <c r="R294" s="331"/>
      <c r="S294" s="331"/>
      <c r="T294" s="331"/>
      <c r="U294" s="332"/>
      <c r="V294" s="332"/>
      <c r="W294" s="332"/>
      <c r="X294" s="332"/>
      <c r="Y294" s="332"/>
      <c r="Z294" s="332"/>
      <c r="AA294" s="332"/>
      <c r="AB294" s="332"/>
      <c r="AC294" s="332"/>
      <c r="AD294" s="332"/>
      <c r="AE294" s="332"/>
      <c r="AF294" s="332"/>
      <c r="AG294" s="332"/>
      <c r="AH294" s="332"/>
      <c r="AI294" s="332"/>
      <c r="AJ294" s="332"/>
      <c r="AK294" s="332"/>
      <c r="AL294" s="332"/>
      <c r="AM294" s="332"/>
      <c r="AN294" s="332"/>
      <c r="AO294" s="332"/>
      <c r="AP294" s="333"/>
      <c r="AQ294" s="333"/>
      <c r="AR294" s="333"/>
      <c r="AS294" s="333"/>
      <c r="AT294" s="333"/>
      <c r="AU294" s="334"/>
      <c r="AV294" s="334"/>
      <c r="AW294" s="334"/>
      <c r="AX294" s="334"/>
      <c r="AY294" s="334"/>
      <c r="AZ294" s="334"/>
      <c r="BA294" s="335"/>
      <c r="BB294" s="335"/>
      <c r="BC294" s="335"/>
      <c r="BD294" s="335"/>
      <c r="BE294" s="331"/>
      <c r="BF294" s="331"/>
      <c r="BG294" s="331"/>
      <c r="BH294" s="331"/>
      <c r="BI294" s="331"/>
      <c r="BJ294" s="336"/>
      <c r="BK294" s="332"/>
      <c r="BL294" s="332"/>
      <c r="BM294" s="332"/>
      <c r="BN294" s="332"/>
      <c r="BO294" s="332"/>
      <c r="BP294" s="332"/>
      <c r="BQ294" s="332"/>
      <c r="BR294" s="332"/>
      <c r="BS294" s="332"/>
      <c r="BT294" s="332"/>
      <c r="BU294" s="332"/>
      <c r="BV294" s="332"/>
      <c r="BW294" s="333"/>
      <c r="BX294" s="333"/>
      <c r="BY294" s="333"/>
      <c r="BZ294" s="333"/>
      <c r="CA294" s="333"/>
      <c r="CB294" s="333"/>
      <c r="CC294" s="333"/>
      <c r="CD294" s="333"/>
      <c r="CE294" s="333"/>
      <c r="CF294" s="333"/>
      <c r="CG294" s="333"/>
      <c r="CH294" s="338"/>
      <c r="CI294" s="333"/>
      <c r="CJ294" s="333"/>
      <c r="CK294" s="333"/>
      <c r="CL294" s="333"/>
      <c r="CM294" s="333"/>
      <c r="CN294" s="333"/>
      <c r="CO294" s="334"/>
      <c r="CP294" s="334"/>
      <c r="CQ294" s="334"/>
      <c r="CR294" s="524"/>
      <c r="CS294" s="556"/>
      <c r="CT294" s="556"/>
      <c r="CU294" s="556"/>
      <c r="CV294" s="562"/>
      <c r="CW294" s="524"/>
      <c r="CX294" s="524"/>
      <c r="CY294" s="525"/>
      <c r="CZ294" s="334"/>
      <c r="DA294" s="585"/>
      <c r="DB294" s="585"/>
      <c r="DC294" s="654"/>
      <c r="DD294" s="331"/>
      <c r="DE294" s="331"/>
      <c r="DF294" s="331"/>
      <c r="DG294" s="331"/>
      <c r="DH294" s="331"/>
      <c r="DI294" s="331"/>
      <c r="DJ294" s="331"/>
      <c r="DK294" s="615"/>
      <c r="DL294" s="498">
        <f t="shared" si="348"/>
        <v>0</v>
      </c>
      <c r="DM294" s="121">
        <f t="shared" si="349"/>
        <v>0</v>
      </c>
      <c r="DN294" s="121">
        <f t="shared" si="350"/>
        <v>0</v>
      </c>
      <c r="DO294" s="357">
        <f t="shared" si="351"/>
        <v>0</v>
      </c>
    </row>
    <row r="295" spans="2:123" ht="32.1" hidden="1" customHeight="1" outlineLevel="1" thickBot="1" x14ac:dyDescent="0.3">
      <c r="B295" s="813"/>
      <c r="C295" s="814"/>
      <c r="D295" s="792"/>
      <c r="E295" s="772"/>
      <c r="F295" s="213" t="s">
        <v>9</v>
      </c>
      <c r="G295" s="339" t="s">
        <v>133</v>
      </c>
      <c r="H295" s="330"/>
      <c r="I295" s="969" t="s">
        <v>60</v>
      </c>
      <c r="J295" s="216"/>
      <c r="K295" s="216"/>
      <c r="L295" s="216"/>
      <c r="M295" s="216"/>
      <c r="N295" s="216"/>
      <c r="O295" s="216"/>
      <c r="P295" s="216"/>
      <c r="Q295" s="216"/>
      <c r="R295" s="216"/>
      <c r="S295" s="216"/>
      <c r="T295" s="216"/>
      <c r="U295" s="217"/>
      <c r="V295" s="217"/>
      <c r="W295" s="217"/>
      <c r="X295" s="217"/>
      <c r="Y295" s="217"/>
      <c r="Z295" s="217"/>
      <c r="AA295" s="217"/>
      <c r="AB295" s="217"/>
      <c r="AC295" s="217"/>
      <c r="AD295" s="217"/>
      <c r="AE295" s="217"/>
      <c r="AF295" s="217"/>
      <c r="AG295" s="217"/>
      <c r="AH295" s="217"/>
      <c r="AI295" s="217"/>
      <c r="AJ295" s="217"/>
      <c r="AK295" s="217"/>
      <c r="AL295" s="217"/>
      <c r="AM295" s="217"/>
      <c r="AN295" s="217"/>
      <c r="AO295" s="217"/>
      <c r="AP295" s="218"/>
      <c r="AQ295" s="218"/>
      <c r="AR295" s="218"/>
      <c r="AS295" s="218"/>
      <c r="AT295" s="218"/>
      <c r="AU295" s="219"/>
      <c r="AV295" s="219"/>
      <c r="AW295" s="219"/>
      <c r="AX295" s="219"/>
      <c r="AY295" s="219"/>
      <c r="AZ295" s="219"/>
      <c r="BA295" s="220"/>
      <c r="BB295" s="220"/>
      <c r="BC295" s="220"/>
      <c r="BD295" s="220"/>
      <c r="BE295" s="216"/>
      <c r="BF295" s="216"/>
      <c r="BG295" s="216"/>
      <c r="BH295" s="216"/>
      <c r="BI295" s="216"/>
      <c r="BJ295" s="221"/>
      <c r="BK295" s="217"/>
      <c r="BL295" s="217"/>
      <c r="BM295" s="217"/>
      <c r="BN295" s="217"/>
      <c r="BO295" s="217"/>
      <c r="BP295" s="217"/>
      <c r="BQ295" s="217"/>
      <c r="BR295" s="217"/>
      <c r="BS295" s="217"/>
      <c r="BT295" s="217"/>
      <c r="BU295" s="217"/>
      <c r="BV295" s="217"/>
      <c r="BW295" s="218"/>
      <c r="BX295" s="218"/>
      <c r="BY295" s="218"/>
      <c r="BZ295" s="218"/>
      <c r="CA295" s="218"/>
      <c r="CB295" s="218"/>
      <c r="CC295" s="218"/>
      <c r="CD295" s="218"/>
      <c r="CE295" s="218"/>
      <c r="CF295" s="218"/>
      <c r="CG295" s="218"/>
      <c r="CH295" s="222"/>
      <c r="CI295" s="218"/>
      <c r="CJ295" s="218"/>
      <c r="CK295" s="218"/>
      <c r="CL295" s="218"/>
      <c r="CM295" s="218"/>
      <c r="CN295" s="218"/>
      <c r="CO295" s="219"/>
      <c r="CP295" s="219"/>
      <c r="CQ295" s="219"/>
      <c r="CR295" s="514"/>
      <c r="CS295" s="557"/>
      <c r="CT295" s="557"/>
      <c r="CU295" s="557"/>
      <c r="CV295" s="521"/>
      <c r="CW295" s="514"/>
      <c r="CX295" s="514"/>
      <c r="CY295" s="515"/>
      <c r="CZ295" s="219"/>
      <c r="DA295" s="581"/>
      <c r="DB295" s="581"/>
      <c r="DC295" s="650"/>
      <c r="DD295" s="216"/>
      <c r="DE295" s="216"/>
      <c r="DF295" s="216"/>
      <c r="DG295" s="216"/>
      <c r="DH295" s="216"/>
      <c r="DI295" s="216"/>
      <c r="DJ295" s="216"/>
      <c r="DK295" s="612"/>
      <c r="DL295" s="495">
        <f t="shared" si="348"/>
        <v>0</v>
      </c>
      <c r="DM295" s="84">
        <f t="shared" si="349"/>
        <v>0</v>
      </c>
      <c r="DN295" s="84">
        <f t="shared" si="350"/>
        <v>0</v>
      </c>
      <c r="DO295" s="125">
        <f t="shared" si="351"/>
        <v>0</v>
      </c>
    </row>
    <row r="296" spans="2:123" ht="32.1" hidden="1" customHeight="1" outlineLevel="1" thickBot="1" x14ac:dyDescent="0.3">
      <c r="B296" s="813"/>
      <c r="C296" s="814"/>
      <c r="D296" s="792"/>
      <c r="E296" s="772"/>
      <c r="F296" s="213" t="s">
        <v>9</v>
      </c>
      <c r="G296" s="339" t="s">
        <v>133</v>
      </c>
      <c r="H296" s="330"/>
      <c r="I296" s="969" t="s">
        <v>38</v>
      </c>
      <c r="J296" s="216"/>
      <c r="K296" s="216"/>
      <c r="L296" s="216"/>
      <c r="M296" s="216"/>
      <c r="N296" s="216"/>
      <c r="O296" s="216"/>
      <c r="P296" s="216"/>
      <c r="Q296" s="216"/>
      <c r="R296" s="216"/>
      <c r="S296" s="216"/>
      <c r="T296" s="216"/>
      <c r="U296" s="217"/>
      <c r="V296" s="217"/>
      <c r="W296" s="217"/>
      <c r="X296" s="217"/>
      <c r="Y296" s="217"/>
      <c r="Z296" s="217"/>
      <c r="AA296" s="217"/>
      <c r="AB296" s="217"/>
      <c r="AC296" s="217"/>
      <c r="AD296" s="217"/>
      <c r="AE296" s="217"/>
      <c r="AF296" s="217"/>
      <c r="AG296" s="217"/>
      <c r="AH296" s="217"/>
      <c r="AI296" s="217"/>
      <c r="AJ296" s="217"/>
      <c r="AK296" s="217"/>
      <c r="AL296" s="217"/>
      <c r="AM296" s="217"/>
      <c r="AN296" s="217"/>
      <c r="AO296" s="217"/>
      <c r="AP296" s="218"/>
      <c r="AQ296" s="218"/>
      <c r="AR296" s="218"/>
      <c r="AS296" s="218"/>
      <c r="AT296" s="218"/>
      <c r="AU296" s="219"/>
      <c r="AV296" s="219"/>
      <c r="AW296" s="219"/>
      <c r="AX296" s="219"/>
      <c r="AY296" s="219"/>
      <c r="AZ296" s="219"/>
      <c r="BA296" s="220"/>
      <c r="BB296" s="220"/>
      <c r="BC296" s="220"/>
      <c r="BD296" s="220"/>
      <c r="BE296" s="216"/>
      <c r="BF296" s="216"/>
      <c r="BG296" s="216"/>
      <c r="BH296" s="216"/>
      <c r="BI296" s="216"/>
      <c r="BJ296" s="221"/>
      <c r="BK296" s="217"/>
      <c r="BL296" s="217"/>
      <c r="BM296" s="217"/>
      <c r="BN296" s="217"/>
      <c r="BO296" s="217"/>
      <c r="BP296" s="217"/>
      <c r="BQ296" s="217"/>
      <c r="BR296" s="217"/>
      <c r="BS296" s="217"/>
      <c r="BT296" s="217"/>
      <c r="BU296" s="217"/>
      <c r="BV296" s="217"/>
      <c r="BW296" s="218"/>
      <c r="BX296" s="218"/>
      <c r="BY296" s="218"/>
      <c r="BZ296" s="218"/>
      <c r="CA296" s="218"/>
      <c r="CB296" s="218"/>
      <c r="CC296" s="218"/>
      <c r="CD296" s="218"/>
      <c r="CE296" s="218"/>
      <c r="CF296" s="218"/>
      <c r="CG296" s="218"/>
      <c r="CH296" s="222"/>
      <c r="CI296" s="218"/>
      <c r="CJ296" s="218"/>
      <c r="CK296" s="218"/>
      <c r="CL296" s="218"/>
      <c r="CM296" s="218"/>
      <c r="CN296" s="218"/>
      <c r="CO296" s="219"/>
      <c r="CP296" s="219"/>
      <c r="CQ296" s="219"/>
      <c r="CR296" s="514"/>
      <c r="CS296" s="557"/>
      <c r="CT296" s="557"/>
      <c r="CU296" s="557"/>
      <c r="CV296" s="521"/>
      <c r="CW296" s="514"/>
      <c r="CX296" s="514"/>
      <c r="CY296" s="515"/>
      <c r="CZ296" s="219"/>
      <c r="DA296" s="581"/>
      <c r="DB296" s="581"/>
      <c r="DC296" s="650"/>
      <c r="DD296" s="216"/>
      <c r="DE296" s="216"/>
      <c r="DF296" s="216"/>
      <c r="DG296" s="216"/>
      <c r="DH296" s="216"/>
      <c r="DI296" s="216"/>
      <c r="DJ296" s="216"/>
      <c r="DK296" s="612"/>
      <c r="DL296" s="495">
        <f t="shared" si="348"/>
        <v>0</v>
      </c>
      <c r="DM296" s="84">
        <f t="shared" si="349"/>
        <v>0</v>
      </c>
      <c r="DN296" s="84">
        <f t="shared" si="350"/>
        <v>0</v>
      </c>
      <c r="DO296" s="125">
        <f t="shared" si="351"/>
        <v>0</v>
      </c>
    </row>
    <row r="297" spans="2:123" ht="32.1" hidden="1" customHeight="1" outlineLevel="1" thickBot="1" x14ac:dyDescent="0.3">
      <c r="B297" s="813"/>
      <c r="C297" s="814"/>
      <c r="D297" s="792"/>
      <c r="E297" s="772"/>
      <c r="F297" s="213" t="s">
        <v>9</v>
      </c>
      <c r="G297" s="339" t="s">
        <v>133</v>
      </c>
      <c r="H297" s="341"/>
      <c r="I297" s="955" t="s">
        <v>67</v>
      </c>
      <c r="J297" s="216"/>
      <c r="K297" s="216"/>
      <c r="L297" s="216"/>
      <c r="M297" s="216"/>
      <c r="N297" s="216"/>
      <c r="O297" s="216"/>
      <c r="P297" s="216"/>
      <c r="Q297" s="216"/>
      <c r="R297" s="216"/>
      <c r="S297" s="216"/>
      <c r="T297" s="216"/>
      <c r="U297" s="217"/>
      <c r="V297" s="217"/>
      <c r="W297" s="217"/>
      <c r="X297" s="217"/>
      <c r="Y297" s="217"/>
      <c r="Z297" s="217"/>
      <c r="AA297" s="217"/>
      <c r="AB297" s="217"/>
      <c r="AC297" s="217"/>
      <c r="AD297" s="217"/>
      <c r="AE297" s="217"/>
      <c r="AF297" s="217"/>
      <c r="AG297" s="217"/>
      <c r="AH297" s="217"/>
      <c r="AI297" s="217"/>
      <c r="AJ297" s="217"/>
      <c r="AK297" s="217"/>
      <c r="AL297" s="217"/>
      <c r="AM297" s="217"/>
      <c r="AN297" s="217"/>
      <c r="AO297" s="217"/>
      <c r="AP297" s="218"/>
      <c r="AQ297" s="218"/>
      <c r="AR297" s="218"/>
      <c r="AS297" s="218"/>
      <c r="AT297" s="218"/>
      <c r="AU297" s="219"/>
      <c r="AV297" s="219"/>
      <c r="AW297" s="219"/>
      <c r="AX297" s="219"/>
      <c r="AY297" s="219"/>
      <c r="AZ297" s="219"/>
      <c r="BA297" s="220"/>
      <c r="BB297" s="220"/>
      <c r="BC297" s="220"/>
      <c r="BD297" s="220"/>
      <c r="BE297" s="216"/>
      <c r="BF297" s="216"/>
      <c r="BG297" s="216"/>
      <c r="BH297" s="216"/>
      <c r="BI297" s="216"/>
      <c r="BJ297" s="221"/>
      <c r="BK297" s="217"/>
      <c r="BL297" s="217"/>
      <c r="BM297" s="217"/>
      <c r="BN297" s="217"/>
      <c r="BO297" s="217"/>
      <c r="BP297" s="217"/>
      <c r="BQ297" s="217"/>
      <c r="BR297" s="217"/>
      <c r="BS297" s="217"/>
      <c r="BT297" s="217"/>
      <c r="BU297" s="217"/>
      <c r="BV297" s="217"/>
      <c r="BW297" s="218"/>
      <c r="BX297" s="218"/>
      <c r="BY297" s="218"/>
      <c r="BZ297" s="218"/>
      <c r="CA297" s="218"/>
      <c r="CB297" s="218"/>
      <c r="CC297" s="218"/>
      <c r="CD297" s="218"/>
      <c r="CE297" s="218"/>
      <c r="CF297" s="218"/>
      <c r="CG297" s="218"/>
      <c r="CH297" s="222"/>
      <c r="CI297" s="218"/>
      <c r="CJ297" s="218"/>
      <c r="CK297" s="218"/>
      <c r="CL297" s="218"/>
      <c r="CM297" s="218"/>
      <c r="CN297" s="218"/>
      <c r="CO297" s="219"/>
      <c r="CP297" s="219"/>
      <c r="CQ297" s="219"/>
      <c r="CR297" s="514"/>
      <c r="CS297" s="557"/>
      <c r="CT297" s="557"/>
      <c r="CU297" s="557"/>
      <c r="CV297" s="521"/>
      <c r="CW297" s="514"/>
      <c r="CX297" s="514"/>
      <c r="CY297" s="515"/>
      <c r="CZ297" s="219"/>
      <c r="DA297" s="581"/>
      <c r="DB297" s="581"/>
      <c r="DC297" s="650"/>
      <c r="DD297" s="216"/>
      <c r="DE297" s="216"/>
      <c r="DF297" s="216"/>
      <c r="DG297" s="216"/>
      <c r="DH297" s="216"/>
      <c r="DI297" s="216"/>
      <c r="DJ297" s="216"/>
      <c r="DK297" s="612"/>
      <c r="DL297" s="497">
        <f t="shared" si="348"/>
        <v>0</v>
      </c>
      <c r="DM297" s="126">
        <f t="shared" si="349"/>
        <v>0</v>
      </c>
      <c r="DN297" s="126">
        <f t="shared" si="350"/>
        <v>0</v>
      </c>
      <c r="DO297" s="127">
        <f t="shared" si="351"/>
        <v>0</v>
      </c>
    </row>
    <row r="298" spans="2:123" s="834" customFormat="1" ht="16.5" hidden="1" customHeight="1" outlineLevel="1" thickBot="1" x14ac:dyDescent="0.35">
      <c r="B298" s="813"/>
      <c r="C298" s="814"/>
      <c r="D298" s="819"/>
      <c r="E298" s="820" t="s">
        <v>254</v>
      </c>
      <c r="F298" s="821"/>
      <c r="G298" s="822"/>
      <c r="H298" s="823"/>
      <c r="I298" s="903"/>
      <c r="J298" s="824">
        <f>SUM(J288:J297)</f>
        <v>0</v>
      </c>
      <c r="K298" s="824">
        <f t="shared" ref="K298:CL298" si="352">SUM(K288:K297)</f>
        <v>0</v>
      </c>
      <c r="L298" s="824">
        <f t="shared" si="352"/>
        <v>0</v>
      </c>
      <c r="M298" s="824">
        <f t="shared" si="352"/>
        <v>0</v>
      </c>
      <c r="N298" s="824">
        <f t="shared" si="352"/>
        <v>0</v>
      </c>
      <c r="O298" s="824">
        <f t="shared" si="352"/>
        <v>0</v>
      </c>
      <c r="P298" s="824">
        <f t="shared" si="352"/>
        <v>0</v>
      </c>
      <c r="Q298" s="824">
        <f t="shared" si="352"/>
        <v>0</v>
      </c>
      <c r="R298" s="824">
        <f t="shared" si="352"/>
        <v>0</v>
      </c>
      <c r="S298" s="824">
        <f t="shared" si="352"/>
        <v>0</v>
      </c>
      <c r="T298" s="824">
        <f t="shared" si="352"/>
        <v>0</v>
      </c>
      <c r="U298" s="825">
        <f t="shared" si="352"/>
        <v>0</v>
      </c>
      <c r="V298" s="825">
        <f t="shared" si="352"/>
        <v>0</v>
      </c>
      <c r="W298" s="825">
        <f t="shared" si="352"/>
        <v>0</v>
      </c>
      <c r="X298" s="825">
        <f t="shared" si="352"/>
        <v>0</v>
      </c>
      <c r="Y298" s="825">
        <f t="shared" si="352"/>
        <v>0</v>
      </c>
      <c r="Z298" s="825">
        <f t="shared" si="352"/>
        <v>0</v>
      </c>
      <c r="AA298" s="825">
        <f t="shared" si="352"/>
        <v>0</v>
      </c>
      <c r="AB298" s="825">
        <f t="shared" ref="AB298:AD298" si="353">SUM(AB288:AB297)</f>
        <v>0</v>
      </c>
      <c r="AC298" s="825">
        <f t="shared" si="353"/>
        <v>0</v>
      </c>
      <c r="AD298" s="825">
        <f t="shared" si="353"/>
        <v>0</v>
      </c>
      <c r="AE298" s="825">
        <f t="shared" si="352"/>
        <v>0</v>
      </c>
      <c r="AF298" s="825">
        <f t="shared" si="352"/>
        <v>0</v>
      </c>
      <c r="AG298" s="825">
        <f t="shared" si="352"/>
        <v>0</v>
      </c>
      <c r="AH298" s="825">
        <f t="shared" si="352"/>
        <v>0</v>
      </c>
      <c r="AI298" s="825">
        <f t="shared" ref="AI298:AO298" si="354">SUM(AI288:AI297)</f>
        <v>0</v>
      </c>
      <c r="AJ298" s="825">
        <f t="shared" si="354"/>
        <v>0</v>
      </c>
      <c r="AK298" s="825">
        <f t="shared" si="354"/>
        <v>0</v>
      </c>
      <c r="AL298" s="825">
        <f t="shared" si="354"/>
        <v>0</v>
      </c>
      <c r="AM298" s="825">
        <f t="shared" si="354"/>
        <v>0</v>
      </c>
      <c r="AN298" s="825">
        <f t="shared" si="354"/>
        <v>0</v>
      </c>
      <c r="AO298" s="825">
        <f t="shared" si="354"/>
        <v>0</v>
      </c>
      <c r="AP298" s="826">
        <f t="shared" si="352"/>
        <v>0</v>
      </c>
      <c r="AQ298" s="826">
        <f t="shared" ref="AQ298" si="355">SUM(AQ288:AQ297)</f>
        <v>0</v>
      </c>
      <c r="AR298" s="826">
        <f t="shared" si="352"/>
        <v>0</v>
      </c>
      <c r="AS298" s="826">
        <f t="shared" si="352"/>
        <v>0</v>
      </c>
      <c r="AT298" s="826">
        <f t="shared" si="352"/>
        <v>0</v>
      </c>
      <c r="AU298" s="827">
        <f t="shared" si="352"/>
        <v>0</v>
      </c>
      <c r="AV298" s="827">
        <f t="shared" si="352"/>
        <v>0</v>
      </c>
      <c r="AW298" s="827">
        <f t="shared" si="352"/>
        <v>0</v>
      </c>
      <c r="AX298" s="827">
        <f t="shared" ref="AX298:AY298" si="356">SUM(AX288:AX297)</f>
        <v>0</v>
      </c>
      <c r="AY298" s="827">
        <f t="shared" si="356"/>
        <v>0</v>
      </c>
      <c r="AZ298" s="827">
        <f t="shared" si="352"/>
        <v>0</v>
      </c>
      <c r="BA298" s="828">
        <f t="shared" si="352"/>
        <v>0</v>
      </c>
      <c r="BB298" s="828">
        <f t="shared" si="352"/>
        <v>0</v>
      </c>
      <c r="BC298" s="828">
        <f t="shared" si="352"/>
        <v>0</v>
      </c>
      <c r="BD298" s="828">
        <f t="shared" si="352"/>
        <v>0</v>
      </c>
      <c r="BE298" s="824">
        <f t="shared" si="352"/>
        <v>0</v>
      </c>
      <c r="BF298" s="824">
        <f t="shared" si="352"/>
        <v>0</v>
      </c>
      <c r="BG298" s="824">
        <f t="shared" si="352"/>
        <v>0</v>
      </c>
      <c r="BH298" s="824">
        <f t="shared" si="352"/>
        <v>0</v>
      </c>
      <c r="BI298" s="824">
        <f t="shared" si="352"/>
        <v>0</v>
      </c>
      <c r="BJ298" s="824">
        <f t="shared" si="352"/>
        <v>0</v>
      </c>
      <c r="BK298" s="825">
        <f t="shared" si="352"/>
        <v>0</v>
      </c>
      <c r="BL298" s="825">
        <f t="shared" si="352"/>
        <v>0</v>
      </c>
      <c r="BM298" s="825">
        <f t="shared" si="352"/>
        <v>0</v>
      </c>
      <c r="BN298" s="825">
        <f t="shared" si="352"/>
        <v>0</v>
      </c>
      <c r="BO298" s="825">
        <f t="shared" si="352"/>
        <v>0</v>
      </c>
      <c r="BP298" s="825">
        <f t="shared" si="352"/>
        <v>0</v>
      </c>
      <c r="BQ298" s="825">
        <f t="shared" si="352"/>
        <v>0</v>
      </c>
      <c r="BR298" s="825">
        <f t="shared" ref="BR298" si="357">SUM(BR288:BR297)</f>
        <v>0</v>
      </c>
      <c r="BS298" s="825">
        <f t="shared" ref="BS298" si="358">SUM(BS288:BS297)</f>
        <v>0</v>
      </c>
      <c r="BT298" s="825">
        <f t="shared" si="352"/>
        <v>0</v>
      </c>
      <c r="BU298" s="825">
        <f t="shared" si="352"/>
        <v>0</v>
      </c>
      <c r="BV298" s="825">
        <f t="shared" si="352"/>
        <v>0</v>
      </c>
      <c r="BW298" s="826">
        <f t="shared" si="352"/>
        <v>0</v>
      </c>
      <c r="BX298" s="826">
        <f t="shared" si="352"/>
        <v>0</v>
      </c>
      <c r="BY298" s="826">
        <f t="shared" si="352"/>
        <v>0</v>
      </c>
      <c r="BZ298" s="826">
        <f t="shared" si="352"/>
        <v>0</v>
      </c>
      <c r="CA298" s="826">
        <f t="shared" si="352"/>
        <v>0</v>
      </c>
      <c r="CB298" s="826">
        <f t="shared" ref="CB298" si="359">SUM(CB288:CB297)</f>
        <v>0</v>
      </c>
      <c r="CC298" s="826">
        <f t="shared" si="352"/>
        <v>0</v>
      </c>
      <c r="CD298" s="826">
        <f t="shared" si="352"/>
        <v>0</v>
      </c>
      <c r="CE298" s="826">
        <f t="shared" si="352"/>
        <v>0</v>
      </c>
      <c r="CF298" s="826">
        <f t="shared" si="352"/>
        <v>0</v>
      </c>
      <c r="CG298" s="826">
        <f t="shared" si="352"/>
        <v>0</v>
      </c>
      <c r="CH298" s="826">
        <f t="shared" si="352"/>
        <v>0</v>
      </c>
      <c r="CI298" s="826">
        <f t="shared" si="352"/>
        <v>0</v>
      </c>
      <c r="CJ298" s="826">
        <f t="shared" si="352"/>
        <v>0</v>
      </c>
      <c r="CK298" s="826">
        <f t="shared" si="352"/>
        <v>0</v>
      </c>
      <c r="CL298" s="826">
        <f t="shared" si="352"/>
        <v>0</v>
      </c>
      <c r="CM298" s="826">
        <f t="shared" ref="CM298:DO298" si="360">SUM(CM288:CM297)</f>
        <v>0</v>
      </c>
      <c r="CN298" s="826">
        <f t="shared" si="360"/>
        <v>0</v>
      </c>
      <c r="CO298" s="827">
        <f t="shared" si="360"/>
        <v>0</v>
      </c>
      <c r="CP298" s="827">
        <f t="shared" si="360"/>
        <v>0</v>
      </c>
      <c r="CQ298" s="827">
        <f t="shared" si="360"/>
        <v>0</v>
      </c>
      <c r="CR298" s="827">
        <f t="shared" si="360"/>
        <v>0</v>
      </c>
      <c r="CS298" s="827">
        <f t="shared" si="360"/>
        <v>0</v>
      </c>
      <c r="CT298" s="827">
        <f t="shared" si="360"/>
        <v>0</v>
      </c>
      <c r="CU298" s="827">
        <f t="shared" si="360"/>
        <v>0</v>
      </c>
      <c r="CV298" s="827">
        <f t="shared" si="360"/>
        <v>0</v>
      </c>
      <c r="CW298" s="827">
        <f t="shared" si="360"/>
        <v>0</v>
      </c>
      <c r="CX298" s="827">
        <f t="shared" si="360"/>
        <v>0</v>
      </c>
      <c r="CY298" s="827">
        <f t="shared" si="360"/>
        <v>0</v>
      </c>
      <c r="CZ298" s="827">
        <f t="shared" si="360"/>
        <v>0</v>
      </c>
      <c r="DA298" s="827">
        <f t="shared" si="360"/>
        <v>0</v>
      </c>
      <c r="DB298" s="827">
        <f t="shared" si="360"/>
        <v>0</v>
      </c>
      <c r="DC298" s="824">
        <f t="shared" si="360"/>
        <v>0</v>
      </c>
      <c r="DD298" s="824">
        <f t="shared" si="360"/>
        <v>0</v>
      </c>
      <c r="DE298" s="824">
        <f t="shared" si="360"/>
        <v>0</v>
      </c>
      <c r="DF298" s="824">
        <f t="shared" si="360"/>
        <v>0</v>
      </c>
      <c r="DG298" s="824">
        <f t="shared" si="360"/>
        <v>0</v>
      </c>
      <c r="DH298" s="824">
        <f t="shared" si="360"/>
        <v>0</v>
      </c>
      <c r="DI298" s="824">
        <f t="shared" si="360"/>
        <v>0</v>
      </c>
      <c r="DJ298" s="824">
        <f t="shared" si="360"/>
        <v>0</v>
      </c>
      <c r="DK298" s="829">
        <f t="shared" si="360"/>
        <v>0</v>
      </c>
      <c r="DL298" s="830">
        <f t="shared" si="360"/>
        <v>0</v>
      </c>
      <c r="DM298" s="831">
        <f t="shared" si="360"/>
        <v>0</v>
      </c>
      <c r="DN298" s="831">
        <f t="shared" si="360"/>
        <v>0</v>
      </c>
      <c r="DO298" s="832">
        <f t="shared" si="360"/>
        <v>0</v>
      </c>
      <c r="DP298" s="833"/>
      <c r="DQ298" s="833"/>
      <c r="DR298" s="833"/>
      <c r="DS298" s="833"/>
    </row>
    <row r="299" spans="2:123" ht="32.1" hidden="1" customHeight="1" outlineLevel="1" thickBot="1" x14ac:dyDescent="0.3">
      <c r="B299" s="813"/>
      <c r="C299" s="814"/>
      <c r="D299" s="796" t="s">
        <v>134</v>
      </c>
      <c r="E299" s="776" t="s">
        <v>135</v>
      </c>
      <c r="F299" s="246" t="s">
        <v>9</v>
      </c>
      <c r="G299" s="248" t="s">
        <v>134</v>
      </c>
      <c r="H299" s="359"/>
      <c r="I299" s="929" t="s">
        <v>244</v>
      </c>
      <c r="J299" s="249"/>
      <c r="K299" s="249"/>
      <c r="L299" s="249"/>
      <c r="M299" s="249"/>
      <c r="N299" s="249"/>
      <c r="O299" s="249"/>
      <c r="P299" s="249"/>
      <c r="Q299" s="249"/>
      <c r="R299" s="249"/>
      <c r="S299" s="249"/>
      <c r="T299" s="249"/>
      <c r="U299" s="250"/>
      <c r="V299" s="250"/>
      <c r="W299" s="250"/>
      <c r="X299" s="250"/>
      <c r="Y299" s="250"/>
      <c r="Z299" s="250"/>
      <c r="AA299" s="250"/>
      <c r="AB299" s="250"/>
      <c r="AC299" s="250"/>
      <c r="AD299" s="250"/>
      <c r="AE299" s="250"/>
      <c r="AF299" s="250"/>
      <c r="AG299" s="250"/>
      <c r="AH299" s="250"/>
      <c r="AI299" s="250"/>
      <c r="AJ299" s="250"/>
      <c r="AK299" s="250"/>
      <c r="AL299" s="250"/>
      <c r="AM299" s="250"/>
      <c r="AN299" s="250"/>
      <c r="AO299" s="250"/>
      <c r="AP299" s="251"/>
      <c r="AQ299" s="251"/>
      <c r="AR299" s="251"/>
      <c r="AS299" s="251"/>
      <c r="AT299" s="251"/>
      <c r="AU299" s="252"/>
      <c r="AV299" s="252"/>
      <c r="AW299" s="252"/>
      <c r="AX299" s="252"/>
      <c r="AY299" s="252"/>
      <c r="AZ299" s="252"/>
      <c r="BA299" s="369"/>
      <c r="BB299" s="369"/>
      <c r="BC299" s="369"/>
      <c r="BD299" s="253"/>
      <c r="BE299" s="249"/>
      <c r="BF299" s="249"/>
      <c r="BG299" s="249"/>
      <c r="BH299" s="249"/>
      <c r="BI299" s="249"/>
      <c r="BJ299" s="254"/>
      <c r="BK299" s="250"/>
      <c r="BL299" s="250"/>
      <c r="BM299" s="250"/>
      <c r="BN299" s="250"/>
      <c r="BO299" s="250"/>
      <c r="BP299" s="250"/>
      <c r="BQ299" s="250"/>
      <c r="BR299" s="250"/>
      <c r="BS299" s="250"/>
      <c r="BT299" s="250"/>
      <c r="BU299" s="250"/>
      <c r="BV299" s="250"/>
      <c r="BW299" s="251"/>
      <c r="BX299" s="251"/>
      <c r="BY299" s="251"/>
      <c r="BZ299" s="251"/>
      <c r="CA299" s="251"/>
      <c r="CB299" s="251"/>
      <c r="CC299" s="251"/>
      <c r="CD299" s="251"/>
      <c r="CE299" s="251"/>
      <c r="CF299" s="360"/>
      <c r="CG299" s="251"/>
      <c r="CH299" s="255"/>
      <c r="CI299" s="251"/>
      <c r="CJ299" s="251"/>
      <c r="CK299" s="251"/>
      <c r="CL299" s="251"/>
      <c r="CM299" s="251"/>
      <c r="CN299" s="251"/>
      <c r="CO299" s="252"/>
      <c r="CP299" s="252"/>
      <c r="CQ299" s="252"/>
      <c r="CR299" s="529"/>
      <c r="CS299" s="564"/>
      <c r="CT299" s="564"/>
      <c r="CU299" s="564"/>
      <c r="CV299" s="564"/>
      <c r="CW299" s="529"/>
      <c r="CX299" s="529"/>
      <c r="CY299" s="530"/>
      <c r="CZ299" s="252"/>
      <c r="DA299" s="586"/>
      <c r="DB299" s="586"/>
      <c r="DC299" s="655"/>
      <c r="DD299" s="249"/>
      <c r="DE299" s="249"/>
      <c r="DF299" s="249"/>
      <c r="DG299" s="249"/>
      <c r="DH299" s="249"/>
      <c r="DI299" s="249"/>
      <c r="DJ299" s="249"/>
      <c r="DK299" s="617"/>
      <c r="DL299" s="495">
        <f t="shared" ref="DL299:DL312" si="361">SUM(J299:S299)*5+SUM(V299:AF299)+AH299*4+U299*2.5+AG299/0.75</f>
        <v>0</v>
      </c>
      <c r="DM299" s="84">
        <f t="shared" ref="DM299:DM312" si="362">SUM(J299:DK299)</f>
        <v>0</v>
      </c>
      <c r="DN299" s="84">
        <f t="shared" ref="DN299:DN312" si="363">SUM(BK299:BV299,)</f>
        <v>0</v>
      </c>
      <c r="DO299" s="125">
        <f t="shared" ref="DO299:DO312" si="364">SUM(AT299:AV299)+SUM(AW299:AZ299)*5</f>
        <v>0</v>
      </c>
    </row>
    <row r="300" spans="2:123" ht="32.1" hidden="1" customHeight="1" outlineLevel="1" thickBot="1" x14ac:dyDescent="0.3">
      <c r="B300" s="813"/>
      <c r="C300" s="814"/>
      <c r="D300" s="804"/>
      <c r="E300" s="776"/>
      <c r="F300" s="246" t="s">
        <v>9</v>
      </c>
      <c r="G300" s="248" t="s">
        <v>134</v>
      </c>
      <c r="H300" s="359"/>
      <c r="I300" s="929"/>
      <c r="J300" s="249"/>
      <c r="K300" s="249"/>
      <c r="L300" s="249"/>
      <c r="M300" s="249"/>
      <c r="N300" s="249"/>
      <c r="O300" s="249"/>
      <c r="P300" s="249"/>
      <c r="Q300" s="249"/>
      <c r="R300" s="249"/>
      <c r="S300" s="249"/>
      <c r="T300" s="249"/>
      <c r="U300" s="250"/>
      <c r="V300" s="250"/>
      <c r="W300" s="250"/>
      <c r="X300" s="250"/>
      <c r="Y300" s="250"/>
      <c r="Z300" s="250"/>
      <c r="AA300" s="250"/>
      <c r="AB300" s="250"/>
      <c r="AC300" s="250"/>
      <c r="AD300" s="250"/>
      <c r="AE300" s="250"/>
      <c r="AF300" s="250"/>
      <c r="AG300" s="250"/>
      <c r="AH300" s="250"/>
      <c r="AI300" s="250"/>
      <c r="AJ300" s="250"/>
      <c r="AK300" s="250"/>
      <c r="AL300" s="250"/>
      <c r="AM300" s="250"/>
      <c r="AN300" s="250"/>
      <c r="AO300" s="250"/>
      <c r="AP300" s="251"/>
      <c r="AQ300" s="251"/>
      <c r="AR300" s="251"/>
      <c r="AS300" s="251"/>
      <c r="AT300" s="251"/>
      <c r="AU300" s="252"/>
      <c r="AV300" s="252"/>
      <c r="AW300" s="252"/>
      <c r="AX300" s="252"/>
      <c r="AY300" s="252"/>
      <c r="AZ300" s="252"/>
      <c r="BA300" s="253"/>
      <c r="BB300" s="253"/>
      <c r="BC300" s="253"/>
      <c r="BD300" s="253"/>
      <c r="BE300" s="249"/>
      <c r="BF300" s="249"/>
      <c r="BG300" s="249"/>
      <c r="BH300" s="249"/>
      <c r="BI300" s="249"/>
      <c r="BJ300" s="254"/>
      <c r="BK300" s="250"/>
      <c r="BL300" s="250"/>
      <c r="BM300" s="250"/>
      <c r="BN300" s="250"/>
      <c r="BO300" s="250"/>
      <c r="BP300" s="250"/>
      <c r="BQ300" s="250"/>
      <c r="BR300" s="250"/>
      <c r="BS300" s="250"/>
      <c r="BT300" s="250"/>
      <c r="BU300" s="250"/>
      <c r="BV300" s="250"/>
      <c r="BW300" s="251"/>
      <c r="BX300" s="251"/>
      <c r="BY300" s="251"/>
      <c r="BZ300" s="251"/>
      <c r="CA300" s="251"/>
      <c r="CB300" s="251"/>
      <c r="CC300" s="251"/>
      <c r="CD300" s="251"/>
      <c r="CE300" s="251"/>
      <c r="CF300" s="360"/>
      <c r="CG300" s="251"/>
      <c r="CH300" s="255"/>
      <c r="CI300" s="251"/>
      <c r="CJ300" s="251"/>
      <c r="CK300" s="251"/>
      <c r="CL300" s="251"/>
      <c r="CM300" s="251"/>
      <c r="CN300" s="251"/>
      <c r="CO300" s="252"/>
      <c r="CP300" s="252"/>
      <c r="CQ300" s="252"/>
      <c r="CR300" s="529"/>
      <c r="CS300" s="252"/>
      <c r="CT300" s="564"/>
      <c r="CU300" s="564"/>
      <c r="CV300" s="564"/>
      <c r="CW300" s="529"/>
      <c r="CX300" s="529"/>
      <c r="CY300" s="530"/>
      <c r="CZ300" s="252"/>
      <c r="DA300" s="586"/>
      <c r="DB300" s="586"/>
      <c r="DC300" s="655"/>
      <c r="DD300" s="249"/>
      <c r="DE300" s="249"/>
      <c r="DF300" s="249"/>
      <c r="DG300" s="249"/>
      <c r="DH300" s="249"/>
      <c r="DI300" s="249"/>
      <c r="DJ300" s="249"/>
      <c r="DK300" s="617"/>
      <c r="DL300" s="495">
        <f t="shared" si="361"/>
        <v>0</v>
      </c>
      <c r="DM300" s="84">
        <f t="shared" si="362"/>
        <v>0</v>
      </c>
      <c r="DN300" s="84">
        <f t="shared" si="363"/>
        <v>0</v>
      </c>
      <c r="DO300" s="125">
        <f t="shared" si="364"/>
        <v>0</v>
      </c>
    </row>
    <row r="301" spans="2:123" ht="32.1" hidden="1" customHeight="1" outlineLevel="1" thickBot="1" x14ac:dyDescent="0.3">
      <c r="B301" s="813"/>
      <c r="C301" s="814"/>
      <c r="D301" s="804"/>
      <c r="E301" s="777"/>
      <c r="F301" s="400" t="s">
        <v>9</v>
      </c>
      <c r="G301" s="401" t="s">
        <v>134</v>
      </c>
      <c r="H301" s="361"/>
      <c r="I301" s="973"/>
      <c r="J301" s="261"/>
      <c r="K301" s="261"/>
      <c r="L301" s="261"/>
      <c r="M301" s="261"/>
      <c r="N301" s="261"/>
      <c r="O301" s="261"/>
      <c r="P301" s="261"/>
      <c r="Q301" s="261"/>
      <c r="R301" s="261"/>
      <c r="S301" s="261"/>
      <c r="T301" s="261"/>
      <c r="U301" s="262"/>
      <c r="V301" s="262"/>
      <c r="W301" s="262"/>
      <c r="X301" s="262"/>
      <c r="Y301" s="262"/>
      <c r="Z301" s="262"/>
      <c r="AA301" s="262"/>
      <c r="AB301" s="262"/>
      <c r="AC301" s="262"/>
      <c r="AD301" s="262"/>
      <c r="AE301" s="262"/>
      <c r="AF301" s="262"/>
      <c r="AG301" s="262"/>
      <c r="AH301" s="262"/>
      <c r="AI301" s="262"/>
      <c r="AJ301" s="262"/>
      <c r="AK301" s="262"/>
      <c r="AL301" s="262"/>
      <c r="AM301" s="262"/>
      <c r="AN301" s="262"/>
      <c r="AO301" s="262"/>
      <c r="AP301" s="263"/>
      <c r="AQ301" s="263"/>
      <c r="AR301" s="263"/>
      <c r="AS301" s="263"/>
      <c r="AT301" s="263"/>
      <c r="AU301" s="264"/>
      <c r="AV301" s="264"/>
      <c r="AW301" s="264"/>
      <c r="AX301" s="264"/>
      <c r="AY301" s="264"/>
      <c r="AZ301" s="264"/>
      <c r="BA301" s="265"/>
      <c r="BB301" s="265"/>
      <c r="BC301" s="265"/>
      <c r="BD301" s="265"/>
      <c r="BE301" s="261"/>
      <c r="BF301" s="261"/>
      <c r="BG301" s="261"/>
      <c r="BH301" s="261"/>
      <c r="BI301" s="261"/>
      <c r="BJ301" s="266"/>
      <c r="BK301" s="262"/>
      <c r="BL301" s="262"/>
      <c r="BM301" s="262"/>
      <c r="BN301" s="262"/>
      <c r="BO301" s="262"/>
      <c r="BP301" s="262"/>
      <c r="BQ301" s="262"/>
      <c r="BR301" s="262"/>
      <c r="BS301" s="262"/>
      <c r="BT301" s="262"/>
      <c r="BU301" s="262"/>
      <c r="BV301" s="262"/>
      <c r="BW301" s="263"/>
      <c r="BX301" s="263"/>
      <c r="BY301" s="263"/>
      <c r="BZ301" s="263"/>
      <c r="CA301" s="263"/>
      <c r="CB301" s="263"/>
      <c r="CC301" s="263"/>
      <c r="CD301" s="263"/>
      <c r="CE301" s="263"/>
      <c r="CF301" s="402"/>
      <c r="CG301" s="263"/>
      <c r="CH301" s="267"/>
      <c r="CI301" s="263"/>
      <c r="CJ301" s="263"/>
      <c r="CK301" s="263"/>
      <c r="CL301" s="263"/>
      <c r="CM301" s="263"/>
      <c r="CN301" s="263"/>
      <c r="CO301" s="264"/>
      <c r="CP301" s="264"/>
      <c r="CQ301" s="264"/>
      <c r="CR301" s="531"/>
      <c r="CS301" s="531"/>
      <c r="CT301" s="565"/>
      <c r="CU301" s="531"/>
      <c r="CV301" s="531"/>
      <c r="CW301" s="531"/>
      <c r="CX301" s="531"/>
      <c r="CY301" s="532"/>
      <c r="CZ301" s="264"/>
      <c r="DA301" s="603"/>
      <c r="DB301" s="603"/>
      <c r="DC301" s="672"/>
      <c r="DD301" s="627"/>
      <c r="DE301" s="627"/>
      <c r="DF301" s="627"/>
      <c r="DG301" s="627"/>
      <c r="DH301" s="627"/>
      <c r="DI301" s="627"/>
      <c r="DJ301" s="627"/>
      <c r="DK301" s="618"/>
      <c r="DL301" s="496">
        <f t="shared" si="361"/>
        <v>0</v>
      </c>
      <c r="DM301" s="120">
        <f t="shared" si="362"/>
        <v>0</v>
      </c>
      <c r="DN301" s="120">
        <f t="shared" si="363"/>
        <v>0</v>
      </c>
      <c r="DO301" s="358">
        <f t="shared" si="364"/>
        <v>0</v>
      </c>
    </row>
    <row r="302" spans="2:123" ht="32.1" hidden="1" customHeight="1" outlineLevel="1" thickBot="1" x14ac:dyDescent="0.3">
      <c r="B302" s="813"/>
      <c r="C302" s="814"/>
      <c r="D302" s="804"/>
      <c r="E302" s="776" t="s">
        <v>136</v>
      </c>
      <c r="F302" s="236" t="s">
        <v>9</v>
      </c>
      <c r="G302" s="238" t="s">
        <v>134</v>
      </c>
      <c r="H302" s="425"/>
      <c r="I302" s="946" t="s">
        <v>143</v>
      </c>
      <c r="J302" s="407"/>
      <c r="K302" s="407"/>
      <c r="L302" s="407"/>
      <c r="M302" s="407"/>
      <c r="N302" s="407"/>
      <c r="O302" s="407"/>
      <c r="P302" s="407"/>
      <c r="Q302" s="407"/>
      <c r="R302" s="407"/>
      <c r="S302" s="407"/>
      <c r="T302" s="407"/>
      <c r="U302" s="408"/>
      <c r="V302" s="408"/>
      <c r="W302" s="408"/>
      <c r="X302" s="408"/>
      <c r="Y302" s="408"/>
      <c r="Z302" s="408"/>
      <c r="AA302" s="408"/>
      <c r="AB302" s="408"/>
      <c r="AC302" s="408"/>
      <c r="AD302" s="408"/>
      <c r="AE302" s="408"/>
      <c r="AF302" s="408"/>
      <c r="AG302" s="408"/>
      <c r="AH302" s="408"/>
      <c r="AI302" s="408"/>
      <c r="AJ302" s="408"/>
      <c r="AK302" s="408"/>
      <c r="AL302" s="408"/>
      <c r="AM302" s="408"/>
      <c r="AN302" s="408"/>
      <c r="AO302" s="408"/>
      <c r="AP302" s="409"/>
      <c r="AQ302" s="409"/>
      <c r="AR302" s="409"/>
      <c r="AS302" s="409"/>
      <c r="AT302" s="409"/>
      <c r="AU302" s="410"/>
      <c r="AV302" s="410"/>
      <c r="AW302" s="410"/>
      <c r="AX302" s="410"/>
      <c r="AY302" s="410"/>
      <c r="AZ302" s="410"/>
      <c r="BA302" s="411"/>
      <c r="BB302" s="411"/>
      <c r="BC302" s="411"/>
      <c r="BD302" s="411"/>
      <c r="BE302" s="407"/>
      <c r="BF302" s="407"/>
      <c r="BG302" s="407"/>
      <c r="BH302" s="407"/>
      <c r="BI302" s="407"/>
      <c r="BJ302" s="412"/>
      <c r="BK302" s="408"/>
      <c r="BL302" s="408"/>
      <c r="BM302" s="408"/>
      <c r="BN302" s="408"/>
      <c r="BO302" s="408"/>
      <c r="BP302" s="408"/>
      <c r="BQ302" s="408"/>
      <c r="BR302" s="408"/>
      <c r="BS302" s="408"/>
      <c r="BT302" s="408"/>
      <c r="BU302" s="408"/>
      <c r="BV302" s="408"/>
      <c r="BW302" s="409"/>
      <c r="BX302" s="409"/>
      <c r="BY302" s="409"/>
      <c r="BZ302" s="409"/>
      <c r="CA302" s="409"/>
      <c r="CB302" s="409"/>
      <c r="CC302" s="409"/>
      <c r="CD302" s="409"/>
      <c r="CE302" s="409"/>
      <c r="CF302" s="413"/>
      <c r="CG302" s="409"/>
      <c r="CH302" s="414"/>
      <c r="CI302" s="409"/>
      <c r="CJ302" s="409"/>
      <c r="CK302" s="409"/>
      <c r="CL302" s="409"/>
      <c r="CM302" s="409"/>
      <c r="CN302" s="409"/>
      <c r="CO302" s="410"/>
      <c r="CP302" s="410"/>
      <c r="CQ302" s="410"/>
      <c r="CR302" s="533"/>
      <c r="CS302" s="533"/>
      <c r="CT302" s="533"/>
      <c r="CU302" s="533"/>
      <c r="CV302" s="533"/>
      <c r="CW302" s="533"/>
      <c r="CX302" s="533"/>
      <c r="CY302" s="534"/>
      <c r="CZ302" s="410"/>
      <c r="DA302" s="604"/>
      <c r="DB302" s="604"/>
      <c r="DC302" s="673"/>
      <c r="DD302" s="638"/>
      <c r="DE302" s="638"/>
      <c r="DF302" s="638"/>
      <c r="DG302" s="638"/>
      <c r="DH302" s="638"/>
      <c r="DI302" s="638"/>
      <c r="DJ302" s="638"/>
      <c r="DK302" s="619"/>
      <c r="DL302" s="494">
        <f t="shared" si="361"/>
        <v>0</v>
      </c>
      <c r="DM302" s="122">
        <f t="shared" si="362"/>
        <v>0</v>
      </c>
      <c r="DN302" s="122">
        <f t="shared" si="363"/>
        <v>0</v>
      </c>
      <c r="DO302" s="124">
        <f t="shared" si="364"/>
        <v>0</v>
      </c>
    </row>
    <row r="303" spans="2:123" ht="32.1" hidden="1" customHeight="1" outlineLevel="1" thickBot="1" x14ac:dyDescent="0.3">
      <c r="B303" s="813"/>
      <c r="C303" s="814"/>
      <c r="D303" s="804"/>
      <c r="E303" s="776"/>
      <c r="F303" s="246" t="s">
        <v>9</v>
      </c>
      <c r="G303" s="248" t="s">
        <v>134</v>
      </c>
      <c r="H303" s="359"/>
      <c r="I303" s="929" t="s">
        <v>56</v>
      </c>
      <c r="J303" s="249"/>
      <c r="K303" s="249"/>
      <c r="L303" s="249"/>
      <c r="M303" s="249"/>
      <c r="N303" s="249"/>
      <c r="O303" s="249"/>
      <c r="P303" s="249"/>
      <c r="Q303" s="249"/>
      <c r="R303" s="249"/>
      <c r="S303" s="249"/>
      <c r="T303" s="249"/>
      <c r="U303" s="250"/>
      <c r="V303" s="250"/>
      <c r="W303" s="250"/>
      <c r="X303" s="250"/>
      <c r="Y303" s="250"/>
      <c r="Z303" s="250"/>
      <c r="AA303" s="250"/>
      <c r="AB303" s="250"/>
      <c r="AC303" s="250"/>
      <c r="AD303" s="250"/>
      <c r="AE303" s="250"/>
      <c r="AF303" s="250"/>
      <c r="AG303" s="250"/>
      <c r="AH303" s="250"/>
      <c r="AI303" s="250"/>
      <c r="AJ303" s="250"/>
      <c r="AK303" s="250"/>
      <c r="AL303" s="250"/>
      <c r="AM303" s="250"/>
      <c r="AN303" s="250"/>
      <c r="AO303" s="250"/>
      <c r="AP303" s="251"/>
      <c r="AQ303" s="251"/>
      <c r="AR303" s="251"/>
      <c r="AS303" s="251"/>
      <c r="AT303" s="251"/>
      <c r="AU303" s="252"/>
      <c r="AV303" s="252"/>
      <c r="AW303" s="252"/>
      <c r="AX303" s="252"/>
      <c r="AY303" s="252"/>
      <c r="AZ303" s="252"/>
      <c r="BA303" s="253"/>
      <c r="BB303" s="253"/>
      <c r="BC303" s="253"/>
      <c r="BD303" s="253"/>
      <c r="BE303" s="249"/>
      <c r="BF303" s="249"/>
      <c r="BG303" s="249"/>
      <c r="BH303" s="249"/>
      <c r="BI303" s="249"/>
      <c r="BJ303" s="254"/>
      <c r="BK303" s="250"/>
      <c r="BL303" s="250"/>
      <c r="BM303" s="250"/>
      <c r="BN303" s="250"/>
      <c r="BO303" s="250"/>
      <c r="BP303" s="250"/>
      <c r="BQ303" s="250"/>
      <c r="BR303" s="250"/>
      <c r="BS303" s="250"/>
      <c r="BT303" s="250"/>
      <c r="BU303" s="250"/>
      <c r="BV303" s="250"/>
      <c r="BW303" s="251"/>
      <c r="BX303" s="251"/>
      <c r="BY303" s="251"/>
      <c r="BZ303" s="251"/>
      <c r="CA303" s="251"/>
      <c r="CB303" s="251"/>
      <c r="CC303" s="251"/>
      <c r="CD303" s="251"/>
      <c r="CE303" s="251"/>
      <c r="CF303" s="360"/>
      <c r="CG303" s="251"/>
      <c r="CH303" s="255"/>
      <c r="CI303" s="251"/>
      <c r="CJ303" s="251"/>
      <c r="CK303" s="251"/>
      <c r="CL303" s="251"/>
      <c r="CM303" s="251"/>
      <c r="CN303" s="251"/>
      <c r="CO303" s="252"/>
      <c r="CP303" s="252"/>
      <c r="CQ303" s="252"/>
      <c r="CR303" s="529"/>
      <c r="CS303" s="529"/>
      <c r="CT303" s="529"/>
      <c r="CU303" s="529"/>
      <c r="CV303" s="529"/>
      <c r="CW303" s="529"/>
      <c r="CX303" s="529"/>
      <c r="CY303" s="530"/>
      <c r="CZ303" s="252"/>
      <c r="DA303" s="605"/>
      <c r="DB303" s="605"/>
      <c r="DC303" s="674"/>
      <c r="DD303" s="637"/>
      <c r="DE303" s="637"/>
      <c r="DF303" s="637"/>
      <c r="DG303" s="637"/>
      <c r="DH303" s="637"/>
      <c r="DI303" s="637"/>
      <c r="DJ303" s="637"/>
      <c r="DK303" s="617"/>
      <c r="DL303" s="495">
        <f t="shared" si="361"/>
        <v>0</v>
      </c>
      <c r="DM303" s="84">
        <f t="shared" si="362"/>
        <v>0</v>
      </c>
      <c r="DN303" s="84">
        <f t="shared" si="363"/>
        <v>0</v>
      </c>
      <c r="DO303" s="125">
        <f t="shared" si="364"/>
        <v>0</v>
      </c>
    </row>
    <row r="304" spans="2:123" ht="32.1" hidden="1" customHeight="1" outlineLevel="1" thickBot="1" x14ac:dyDescent="0.3">
      <c r="B304" s="813"/>
      <c r="C304" s="814"/>
      <c r="D304" s="804"/>
      <c r="E304" s="776"/>
      <c r="F304" s="258" t="s">
        <v>9</v>
      </c>
      <c r="G304" s="415" t="s">
        <v>134</v>
      </c>
      <c r="H304" s="363"/>
      <c r="I304" s="960" t="s">
        <v>67</v>
      </c>
      <c r="J304" s="417"/>
      <c r="K304" s="417"/>
      <c r="L304" s="417"/>
      <c r="M304" s="417"/>
      <c r="N304" s="417"/>
      <c r="O304" s="417"/>
      <c r="P304" s="417"/>
      <c r="Q304" s="417"/>
      <c r="R304" s="417"/>
      <c r="S304" s="417"/>
      <c r="T304" s="417"/>
      <c r="U304" s="418"/>
      <c r="V304" s="418"/>
      <c r="W304" s="418"/>
      <c r="X304" s="418"/>
      <c r="Y304" s="418"/>
      <c r="Z304" s="418"/>
      <c r="AA304" s="418"/>
      <c r="AB304" s="418"/>
      <c r="AC304" s="418"/>
      <c r="AD304" s="418"/>
      <c r="AE304" s="418"/>
      <c r="AF304" s="418"/>
      <c r="AG304" s="418"/>
      <c r="AH304" s="418"/>
      <c r="AI304" s="418"/>
      <c r="AJ304" s="418"/>
      <c r="AK304" s="418"/>
      <c r="AL304" s="418"/>
      <c r="AM304" s="418"/>
      <c r="AN304" s="418"/>
      <c r="AO304" s="418"/>
      <c r="AP304" s="419"/>
      <c r="AQ304" s="419"/>
      <c r="AR304" s="419"/>
      <c r="AS304" s="419"/>
      <c r="AT304" s="419"/>
      <c r="AU304" s="420"/>
      <c r="AV304" s="420"/>
      <c r="AW304" s="420"/>
      <c r="AX304" s="420"/>
      <c r="AY304" s="420"/>
      <c r="AZ304" s="420"/>
      <c r="BA304" s="421"/>
      <c r="BB304" s="421"/>
      <c r="BC304" s="421"/>
      <c r="BD304" s="421"/>
      <c r="BE304" s="417"/>
      <c r="BF304" s="417"/>
      <c r="BG304" s="417"/>
      <c r="BH304" s="417"/>
      <c r="BI304" s="417"/>
      <c r="BJ304" s="422"/>
      <c r="BK304" s="418"/>
      <c r="BL304" s="418"/>
      <c r="BM304" s="418"/>
      <c r="BN304" s="418"/>
      <c r="BO304" s="418"/>
      <c r="BP304" s="418"/>
      <c r="BQ304" s="418"/>
      <c r="BR304" s="418"/>
      <c r="BS304" s="418"/>
      <c r="BT304" s="418"/>
      <c r="BU304" s="418"/>
      <c r="BV304" s="418"/>
      <c r="BW304" s="419"/>
      <c r="BX304" s="419"/>
      <c r="BY304" s="419"/>
      <c r="BZ304" s="419"/>
      <c r="CA304" s="419"/>
      <c r="CB304" s="419"/>
      <c r="CC304" s="419"/>
      <c r="CD304" s="419"/>
      <c r="CE304" s="419"/>
      <c r="CF304" s="423"/>
      <c r="CG304" s="419"/>
      <c r="CH304" s="424"/>
      <c r="CI304" s="419"/>
      <c r="CJ304" s="419"/>
      <c r="CK304" s="419"/>
      <c r="CL304" s="419"/>
      <c r="CM304" s="419"/>
      <c r="CN304" s="419"/>
      <c r="CO304" s="420"/>
      <c r="CP304" s="420"/>
      <c r="CQ304" s="420"/>
      <c r="CR304" s="535"/>
      <c r="CS304" s="535"/>
      <c r="CT304" s="535"/>
      <c r="CU304" s="535"/>
      <c r="CV304" s="535"/>
      <c r="CW304" s="535"/>
      <c r="CX304" s="535"/>
      <c r="CY304" s="536"/>
      <c r="CZ304" s="420"/>
      <c r="DA304" s="606"/>
      <c r="DB304" s="606"/>
      <c r="DC304" s="675"/>
      <c r="DD304" s="639"/>
      <c r="DE304" s="639"/>
      <c r="DF304" s="639"/>
      <c r="DG304" s="639"/>
      <c r="DH304" s="639"/>
      <c r="DI304" s="639"/>
      <c r="DJ304" s="639"/>
      <c r="DK304" s="620"/>
      <c r="DL304" s="497">
        <f t="shared" si="361"/>
        <v>0</v>
      </c>
      <c r="DM304" s="126">
        <f t="shared" si="362"/>
        <v>0</v>
      </c>
      <c r="DN304" s="126">
        <f t="shared" si="363"/>
        <v>0</v>
      </c>
      <c r="DO304" s="127">
        <f t="shared" si="364"/>
        <v>0</v>
      </c>
    </row>
    <row r="305" spans="2:123" ht="32.1" hidden="1" customHeight="1" outlineLevel="1" thickBot="1" x14ac:dyDescent="0.3">
      <c r="B305" s="813"/>
      <c r="C305" s="814"/>
      <c r="D305" s="804"/>
      <c r="E305" s="776" t="s">
        <v>137</v>
      </c>
      <c r="F305" s="236" t="s">
        <v>9</v>
      </c>
      <c r="G305" s="238" t="s">
        <v>134</v>
      </c>
      <c r="H305" s="406"/>
      <c r="I305" s="976" t="s">
        <v>245</v>
      </c>
      <c r="J305" s="407"/>
      <c r="K305" s="407"/>
      <c r="L305" s="407"/>
      <c r="M305" s="407"/>
      <c r="N305" s="407"/>
      <c r="O305" s="407"/>
      <c r="P305" s="407"/>
      <c r="Q305" s="407"/>
      <c r="R305" s="407"/>
      <c r="S305" s="407"/>
      <c r="T305" s="407"/>
      <c r="U305" s="408"/>
      <c r="V305" s="408"/>
      <c r="W305" s="408"/>
      <c r="X305" s="408"/>
      <c r="Y305" s="408"/>
      <c r="Z305" s="408"/>
      <c r="AA305" s="408"/>
      <c r="AB305" s="408"/>
      <c r="AC305" s="408"/>
      <c r="AD305" s="408"/>
      <c r="AE305" s="408"/>
      <c r="AF305" s="408"/>
      <c r="AG305" s="408"/>
      <c r="AH305" s="408"/>
      <c r="AI305" s="408"/>
      <c r="AJ305" s="408"/>
      <c r="AK305" s="408"/>
      <c r="AL305" s="408"/>
      <c r="AM305" s="408"/>
      <c r="AN305" s="408"/>
      <c r="AO305" s="408"/>
      <c r="AP305" s="409"/>
      <c r="AQ305" s="409"/>
      <c r="AR305" s="409"/>
      <c r="AS305" s="409"/>
      <c r="AT305" s="409"/>
      <c r="AU305" s="410"/>
      <c r="AV305" s="410"/>
      <c r="AW305" s="410"/>
      <c r="AX305" s="410"/>
      <c r="AY305" s="410"/>
      <c r="AZ305" s="410"/>
      <c r="BA305" s="411"/>
      <c r="BB305" s="411"/>
      <c r="BC305" s="411"/>
      <c r="BD305" s="411"/>
      <c r="BE305" s="407"/>
      <c r="BF305" s="407"/>
      <c r="BG305" s="407"/>
      <c r="BH305" s="407"/>
      <c r="BI305" s="407"/>
      <c r="BJ305" s="412"/>
      <c r="BK305" s="408"/>
      <c r="BL305" s="408"/>
      <c r="BM305" s="408"/>
      <c r="BN305" s="408"/>
      <c r="BO305" s="408"/>
      <c r="BP305" s="408"/>
      <c r="BQ305" s="408"/>
      <c r="BR305" s="408"/>
      <c r="BS305" s="408"/>
      <c r="BT305" s="408"/>
      <c r="BU305" s="408"/>
      <c r="BV305" s="408"/>
      <c r="BW305" s="409"/>
      <c r="BX305" s="409"/>
      <c r="BY305" s="409"/>
      <c r="BZ305" s="409"/>
      <c r="CA305" s="409"/>
      <c r="CB305" s="409"/>
      <c r="CC305" s="409"/>
      <c r="CD305" s="409"/>
      <c r="CE305" s="409"/>
      <c r="CF305" s="413"/>
      <c r="CG305" s="409"/>
      <c r="CH305" s="414"/>
      <c r="CI305" s="409"/>
      <c r="CJ305" s="409"/>
      <c r="CK305" s="409"/>
      <c r="CL305" s="409"/>
      <c r="CM305" s="409"/>
      <c r="CN305" s="409"/>
      <c r="CO305" s="410"/>
      <c r="CP305" s="410"/>
      <c r="CQ305" s="410"/>
      <c r="CR305" s="533"/>
      <c r="CS305" s="533"/>
      <c r="CT305" s="533"/>
      <c r="CU305" s="533"/>
      <c r="CV305" s="533"/>
      <c r="CW305" s="533"/>
      <c r="CX305" s="533"/>
      <c r="CY305" s="534"/>
      <c r="CZ305" s="410"/>
      <c r="DA305" s="604"/>
      <c r="DB305" s="604"/>
      <c r="DC305" s="673"/>
      <c r="DD305" s="638"/>
      <c r="DE305" s="638"/>
      <c r="DF305" s="638"/>
      <c r="DG305" s="638"/>
      <c r="DH305" s="638"/>
      <c r="DI305" s="638"/>
      <c r="DJ305" s="638"/>
      <c r="DK305" s="619"/>
      <c r="DL305" s="494">
        <f t="shared" si="361"/>
        <v>0</v>
      </c>
      <c r="DM305" s="122">
        <f t="shared" si="362"/>
        <v>0</v>
      </c>
      <c r="DN305" s="122">
        <f t="shared" si="363"/>
        <v>0</v>
      </c>
      <c r="DO305" s="124">
        <f t="shared" si="364"/>
        <v>0</v>
      </c>
    </row>
    <row r="306" spans="2:123" ht="32.1" hidden="1" customHeight="1" outlineLevel="1" thickBot="1" x14ac:dyDescent="0.3">
      <c r="B306" s="813"/>
      <c r="C306" s="814"/>
      <c r="D306" s="804"/>
      <c r="E306" s="776"/>
      <c r="F306" s="246" t="s">
        <v>9</v>
      </c>
      <c r="G306" s="248" t="s">
        <v>134</v>
      </c>
      <c r="H306" s="359"/>
      <c r="I306" s="977" t="s">
        <v>240</v>
      </c>
      <c r="J306" s="249"/>
      <c r="K306" s="249"/>
      <c r="L306" s="249"/>
      <c r="M306" s="249"/>
      <c r="N306" s="249"/>
      <c r="O306" s="249"/>
      <c r="P306" s="249"/>
      <c r="Q306" s="249"/>
      <c r="R306" s="249"/>
      <c r="S306" s="249"/>
      <c r="T306" s="249"/>
      <c r="U306" s="250"/>
      <c r="V306" s="250"/>
      <c r="W306" s="250"/>
      <c r="X306" s="250"/>
      <c r="Y306" s="250"/>
      <c r="Z306" s="250"/>
      <c r="AA306" s="250"/>
      <c r="AB306" s="250"/>
      <c r="AC306" s="250"/>
      <c r="AD306" s="250"/>
      <c r="AE306" s="250"/>
      <c r="AF306" s="250"/>
      <c r="AG306" s="250"/>
      <c r="AH306" s="250"/>
      <c r="AI306" s="250"/>
      <c r="AJ306" s="250"/>
      <c r="AK306" s="250"/>
      <c r="AL306" s="250"/>
      <c r="AM306" s="250"/>
      <c r="AN306" s="250"/>
      <c r="AO306" s="250"/>
      <c r="AP306" s="251"/>
      <c r="AQ306" s="251"/>
      <c r="AR306" s="251"/>
      <c r="AS306" s="251"/>
      <c r="AT306" s="251"/>
      <c r="AU306" s="252"/>
      <c r="AV306" s="252"/>
      <c r="AW306" s="252"/>
      <c r="AX306" s="252"/>
      <c r="AY306" s="252"/>
      <c r="AZ306" s="252"/>
      <c r="BA306" s="253"/>
      <c r="BB306" s="253"/>
      <c r="BC306" s="253"/>
      <c r="BD306" s="253"/>
      <c r="BE306" s="249"/>
      <c r="BF306" s="249"/>
      <c r="BG306" s="249"/>
      <c r="BH306" s="249"/>
      <c r="BI306" s="249"/>
      <c r="BJ306" s="254"/>
      <c r="BK306" s="250"/>
      <c r="BL306" s="250"/>
      <c r="BM306" s="250"/>
      <c r="BN306" s="250"/>
      <c r="BO306" s="250"/>
      <c r="BP306" s="250"/>
      <c r="BQ306" s="250"/>
      <c r="BR306" s="250"/>
      <c r="BS306" s="250"/>
      <c r="BT306" s="250"/>
      <c r="BU306" s="250"/>
      <c r="BV306" s="250"/>
      <c r="BW306" s="251"/>
      <c r="BX306" s="251"/>
      <c r="BY306" s="251"/>
      <c r="BZ306" s="251"/>
      <c r="CA306" s="251"/>
      <c r="CB306" s="251"/>
      <c r="CC306" s="251"/>
      <c r="CD306" s="251"/>
      <c r="CE306" s="251"/>
      <c r="CF306" s="360"/>
      <c r="CG306" s="251"/>
      <c r="CH306" s="255"/>
      <c r="CI306" s="251"/>
      <c r="CJ306" s="251"/>
      <c r="CK306" s="251"/>
      <c r="CL306" s="251"/>
      <c r="CM306" s="251"/>
      <c r="CN306" s="251"/>
      <c r="CO306" s="252"/>
      <c r="CP306" s="252"/>
      <c r="CQ306" s="252"/>
      <c r="CR306" s="529"/>
      <c r="CS306" s="529"/>
      <c r="CT306" s="529"/>
      <c r="CU306" s="529"/>
      <c r="CV306" s="529"/>
      <c r="CW306" s="529"/>
      <c r="CX306" s="529"/>
      <c r="CY306" s="530"/>
      <c r="CZ306" s="252"/>
      <c r="DA306" s="605"/>
      <c r="DB306" s="605"/>
      <c r="DC306" s="674"/>
      <c r="DD306" s="637"/>
      <c r="DE306" s="637"/>
      <c r="DF306" s="637"/>
      <c r="DG306" s="637"/>
      <c r="DH306" s="637"/>
      <c r="DI306" s="637"/>
      <c r="DJ306" s="637"/>
      <c r="DK306" s="617"/>
      <c r="DL306" s="495">
        <f t="shared" si="361"/>
        <v>0</v>
      </c>
      <c r="DM306" s="84">
        <f t="shared" si="362"/>
        <v>0</v>
      </c>
      <c r="DN306" s="84">
        <f t="shared" si="363"/>
        <v>0</v>
      </c>
      <c r="DO306" s="125">
        <f t="shared" si="364"/>
        <v>0</v>
      </c>
    </row>
    <row r="307" spans="2:123" ht="32.1" hidden="1" customHeight="1" outlineLevel="1" thickBot="1" x14ac:dyDescent="0.3">
      <c r="B307" s="813"/>
      <c r="C307" s="814"/>
      <c r="D307" s="804"/>
      <c r="E307" s="776"/>
      <c r="F307" s="246" t="s">
        <v>9</v>
      </c>
      <c r="G307" s="248" t="s">
        <v>134</v>
      </c>
      <c r="H307" s="359"/>
      <c r="I307" s="977"/>
      <c r="J307" s="249"/>
      <c r="K307" s="249"/>
      <c r="L307" s="249"/>
      <c r="M307" s="249"/>
      <c r="N307" s="249"/>
      <c r="O307" s="249"/>
      <c r="P307" s="249"/>
      <c r="Q307" s="249"/>
      <c r="R307" s="249"/>
      <c r="S307" s="249"/>
      <c r="T307" s="249"/>
      <c r="U307" s="250"/>
      <c r="V307" s="250"/>
      <c r="W307" s="250"/>
      <c r="X307" s="250"/>
      <c r="Y307" s="250"/>
      <c r="Z307" s="250"/>
      <c r="AA307" s="250"/>
      <c r="AB307" s="250"/>
      <c r="AC307" s="250"/>
      <c r="AD307" s="250"/>
      <c r="AE307" s="250"/>
      <c r="AF307" s="250"/>
      <c r="AG307" s="250"/>
      <c r="AH307" s="250"/>
      <c r="AI307" s="250"/>
      <c r="AJ307" s="250"/>
      <c r="AK307" s="250"/>
      <c r="AL307" s="250"/>
      <c r="AM307" s="250"/>
      <c r="AN307" s="250"/>
      <c r="AO307" s="250"/>
      <c r="AP307" s="251"/>
      <c r="AQ307" s="251"/>
      <c r="AR307" s="251"/>
      <c r="AS307" s="251"/>
      <c r="AT307" s="251"/>
      <c r="AU307" s="252"/>
      <c r="AV307" s="252"/>
      <c r="AW307" s="252"/>
      <c r="AX307" s="252"/>
      <c r="AY307" s="252"/>
      <c r="AZ307" s="252"/>
      <c r="BA307" s="253"/>
      <c r="BB307" s="253"/>
      <c r="BC307" s="253"/>
      <c r="BD307" s="253"/>
      <c r="BE307" s="249"/>
      <c r="BF307" s="249"/>
      <c r="BG307" s="249"/>
      <c r="BH307" s="249"/>
      <c r="BI307" s="249"/>
      <c r="BJ307" s="254"/>
      <c r="BK307" s="250"/>
      <c r="BL307" s="250"/>
      <c r="BM307" s="250"/>
      <c r="BN307" s="250"/>
      <c r="BO307" s="250"/>
      <c r="BP307" s="250"/>
      <c r="BQ307" s="250"/>
      <c r="BR307" s="250"/>
      <c r="BS307" s="250"/>
      <c r="BT307" s="250"/>
      <c r="BU307" s="250"/>
      <c r="BV307" s="250"/>
      <c r="BW307" s="251"/>
      <c r="BX307" s="251"/>
      <c r="BY307" s="251"/>
      <c r="BZ307" s="251"/>
      <c r="CA307" s="251"/>
      <c r="CB307" s="251"/>
      <c r="CC307" s="251"/>
      <c r="CD307" s="251"/>
      <c r="CE307" s="251"/>
      <c r="CF307" s="360"/>
      <c r="CG307" s="251"/>
      <c r="CH307" s="255"/>
      <c r="CI307" s="251"/>
      <c r="CJ307" s="251"/>
      <c r="CK307" s="251"/>
      <c r="CL307" s="251"/>
      <c r="CM307" s="251"/>
      <c r="CN307" s="251"/>
      <c r="CO307" s="252"/>
      <c r="CP307" s="252"/>
      <c r="CQ307" s="252"/>
      <c r="CR307" s="529"/>
      <c r="CS307" s="529"/>
      <c r="CT307" s="529"/>
      <c r="CU307" s="529"/>
      <c r="CV307" s="529"/>
      <c r="CW307" s="529"/>
      <c r="CX307" s="529"/>
      <c r="CY307" s="530"/>
      <c r="CZ307" s="252"/>
      <c r="DA307" s="605"/>
      <c r="DB307" s="605"/>
      <c r="DC307" s="674"/>
      <c r="DD307" s="637"/>
      <c r="DE307" s="637"/>
      <c r="DF307" s="637"/>
      <c r="DG307" s="637"/>
      <c r="DH307" s="637"/>
      <c r="DI307" s="637"/>
      <c r="DJ307" s="637"/>
      <c r="DK307" s="617"/>
      <c r="DL307" s="495">
        <f t="shared" si="361"/>
        <v>0</v>
      </c>
      <c r="DM307" s="84">
        <f t="shared" si="362"/>
        <v>0</v>
      </c>
      <c r="DN307" s="84">
        <f t="shared" si="363"/>
        <v>0</v>
      </c>
      <c r="DO307" s="125">
        <f t="shared" si="364"/>
        <v>0</v>
      </c>
    </row>
    <row r="308" spans="2:123" ht="32.1" hidden="1" customHeight="1" outlineLevel="1" thickBot="1" x14ac:dyDescent="0.3">
      <c r="B308" s="813"/>
      <c r="C308" s="814"/>
      <c r="D308" s="804"/>
      <c r="E308" s="776"/>
      <c r="F308" s="258" t="s">
        <v>9</v>
      </c>
      <c r="G308" s="415" t="s">
        <v>134</v>
      </c>
      <c r="H308" s="416"/>
      <c r="I308" s="978"/>
      <c r="J308" s="417"/>
      <c r="K308" s="417"/>
      <c r="L308" s="417"/>
      <c r="M308" s="417"/>
      <c r="N308" s="417"/>
      <c r="O308" s="417"/>
      <c r="P308" s="417"/>
      <c r="Q308" s="417"/>
      <c r="R308" s="417"/>
      <c r="S308" s="417"/>
      <c r="T308" s="417"/>
      <c r="U308" s="418"/>
      <c r="V308" s="418"/>
      <c r="W308" s="418"/>
      <c r="X308" s="418"/>
      <c r="Y308" s="418"/>
      <c r="Z308" s="418"/>
      <c r="AA308" s="418"/>
      <c r="AB308" s="418"/>
      <c r="AC308" s="418"/>
      <c r="AD308" s="418"/>
      <c r="AE308" s="418"/>
      <c r="AF308" s="418"/>
      <c r="AG308" s="418"/>
      <c r="AH308" s="418"/>
      <c r="AI308" s="418"/>
      <c r="AJ308" s="418"/>
      <c r="AK308" s="418"/>
      <c r="AL308" s="418"/>
      <c r="AM308" s="418"/>
      <c r="AN308" s="418"/>
      <c r="AO308" s="418"/>
      <c r="AP308" s="419"/>
      <c r="AQ308" s="419"/>
      <c r="AR308" s="419"/>
      <c r="AS308" s="419"/>
      <c r="AT308" s="419"/>
      <c r="AU308" s="420"/>
      <c r="AV308" s="420"/>
      <c r="AW308" s="420"/>
      <c r="AX308" s="420"/>
      <c r="AY308" s="420"/>
      <c r="AZ308" s="420"/>
      <c r="BA308" s="421"/>
      <c r="BB308" s="421"/>
      <c r="BC308" s="421"/>
      <c r="BD308" s="421"/>
      <c r="BE308" s="417"/>
      <c r="BF308" s="417"/>
      <c r="BG308" s="417"/>
      <c r="BH308" s="417"/>
      <c r="BI308" s="417"/>
      <c r="BJ308" s="422"/>
      <c r="BK308" s="418"/>
      <c r="BL308" s="418"/>
      <c r="BM308" s="418"/>
      <c r="BN308" s="418"/>
      <c r="BO308" s="418"/>
      <c r="BP308" s="418"/>
      <c r="BQ308" s="418"/>
      <c r="BR308" s="418"/>
      <c r="BS308" s="418"/>
      <c r="BT308" s="418"/>
      <c r="BU308" s="418"/>
      <c r="BV308" s="418"/>
      <c r="BW308" s="419"/>
      <c r="BX308" s="419"/>
      <c r="BY308" s="419"/>
      <c r="BZ308" s="419"/>
      <c r="CA308" s="419"/>
      <c r="CB308" s="419"/>
      <c r="CC308" s="419"/>
      <c r="CD308" s="419"/>
      <c r="CE308" s="419"/>
      <c r="CF308" s="423"/>
      <c r="CG308" s="419"/>
      <c r="CH308" s="424"/>
      <c r="CI308" s="419"/>
      <c r="CJ308" s="419"/>
      <c r="CK308" s="419"/>
      <c r="CL308" s="419"/>
      <c r="CM308" s="419"/>
      <c r="CN308" s="419"/>
      <c r="CO308" s="420"/>
      <c r="CP308" s="420"/>
      <c r="CQ308" s="420"/>
      <c r="CR308" s="535"/>
      <c r="CS308" s="535"/>
      <c r="CT308" s="535"/>
      <c r="CU308" s="535"/>
      <c r="CV308" s="535"/>
      <c r="CW308" s="535"/>
      <c r="CX308" s="535"/>
      <c r="CY308" s="536"/>
      <c r="CZ308" s="420"/>
      <c r="DA308" s="606"/>
      <c r="DB308" s="606"/>
      <c r="DC308" s="675"/>
      <c r="DD308" s="639"/>
      <c r="DE308" s="639"/>
      <c r="DF308" s="639"/>
      <c r="DG308" s="639"/>
      <c r="DH308" s="639"/>
      <c r="DI308" s="639"/>
      <c r="DJ308" s="639"/>
      <c r="DK308" s="620"/>
      <c r="DL308" s="497">
        <f t="shared" si="361"/>
        <v>0</v>
      </c>
      <c r="DM308" s="126">
        <f t="shared" si="362"/>
        <v>0</v>
      </c>
      <c r="DN308" s="126">
        <f t="shared" si="363"/>
        <v>0</v>
      </c>
      <c r="DO308" s="127">
        <f t="shared" si="364"/>
        <v>0</v>
      </c>
    </row>
    <row r="309" spans="2:123" ht="32.1" hidden="1" customHeight="1" outlineLevel="1" thickBot="1" x14ac:dyDescent="0.3">
      <c r="B309" s="813"/>
      <c r="C309" s="814"/>
      <c r="D309" s="804"/>
      <c r="E309" s="775" t="s">
        <v>138</v>
      </c>
      <c r="F309" s="403" t="s">
        <v>9</v>
      </c>
      <c r="G309" s="404" t="s">
        <v>134</v>
      </c>
      <c r="H309" s="359"/>
      <c r="I309" s="979" t="s">
        <v>86</v>
      </c>
      <c r="J309" s="239"/>
      <c r="K309" s="239"/>
      <c r="L309" s="239"/>
      <c r="M309" s="239"/>
      <c r="N309" s="239"/>
      <c r="O309" s="239"/>
      <c r="P309" s="239"/>
      <c r="Q309" s="239"/>
      <c r="R309" s="239"/>
      <c r="S309" s="239"/>
      <c r="T309" s="239"/>
      <c r="U309" s="240"/>
      <c r="V309" s="240"/>
      <c r="W309" s="240"/>
      <c r="X309" s="240"/>
      <c r="Y309" s="240"/>
      <c r="Z309" s="240"/>
      <c r="AA309" s="240"/>
      <c r="AB309" s="240"/>
      <c r="AC309" s="240"/>
      <c r="AD309" s="240"/>
      <c r="AE309" s="240"/>
      <c r="AF309" s="240"/>
      <c r="AG309" s="240"/>
      <c r="AH309" s="240"/>
      <c r="AI309" s="240"/>
      <c r="AJ309" s="240"/>
      <c r="AK309" s="240"/>
      <c r="AL309" s="240"/>
      <c r="AM309" s="240"/>
      <c r="AN309" s="240"/>
      <c r="AO309" s="240"/>
      <c r="AP309" s="241"/>
      <c r="AQ309" s="241"/>
      <c r="AR309" s="241"/>
      <c r="AS309" s="241"/>
      <c r="AT309" s="241"/>
      <c r="AU309" s="242"/>
      <c r="AV309" s="242"/>
      <c r="AW309" s="242"/>
      <c r="AX309" s="242"/>
      <c r="AY309" s="242"/>
      <c r="AZ309" s="242"/>
      <c r="BA309" s="243"/>
      <c r="BB309" s="243"/>
      <c r="BC309" s="243"/>
      <c r="BD309" s="243"/>
      <c r="BE309" s="239"/>
      <c r="BF309" s="239"/>
      <c r="BG309" s="239"/>
      <c r="BH309" s="239"/>
      <c r="BI309" s="239"/>
      <c r="BJ309" s="244"/>
      <c r="BK309" s="240"/>
      <c r="BL309" s="240"/>
      <c r="BM309" s="240"/>
      <c r="BN309" s="240"/>
      <c r="BO309" s="240"/>
      <c r="BP309" s="240"/>
      <c r="BQ309" s="240"/>
      <c r="BR309" s="240"/>
      <c r="BS309" s="240"/>
      <c r="BT309" s="240"/>
      <c r="BU309" s="240"/>
      <c r="BV309" s="240"/>
      <c r="BW309" s="241"/>
      <c r="BX309" s="241"/>
      <c r="BY309" s="241"/>
      <c r="BZ309" s="241"/>
      <c r="CA309" s="241"/>
      <c r="CB309" s="241"/>
      <c r="CC309" s="241"/>
      <c r="CD309" s="241"/>
      <c r="CE309" s="241"/>
      <c r="CF309" s="405"/>
      <c r="CG309" s="241"/>
      <c r="CH309" s="245"/>
      <c r="CI309" s="241"/>
      <c r="CJ309" s="241"/>
      <c r="CK309" s="241"/>
      <c r="CL309" s="241"/>
      <c r="CM309" s="241"/>
      <c r="CN309" s="241"/>
      <c r="CO309" s="242"/>
      <c r="CP309" s="242"/>
      <c r="CQ309" s="242"/>
      <c r="CR309" s="527"/>
      <c r="CS309" s="527"/>
      <c r="CT309" s="527"/>
      <c r="CU309" s="527"/>
      <c r="CV309" s="527"/>
      <c r="CW309" s="527"/>
      <c r="CX309" s="527"/>
      <c r="CY309" s="528"/>
      <c r="CZ309" s="242"/>
      <c r="DA309" s="607"/>
      <c r="DB309" s="607"/>
      <c r="DC309" s="676"/>
      <c r="DD309" s="640"/>
      <c r="DE309" s="640"/>
      <c r="DF309" s="640"/>
      <c r="DG309" s="640"/>
      <c r="DH309" s="640"/>
      <c r="DI309" s="640"/>
      <c r="DJ309" s="640"/>
      <c r="DK309" s="616"/>
      <c r="DL309" s="498">
        <f t="shared" si="361"/>
        <v>0</v>
      </c>
      <c r="DM309" s="121">
        <f t="shared" si="362"/>
        <v>0</v>
      </c>
      <c r="DN309" s="121">
        <f t="shared" si="363"/>
        <v>0</v>
      </c>
      <c r="DO309" s="357">
        <f t="shared" si="364"/>
        <v>0</v>
      </c>
    </row>
    <row r="310" spans="2:123" ht="32.1" hidden="1" customHeight="1" outlineLevel="1" thickBot="1" x14ac:dyDescent="0.3">
      <c r="B310" s="813"/>
      <c r="C310" s="814"/>
      <c r="D310" s="804"/>
      <c r="E310" s="776"/>
      <c r="F310" s="246" t="s">
        <v>9</v>
      </c>
      <c r="G310" s="248" t="s">
        <v>134</v>
      </c>
      <c r="H310" s="359"/>
      <c r="I310" s="977" t="s">
        <v>94</v>
      </c>
      <c r="J310" s="249"/>
      <c r="K310" s="249"/>
      <c r="L310" s="249"/>
      <c r="M310" s="249"/>
      <c r="N310" s="249"/>
      <c r="O310" s="249"/>
      <c r="P310" s="249"/>
      <c r="Q310" s="249"/>
      <c r="R310" s="249"/>
      <c r="S310" s="249"/>
      <c r="T310" s="249"/>
      <c r="U310" s="250"/>
      <c r="V310" s="250"/>
      <c r="W310" s="250"/>
      <c r="X310" s="250"/>
      <c r="Y310" s="250"/>
      <c r="Z310" s="250"/>
      <c r="AA310" s="250"/>
      <c r="AB310" s="250"/>
      <c r="AC310" s="250"/>
      <c r="AD310" s="250"/>
      <c r="AE310" s="250"/>
      <c r="AF310" s="250"/>
      <c r="AG310" s="250"/>
      <c r="AH310" s="250"/>
      <c r="AI310" s="250"/>
      <c r="AJ310" s="250"/>
      <c r="AK310" s="250"/>
      <c r="AL310" s="250"/>
      <c r="AM310" s="250"/>
      <c r="AN310" s="250"/>
      <c r="AO310" s="250"/>
      <c r="AP310" s="251"/>
      <c r="AQ310" s="251"/>
      <c r="AR310" s="251"/>
      <c r="AS310" s="251"/>
      <c r="AT310" s="251"/>
      <c r="AU310" s="252"/>
      <c r="AV310" s="252"/>
      <c r="AW310" s="252"/>
      <c r="AX310" s="252"/>
      <c r="AY310" s="252"/>
      <c r="AZ310" s="252"/>
      <c r="BA310" s="253"/>
      <c r="BB310" s="253"/>
      <c r="BC310" s="253"/>
      <c r="BD310" s="253"/>
      <c r="BE310" s="249"/>
      <c r="BF310" s="249"/>
      <c r="BG310" s="249"/>
      <c r="BH310" s="249"/>
      <c r="BI310" s="249"/>
      <c r="BJ310" s="254"/>
      <c r="BK310" s="250"/>
      <c r="BL310" s="250"/>
      <c r="BM310" s="250"/>
      <c r="BN310" s="250"/>
      <c r="BO310" s="250"/>
      <c r="BP310" s="250"/>
      <c r="BQ310" s="250"/>
      <c r="BR310" s="250"/>
      <c r="BS310" s="250"/>
      <c r="BT310" s="250"/>
      <c r="BU310" s="250"/>
      <c r="BV310" s="250"/>
      <c r="BW310" s="251"/>
      <c r="BX310" s="251"/>
      <c r="BY310" s="251"/>
      <c r="BZ310" s="251"/>
      <c r="CA310" s="251"/>
      <c r="CB310" s="251"/>
      <c r="CC310" s="251"/>
      <c r="CD310" s="251"/>
      <c r="CE310" s="251"/>
      <c r="CF310" s="360"/>
      <c r="CG310" s="251"/>
      <c r="CH310" s="255"/>
      <c r="CI310" s="251"/>
      <c r="CJ310" s="251"/>
      <c r="CK310" s="251"/>
      <c r="CL310" s="251"/>
      <c r="CM310" s="251"/>
      <c r="CN310" s="251"/>
      <c r="CO310" s="252"/>
      <c r="CP310" s="252"/>
      <c r="CQ310" s="252"/>
      <c r="CR310" s="529"/>
      <c r="CS310" s="529"/>
      <c r="CT310" s="529"/>
      <c r="CU310" s="529"/>
      <c r="CV310" s="529"/>
      <c r="CW310" s="529"/>
      <c r="CX310" s="529"/>
      <c r="CY310" s="530"/>
      <c r="CZ310" s="252"/>
      <c r="DA310" s="605"/>
      <c r="DB310" s="605"/>
      <c r="DC310" s="674"/>
      <c r="DD310" s="637"/>
      <c r="DE310" s="637"/>
      <c r="DF310" s="637"/>
      <c r="DG310" s="637"/>
      <c r="DH310" s="637"/>
      <c r="DI310" s="637"/>
      <c r="DJ310" s="637"/>
      <c r="DK310" s="617"/>
      <c r="DL310" s="495">
        <f t="shared" si="361"/>
        <v>0</v>
      </c>
      <c r="DM310" s="84">
        <f t="shared" si="362"/>
        <v>0</v>
      </c>
      <c r="DN310" s="84">
        <f t="shared" si="363"/>
        <v>0</v>
      </c>
      <c r="DO310" s="125">
        <f t="shared" si="364"/>
        <v>0</v>
      </c>
    </row>
    <row r="311" spans="2:123" ht="32.1" hidden="1" customHeight="1" outlineLevel="1" thickBot="1" x14ac:dyDescent="0.3">
      <c r="B311" s="813"/>
      <c r="C311" s="814"/>
      <c r="D311" s="804"/>
      <c r="E311" s="776"/>
      <c r="F311" s="246" t="s">
        <v>9</v>
      </c>
      <c r="G311" s="248" t="s">
        <v>134</v>
      </c>
      <c r="H311" s="359"/>
      <c r="I311" s="977"/>
      <c r="J311" s="249"/>
      <c r="K311" s="249"/>
      <c r="L311" s="249"/>
      <c r="M311" s="249"/>
      <c r="N311" s="249"/>
      <c r="O311" s="249"/>
      <c r="P311" s="249"/>
      <c r="Q311" s="249"/>
      <c r="R311" s="249"/>
      <c r="S311" s="249"/>
      <c r="T311" s="249"/>
      <c r="U311" s="250"/>
      <c r="V311" s="250"/>
      <c r="W311" s="250"/>
      <c r="X311" s="250"/>
      <c r="Y311" s="250"/>
      <c r="Z311" s="250"/>
      <c r="AA311" s="250"/>
      <c r="AB311" s="250"/>
      <c r="AC311" s="250"/>
      <c r="AD311" s="250"/>
      <c r="AE311" s="250"/>
      <c r="AF311" s="250"/>
      <c r="AG311" s="250"/>
      <c r="AH311" s="250"/>
      <c r="AI311" s="250"/>
      <c r="AJ311" s="250"/>
      <c r="AK311" s="250"/>
      <c r="AL311" s="250"/>
      <c r="AM311" s="250"/>
      <c r="AN311" s="250"/>
      <c r="AO311" s="250"/>
      <c r="AP311" s="251"/>
      <c r="AQ311" s="251"/>
      <c r="AR311" s="251"/>
      <c r="AS311" s="251"/>
      <c r="AT311" s="251"/>
      <c r="AU311" s="252"/>
      <c r="AV311" s="252"/>
      <c r="AW311" s="252"/>
      <c r="AX311" s="252"/>
      <c r="AY311" s="252"/>
      <c r="AZ311" s="252"/>
      <c r="BA311" s="253"/>
      <c r="BB311" s="253"/>
      <c r="BC311" s="253"/>
      <c r="BD311" s="253"/>
      <c r="BE311" s="249"/>
      <c r="BF311" s="249"/>
      <c r="BG311" s="249"/>
      <c r="BH311" s="249"/>
      <c r="BI311" s="249"/>
      <c r="BJ311" s="254"/>
      <c r="BK311" s="250"/>
      <c r="BL311" s="250"/>
      <c r="BM311" s="250"/>
      <c r="BN311" s="250"/>
      <c r="BO311" s="250"/>
      <c r="BP311" s="250"/>
      <c r="BQ311" s="250"/>
      <c r="BR311" s="250"/>
      <c r="BS311" s="250"/>
      <c r="BT311" s="250"/>
      <c r="BU311" s="250"/>
      <c r="BV311" s="250"/>
      <c r="BW311" s="251"/>
      <c r="BX311" s="251"/>
      <c r="BY311" s="251"/>
      <c r="BZ311" s="251"/>
      <c r="CA311" s="251"/>
      <c r="CB311" s="251"/>
      <c r="CC311" s="251"/>
      <c r="CD311" s="251"/>
      <c r="CE311" s="251"/>
      <c r="CF311" s="360"/>
      <c r="CG311" s="251"/>
      <c r="CH311" s="255"/>
      <c r="CI311" s="251"/>
      <c r="CJ311" s="251"/>
      <c r="CK311" s="251"/>
      <c r="CL311" s="251"/>
      <c r="CM311" s="251"/>
      <c r="CN311" s="251"/>
      <c r="CO311" s="252"/>
      <c r="CP311" s="252"/>
      <c r="CQ311" s="252"/>
      <c r="CR311" s="529"/>
      <c r="CS311" s="529"/>
      <c r="CT311" s="529"/>
      <c r="CU311" s="529"/>
      <c r="CV311" s="529"/>
      <c r="CW311" s="529"/>
      <c r="CX311" s="529"/>
      <c r="CY311" s="530"/>
      <c r="CZ311" s="252"/>
      <c r="DA311" s="605"/>
      <c r="DB311" s="605"/>
      <c r="DC311" s="674"/>
      <c r="DD311" s="637"/>
      <c r="DE311" s="637"/>
      <c r="DF311" s="637"/>
      <c r="DG311" s="637"/>
      <c r="DH311" s="637"/>
      <c r="DI311" s="637"/>
      <c r="DJ311" s="637"/>
      <c r="DK311" s="617"/>
      <c r="DL311" s="495">
        <f t="shared" si="361"/>
        <v>0</v>
      </c>
      <c r="DM311" s="84">
        <f t="shared" si="362"/>
        <v>0</v>
      </c>
      <c r="DN311" s="84">
        <f t="shared" si="363"/>
        <v>0</v>
      </c>
      <c r="DO311" s="125">
        <f t="shared" si="364"/>
        <v>0</v>
      </c>
    </row>
    <row r="312" spans="2:123" ht="32.1" hidden="1" customHeight="1" outlineLevel="1" thickBot="1" x14ac:dyDescent="0.3">
      <c r="B312" s="813"/>
      <c r="C312" s="814"/>
      <c r="D312" s="794"/>
      <c r="E312" s="776"/>
      <c r="F312" s="246" t="s">
        <v>9</v>
      </c>
      <c r="G312" s="248" t="s">
        <v>134</v>
      </c>
      <c r="H312" s="359"/>
      <c r="I312" s="977"/>
      <c r="J312" s="249"/>
      <c r="K312" s="249"/>
      <c r="L312" s="249"/>
      <c r="M312" s="249"/>
      <c r="N312" s="249"/>
      <c r="O312" s="249"/>
      <c r="P312" s="249"/>
      <c r="Q312" s="249"/>
      <c r="R312" s="249"/>
      <c r="S312" s="249"/>
      <c r="T312" s="249"/>
      <c r="U312" s="250"/>
      <c r="V312" s="250"/>
      <c r="W312" s="250"/>
      <c r="X312" s="250"/>
      <c r="Y312" s="250"/>
      <c r="Z312" s="250"/>
      <c r="AA312" s="250"/>
      <c r="AB312" s="250"/>
      <c r="AC312" s="250"/>
      <c r="AD312" s="250"/>
      <c r="AE312" s="250"/>
      <c r="AF312" s="250"/>
      <c r="AG312" s="250"/>
      <c r="AH312" s="250"/>
      <c r="AI312" s="250"/>
      <c r="AJ312" s="250"/>
      <c r="AK312" s="250"/>
      <c r="AL312" s="250"/>
      <c r="AM312" s="250"/>
      <c r="AN312" s="250"/>
      <c r="AO312" s="250"/>
      <c r="AP312" s="251"/>
      <c r="AQ312" s="251"/>
      <c r="AR312" s="251"/>
      <c r="AS312" s="251"/>
      <c r="AT312" s="251"/>
      <c r="AU312" s="252"/>
      <c r="AV312" s="252"/>
      <c r="AW312" s="252"/>
      <c r="AX312" s="252"/>
      <c r="AY312" s="252"/>
      <c r="AZ312" s="252"/>
      <c r="BA312" s="253"/>
      <c r="BB312" s="253"/>
      <c r="BC312" s="253"/>
      <c r="BD312" s="253"/>
      <c r="BE312" s="249"/>
      <c r="BF312" s="249"/>
      <c r="BG312" s="249"/>
      <c r="BH312" s="249"/>
      <c r="BI312" s="249"/>
      <c r="BJ312" s="254"/>
      <c r="BK312" s="250"/>
      <c r="BL312" s="250"/>
      <c r="BM312" s="250"/>
      <c r="BN312" s="250"/>
      <c r="BO312" s="250"/>
      <c r="BP312" s="250"/>
      <c r="BQ312" s="250"/>
      <c r="BR312" s="250"/>
      <c r="BS312" s="250"/>
      <c r="BT312" s="250"/>
      <c r="BU312" s="250"/>
      <c r="BV312" s="250"/>
      <c r="BW312" s="251"/>
      <c r="BX312" s="251"/>
      <c r="BY312" s="251"/>
      <c r="BZ312" s="251"/>
      <c r="CA312" s="251"/>
      <c r="CB312" s="251"/>
      <c r="CC312" s="251"/>
      <c r="CD312" s="251"/>
      <c r="CE312" s="251"/>
      <c r="CF312" s="360"/>
      <c r="CG312" s="251"/>
      <c r="CH312" s="255"/>
      <c r="CI312" s="251"/>
      <c r="CJ312" s="251"/>
      <c r="CK312" s="251"/>
      <c r="CL312" s="251"/>
      <c r="CM312" s="251"/>
      <c r="CN312" s="251"/>
      <c r="CO312" s="252"/>
      <c r="CP312" s="252"/>
      <c r="CQ312" s="252"/>
      <c r="CR312" s="529"/>
      <c r="CS312" s="529"/>
      <c r="CT312" s="529"/>
      <c r="CU312" s="529"/>
      <c r="CV312" s="529"/>
      <c r="CW312" s="529"/>
      <c r="CX312" s="529"/>
      <c r="CY312" s="530"/>
      <c r="CZ312" s="252"/>
      <c r="DA312" s="605"/>
      <c r="DB312" s="605"/>
      <c r="DC312" s="674"/>
      <c r="DD312" s="637"/>
      <c r="DE312" s="637"/>
      <c r="DF312" s="637"/>
      <c r="DG312" s="637"/>
      <c r="DH312" s="637"/>
      <c r="DI312" s="637"/>
      <c r="DJ312" s="637"/>
      <c r="DK312" s="617"/>
      <c r="DL312" s="495">
        <f t="shared" si="361"/>
        <v>0</v>
      </c>
      <c r="DM312" s="84">
        <f t="shared" si="362"/>
        <v>0</v>
      </c>
      <c r="DN312" s="84">
        <f t="shared" si="363"/>
        <v>0</v>
      </c>
      <c r="DO312" s="125">
        <f t="shared" si="364"/>
        <v>0</v>
      </c>
    </row>
    <row r="313" spans="2:123" s="834" customFormat="1" ht="16.5" hidden="1" customHeight="1" outlineLevel="1" thickBot="1" x14ac:dyDescent="0.35">
      <c r="B313" s="813"/>
      <c r="C313" s="814"/>
      <c r="D313" s="819"/>
      <c r="E313" s="820" t="s">
        <v>254</v>
      </c>
      <c r="F313" s="821"/>
      <c r="G313" s="822"/>
      <c r="H313" s="823"/>
      <c r="I313" s="903"/>
      <c r="J313" s="824">
        <f>SUM(J299:J312)</f>
        <v>0</v>
      </c>
      <c r="K313" s="824">
        <f t="shared" ref="K313:CL313" si="365">SUM(K299:K312)</f>
        <v>0</v>
      </c>
      <c r="L313" s="824">
        <f t="shared" si="365"/>
        <v>0</v>
      </c>
      <c r="M313" s="824">
        <f t="shared" si="365"/>
        <v>0</v>
      </c>
      <c r="N313" s="824">
        <f t="shared" si="365"/>
        <v>0</v>
      </c>
      <c r="O313" s="824">
        <f t="shared" si="365"/>
        <v>0</v>
      </c>
      <c r="P313" s="824">
        <f t="shared" si="365"/>
        <v>0</v>
      </c>
      <c r="Q313" s="824">
        <f t="shared" si="365"/>
        <v>0</v>
      </c>
      <c r="R313" s="824">
        <f t="shared" si="365"/>
        <v>0</v>
      </c>
      <c r="S313" s="824">
        <f t="shared" si="365"/>
        <v>0</v>
      </c>
      <c r="T313" s="824">
        <f t="shared" si="365"/>
        <v>0</v>
      </c>
      <c r="U313" s="825">
        <f t="shared" si="365"/>
        <v>0</v>
      </c>
      <c r="V313" s="825">
        <f t="shared" si="365"/>
        <v>0</v>
      </c>
      <c r="W313" s="825">
        <f t="shared" si="365"/>
        <v>0</v>
      </c>
      <c r="X313" s="825">
        <f t="shared" si="365"/>
        <v>0</v>
      </c>
      <c r="Y313" s="825">
        <f t="shared" si="365"/>
        <v>0</v>
      </c>
      <c r="Z313" s="825">
        <f t="shared" si="365"/>
        <v>0</v>
      </c>
      <c r="AA313" s="825">
        <f t="shared" si="365"/>
        <v>0</v>
      </c>
      <c r="AB313" s="825">
        <f t="shared" ref="AB313:AD313" si="366">SUM(AB299:AB312)</f>
        <v>0</v>
      </c>
      <c r="AC313" s="825">
        <f t="shared" si="366"/>
        <v>0</v>
      </c>
      <c r="AD313" s="825">
        <f t="shared" si="366"/>
        <v>0</v>
      </c>
      <c r="AE313" s="825">
        <f t="shared" si="365"/>
        <v>0</v>
      </c>
      <c r="AF313" s="825">
        <f t="shared" si="365"/>
        <v>0</v>
      </c>
      <c r="AG313" s="825">
        <f t="shared" si="365"/>
        <v>0</v>
      </c>
      <c r="AH313" s="825">
        <f t="shared" si="365"/>
        <v>0</v>
      </c>
      <c r="AI313" s="825">
        <f t="shared" ref="AI313:AO313" si="367">SUM(AI299:AI312)</f>
        <v>0</v>
      </c>
      <c r="AJ313" s="825">
        <f t="shared" si="367"/>
        <v>0</v>
      </c>
      <c r="AK313" s="825">
        <f t="shared" si="367"/>
        <v>0</v>
      </c>
      <c r="AL313" s="825">
        <f t="shared" si="367"/>
        <v>0</v>
      </c>
      <c r="AM313" s="825">
        <f t="shared" si="367"/>
        <v>0</v>
      </c>
      <c r="AN313" s="825">
        <f t="shared" si="367"/>
        <v>0</v>
      </c>
      <c r="AO313" s="825">
        <f t="shared" si="367"/>
        <v>0</v>
      </c>
      <c r="AP313" s="826">
        <f t="shared" si="365"/>
        <v>0</v>
      </c>
      <c r="AQ313" s="826">
        <f t="shared" ref="AQ313" si="368">SUM(AQ299:AQ312)</f>
        <v>0</v>
      </c>
      <c r="AR313" s="826">
        <f t="shared" si="365"/>
        <v>0</v>
      </c>
      <c r="AS313" s="826">
        <f t="shared" si="365"/>
        <v>0</v>
      </c>
      <c r="AT313" s="826">
        <f t="shared" si="365"/>
        <v>0</v>
      </c>
      <c r="AU313" s="827">
        <f t="shared" si="365"/>
        <v>0</v>
      </c>
      <c r="AV313" s="827">
        <f t="shared" si="365"/>
        <v>0</v>
      </c>
      <c r="AW313" s="827">
        <f t="shared" si="365"/>
        <v>0</v>
      </c>
      <c r="AX313" s="827">
        <f t="shared" ref="AX313:AY313" si="369">SUM(AX299:AX312)</f>
        <v>0</v>
      </c>
      <c r="AY313" s="827">
        <f t="shared" si="369"/>
        <v>0</v>
      </c>
      <c r="AZ313" s="827">
        <f t="shared" si="365"/>
        <v>0</v>
      </c>
      <c r="BA313" s="828">
        <f t="shared" si="365"/>
        <v>0</v>
      </c>
      <c r="BB313" s="828">
        <f t="shared" si="365"/>
        <v>0</v>
      </c>
      <c r="BC313" s="828">
        <f t="shared" si="365"/>
        <v>0</v>
      </c>
      <c r="BD313" s="828">
        <f t="shared" si="365"/>
        <v>0</v>
      </c>
      <c r="BE313" s="824">
        <f t="shared" si="365"/>
        <v>0</v>
      </c>
      <c r="BF313" s="824">
        <f t="shared" si="365"/>
        <v>0</v>
      </c>
      <c r="BG313" s="824">
        <f t="shared" si="365"/>
        <v>0</v>
      </c>
      <c r="BH313" s="824">
        <f t="shared" si="365"/>
        <v>0</v>
      </c>
      <c r="BI313" s="824">
        <f t="shared" si="365"/>
        <v>0</v>
      </c>
      <c r="BJ313" s="824">
        <f t="shared" si="365"/>
        <v>0</v>
      </c>
      <c r="BK313" s="825">
        <f t="shared" si="365"/>
        <v>0</v>
      </c>
      <c r="BL313" s="825">
        <f t="shared" si="365"/>
        <v>0</v>
      </c>
      <c r="BM313" s="825">
        <f t="shared" si="365"/>
        <v>0</v>
      </c>
      <c r="BN313" s="825">
        <f t="shared" si="365"/>
        <v>0</v>
      </c>
      <c r="BO313" s="825">
        <f t="shared" si="365"/>
        <v>0</v>
      </c>
      <c r="BP313" s="825">
        <f t="shared" si="365"/>
        <v>0</v>
      </c>
      <c r="BQ313" s="825">
        <f t="shared" si="365"/>
        <v>0</v>
      </c>
      <c r="BR313" s="825">
        <f t="shared" ref="BR313" si="370">SUM(BR299:BR312)</f>
        <v>0</v>
      </c>
      <c r="BS313" s="825">
        <f t="shared" ref="BS313" si="371">SUM(BS299:BS312)</f>
        <v>0</v>
      </c>
      <c r="BT313" s="825">
        <f t="shared" si="365"/>
        <v>0</v>
      </c>
      <c r="BU313" s="825">
        <f t="shared" si="365"/>
        <v>0</v>
      </c>
      <c r="BV313" s="825">
        <f t="shared" si="365"/>
        <v>0</v>
      </c>
      <c r="BW313" s="826">
        <f t="shared" si="365"/>
        <v>0</v>
      </c>
      <c r="BX313" s="826">
        <f t="shared" si="365"/>
        <v>0</v>
      </c>
      <c r="BY313" s="826">
        <f t="shared" si="365"/>
        <v>0</v>
      </c>
      <c r="BZ313" s="826">
        <f t="shared" si="365"/>
        <v>0</v>
      </c>
      <c r="CA313" s="826">
        <f t="shared" si="365"/>
        <v>0</v>
      </c>
      <c r="CB313" s="826">
        <f t="shared" ref="CB313" si="372">SUM(CB299:CB312)</f>
        <v>0</v>
      </c>
      <c r="CC313" s="826">
        <f t="shared" si="365"/>
        <v>0</v>
      </c>
      <c r="CD313" s="826">
        <f t="shared" si="365"/>
        <v>0</v>
      </c>
      <c r="CE313" s="826">
        <f t="shared" si="365"/>
        <v>0</v>
      </c>
      <c r="CF313" s="826">
        <f t="shared" si="365"/>
        <v>0</v>
      </c>
      <c r="CG313" s="826">
        <f t="shared" si="365"/>
        <v>0</v>
      </c>
      <c r="CH313" s="826">
        <f t="shared" si="365"/>
        <v>0</v>
      </c>
      <c r="CI313" s="826">
        <f t="shared" si="365"/>
        <v>0</v>
      </c>
      <c r="CJ313" s="826">
        <f t="shared" si="365"/>
        <v>0</v>
      </c>
      <c r="CK313" s="826">
        <f t="shared" si="365"/>
        <v>0</v>
      </c>
      <c r="CL313" s="826">
        <f t="shared" si="365"/>
        <v>0</v>
      </c>
      <c r="CM313" s="826">
        <f t="shared" ref="CM313:DO313" si="373">SUM(CM299:CM312)</f>
        <v>0</v>
      </c>
      <c r="CN313" s="826">
        <f t="shared" si="373"/>
        <v>0</v>
      </c>
      <c r="CO313" s="827">
        <f t="shared" si="373"/>
        <v>0</v>
      </c>
      <c r="CP313" s="827">
        <f t="shared" si="373"/>
        <v>0</v>
      </c>
      <c r="CQ313" s="827">
        <f t="shared" si="373"/>
        <v>0</v>
      </c>
      <c r="CR313" s="827">
        <f t="shared" si="373"/>
        <v>0</v>
      </c>
      <c r="CS313" s="827">
        <f t="shared" si="373"/>
        <v>0</v>
      </c>
      <c r="CT313" s="827">
        <f t="shared" si="373"/>
        <v>0</v>
      </c>
      <c r="CU313" s="827">
        <f t="shared" si="373"/>
        <v>0</v>
      </c>
      <c r="CV313" s="827">
        <f t="shared" si="373"/>
        <v>0</v>
      </c>
      <c r="CW313" s="827">
        <f t="shared" si="373"/>
        <v>0</v>
      </c>
      <c r="CX313" s="827">
        <f t="shared" si="373"/>
        <v>0</v>
      </c>
      <c r="CY313" s="827">
        <f t="shared" si="373"/>
        <v>0</v>
      </c>
      <c r="CZ313" s="827">
        <f t="shared" si="373"/>
        <v>0</v>
      </c>
      <c r="DA313" s="827">
        <f t="shared" si="373"/>
        <v>0</v>
      </c>
      <c r="DB313" s="827">
        <f t="shared" si="373"/>
        <v>0</v>
      </c>
      <c r="DC313" s="824">
        <f t="shared" si="373"/>
        <v>0</v>
      </c>
      <c r="DD313" s="824">
        <f t="shared" si="373"/>
        <v>0</v>
      </c>
      <c r="DE313" s="824">
        <f t="shared" si="373"/>
        <v>0</v>
      </c>
      <c r="DF313" s="824">
        <f t="shared" si="373"/>
        <v>0</v>
      </c>
      <c r="DG313" s="824">
        <f t="shared" si="373"/>
        <v>0</v>
      </c>
      <c r="DH313" s="824">
        <f t="shared" si="373"/>
        <v>0</v>
      </c>
      <c r="DI313" s="824">
        <f t="shared" si="373"/>
        <v>0</v>
      </c>
      <c r="DJ313" s="824">
        <f t="shared" si="373"/>
        <v>0</v>
      </c>
      <c r="DK313" s="829">
        <f t="shared" si="373"/>
        <v>0</v>
      </c>
      <c r="DL313" s="830">
        <f t="shared" si="373"/>
        <v>0</v>
      </c>
      <c r="DM313" s="831">
        <f t="shared" si="373"/>
        <v>0</v>
      </c>
      <c r="DN313" s="831">
        <f t="shared" si="373"/>
        <v>0</v>
      </c>
      <c r="DO313" s="832">
        <f t="shared" si="373"/>
        <v>0</v>
      </c>
      <c r="DP313" s="833"/>
      <c r="DQ313" s="833"/>
      <c r="DR313" s="833"/>
      <c r="DS313" s="833"/>
    </row>
    <row r="314" spans="2:123" ht="32.1" hidden="1" customHeight="1" outlineLevel="1" x14ac:dyDescent="0.25">
      <c r="B314" s="813"/>
      <c r="C314" s="814"/>
      <c r="D314" s="799" t="s">
        <v>139</v>
      </c>
      <c r="E314" s="780" t="s">
        <v>136</v>
      </c>
      <c r="F314" s="278" t="s">
        <v>9</v>
      </c>
      <c r="G314" s="280" t="s">
        <v>139</v>
      </c>
      <c r="H314" s="351"/>
      <c r="I314" s="931" t="s">
        <v>246</v>
      </c>
      <c r="J314" s="281"/>
      <c r="K314" s="281"/>
      <c r="L314" s="281"/>
      <c r="M314" s="281"/>
      <c r="N314" s="281"/>
      <c r="O314" s="281"/>
      <c r="P314" s="281"/>
      <c r="Q314" s="281"/>
      <c r="R314" s="281"/>
      <c r="S314" s="281"/>
      <c r="T314" s="281"/>
      <c r="U314" s="282"/>
      <c r="V314" s="282"/>
      <c r="W314" s="282"/>
      <c r="X314" s="282"/>
      <c r="Y314" s="282"/>
      <c r="Z314" s="282"/>
      <c r="AA314" s="282"/>
      <c r="AB314" s="282"/>
      <c r="AC314" s="282"/>
      <c r="AD314" s="282"/>
      <c r="AE314" s="282"/>
      <c r="AF314" s="282"/>
      <c r="AG314" s="282"/>
      <c r="AH314" s="282"/>
      <c r="AI314" s="282"/>
      <c r="AJ314" s="282"/>
      <c r="AK314" s="282"/>
      <c r="AL314" s="282"/>
      <c r="AM314" s="282"/>
      <c r="AN314" s="282"/>
      <c r="AO314" s="282"/>
      <c r="AP314" s="283"/>
      <c r="AQ314" s="283"/>
      <c r="AR314" s="283"/>
      <c r="AS314" s="283"/>
      <c r="AT314" s="283"/>
      <c r="AU314" s="284"/>
      <c r="AV314" s="284"/>
      <c r="AW314" s="284"/>
      <c r="AX314" s="284"/>
      <c r="AY314" s="284"/>
      <c r="AZ314" s="284"/>
      <c r="BA314" s="285"/>
      <c r="BB314" s="285"/>
      <c r="BC314" s="285"/>
      <c r="BD314" s="285"/>
      <c r="BE314" s="281"/>
      <c r="BF314" s="281"/>
      <c r="BG314" s="281"/>
      <c r="BH314" s="281"/>
      <c r="BI314" s="281"/>
      <c r="BJ314" s="286"/>
      <c r="BK314" s="282"/>
      <c r="BL314" s="282"/>
      <c r="BM314" s="282"/>
      <c r="BN314" s="282"/>
      <c r="BO314" s="282"/>
      <c r="BP314" s="282"/>
      <c r="BQ314" s="282"/>
      <c r="BR314" s="282"/>
      <c r="BS314" s="282"/>
      <c r="BT314" s="282"/>
      <c r="BU314" s="282"/>
      <c r="BV314" s="282"/>
      <c r="BW314" s="283"/>
      <c r="BX314" s="283"/>
      <c r="BY314" s="283"/>
      <c r="BZ314" s="283"/>
      <c r="CA314" s="283"/>
      <c r="CB314" s="283"/>
      <c r="CC314" s="283"/>
      <c r="CD314" s="283"/>
      <c r="CE314" s="283"/>
      <c r="CF314" s="370"/>
      <c r="CG314" s="283"/>
      <c r="CH314" s="287"/>
      <c r="CI314" s="283"/>
      <c r="CJ314" s="283"/>
      <c r="CK314" s="283"/>
      <c r="CL314" s="283"/>
      <c r="CM314" s="283"/>
      <c r="CN314" s="283"/>
      <c r="CO314" s="284"/>
      <c r="CP314" s="284"/>
      <c r="CQ314" s="284"/>
      <c r="CR314" s="542"/>
      <c r="CS314" s="542"/>
      <c r="CT314" s="542"/>
      <c r="CU314" s="542"/>
      <c r="CV314" s="542"/>
      <c r="CW314" s="542"/>
      <c r="CX314" s="542"/>
      <c r="CY314" s="543"/>
      <c r="CZ314" s="284"/>
      <c r="DA314" s="592"/>
      <c r="DB314" s="592"/>
      <c r="DC314" s="662"/>
      <c r="DD314" s="641"/>
      <c r="DE314" s="641"/>
      <c r="DF314" s="641"/>
      <c r="DG314" s="641"/>
      <c r="DH314" s="641"/>
      <c r="DI314" s="641"/>
      <c r="DJ314" s="641"/>
      <c r="DK314" s="629"/>
      <c r="DL314" s="495">
        <f t="shared" ref="DL314:DL325" si="374">SUM(J314:S314)*5+SUM(V314:AF314)+AH314*4+U314*2.5+AG314/0.75</f>
        <v>0</v>
      </c>
      <c r="DM314" s="84">
        <f t="shared" ref="DM314:DM325" si="375">SUM(J314:DK314)</f>
        <v>0</v>
      </c>
      <c r="DN314" s="84">
        <f t="shared" ref="DN314:DN325" si="376">SUM(BK314:BV314,)</f>
        <v>0</v>
      </c>
      <c r="DO314" s="125">
        <f t="shared" ref="DO314:DO325" si="377">SUM(AT314:AV314)+SUM(AW314:AZ314)*5</f>
        <v>0</v>
      </c>
    </row>
    <row r="315" spans="2:123" ht="32.1" hidden="1" customHeight="1" outlineLevel="1" x14ac:dyDescent="0.25">
      <c r="B315" s="813"/>
      <c r="C315" s="814"/>
      <c r="D315" s="805"/>
      <c r="E315" s="785"/>
      <c r="F315" s="278" t="s">
        <v>9</v>
      </c>
      <c r="G315" s="280" t="s">
        <v>139</v>
      </c>
      <c r="H315" s="351"/>
      <c r="I315" s="931" t="s">
        <v>56</v>
      </c>
      <c r="J315" s="281"/>
      <c r="K315" s="281"/>
      <c r="L315" s="281"/>
      <c r="M315" s="281"/>
      <c r="N315" s="281"/>
      <c r="O315" s="281"/>
      <c r="P315" s="281"/>
      <c r="Q315" s="281"/>
      <c r="R315" s="281"/>
      <c r="S315" s="281"/>
      <c r="T315" s="281"/>
      <c r="U315" s="282"/>
      <c r="V315" s="282"/>
      <c r="W315" s="282"/>
      <c r="X315" s="282"/>
      <c r="Y315" s="282"/>
      <c r="Z315" s="282"/>
      <c r="AA315" s="282"/>
      <c r="AB315" s="282"/>
      <c r="AC315" s="282"/>
      <c r="AD315" s="282"/>
      <c r="AE315" s="282"/>
      <c r="AF315" s="282"/>
      <c r="AG315" s="282"/>
      <c r="AH315" s="282"/>
      <c r="AI315" s="282"/>
      <c r="AJ315" s="282"/>
      <c r="AK315" s="282"/>
      <c r="AL315" s="282"/>
      <c r="AM315" s="282"/>
      <c r="AN315" s="282"/>
      <c r="AO315" s="282"/>
      <c r="AP315" s="283"/>
      <c r="AQ315" s="283"/>
      <c r="AR315" s="283"/>
      <c r="AS315" s="283"/>
      <c r="AT315" s="283"/>
      <c r="AU315" s="284"/>
      <c r="AV315" s="284"/>
      <c r="AW315" s="284"/>
      <c r="AX315" s="284"/>
      <c r="AY315" s="284"/>
      <c r="AZ315" s="284"/>
      <c r="BA315" s="285"/>
      <c r="BB315" s="285"/>
      <c r="BC315" s="285"/>
      <c r="BD315" s="285"/>
      <c r="BE315" s="281"/>
      <c r="BF315" s="281"/>
      <c r="BG315" s="281"/>
      <c r="BH315" s="281"/>
      <c r="BI315" s="281"/>
      <c r="BJ315" s="286"/>
      <c r="BK315" s="282"/>
      <c r="BL315" s="282"/>
      <c r="BM315" s="282"/>
      <c r="BN315" s="282"/>
      <c r="BO315" s="282"/>
      <c r="BP315" s="282"/>
      <c r="BQ315" s="282"/>
      <c r="BR315" s="282"/>
      <c r="BS315" s="282"/>
      <c r="BT315" s="282"/>
      <c r="BU315" s="282"/>
      <c r="BV315" s="282"/>
      <c r="BW315" s="283"/>
      <c r="BX315" s="283"/>
      <c r="BY315" s="283"/>
      <c r="BZ315" s="283"/>
      <c r="CA315" s="283"/>
      <c r="CB315" s="283"/>
      <c r="CC315" s="283"/>
      <c r="CD315" s="283"/>
      <c r="CE315" s="283"/>
      <c r="CF315" s="370"/>
      <c r="CG315" s="283"/>
      <c r="CH315" s="287"/>
      <c r="CI315" s="283"/>
      <c r="CJ315" s="283"/>
      <c r="CK315" s="283"/>
      <c r="CL315" s="283"/>
      <c r="CM315" s="283"/>
      <c r="CN315" s="283"/>
      <c r="CO315" s="284"/>
      <c r="CP315" s="284"/>
      <c r="CQ315" s="284"/>
      <c r="CR315" s="542"/>
      <c r="CS315" s="542"/>
      <c r="CT315" s="542"/>
      <c r="CU315" s="542"/>
      <c r="CV315" s="542"/>
      <c r="CW315" s="542"/>
      <c r="CX315" s="542"/>
      <c r="CY315" s="543"/>
      <c r="CZ315" s="284"/>
      <c r="DA315" s="592"/>
      <c r="DB315" s="592"/>
      <c r="DC315" s="662"/>
      <c r="DD315" s="641"/>
      <c r="DE315" s="641"/>
      <c r="DF315" s="641"/>
      <c r="DG315" s="641"/>
      <c r="DH315" s="641"/>
      <c r="DI315" s="641"/>
      <c r="DJ315" s="641"/>
      <c r="DK315" s="629"/>
      <c r="DL315" s="495">
        <f t="shared" si="374"/>
        <v>0</v>
      </c>
      <c r="DM315" s="84">
        <f t="shared" si="375"/>
        <v>0</v>
      </c>
      <c r="DN315" s="84">
        <f t="shared" si="376"/>
        <v>0</v>
      </c>
      <c r="DO315" s="125">
        <f t="shared" si="377"/>
        <v>0</v>
      </c>
    </row>
    <row r="316" spans="2:123" ht="32.1" hidden="1" customHeight="1" outlineLevel="1" x14ac:dyDescent="0.25">
      <c r="B316" s="813"/>
      <c r="C316" s="814"/>
      <c r="D316" s="805"/>
      <c r="E316" s="785"/>
      <c r="F316" s="278" t="s">
        <v>9</v>
      </c>
      <c r="G316" s="280" t="s">
        <v>139</v>
      </c>
      <c r="H316" s="353"/>
      <c r="I316" s="964" t="s">
        <v>67</v>
      </c>
      <c r="J316" s="281"/>
      <c r="K316" s="281"/>
      <c r="L316" s="281"/>
      <c r="M316" s="281"/>
      <c r="N316" s="281"/>
      <c r="O316" s="281"/>
      <c r="P316" s="281"/>
      <c r="Q316" s="281"/>
      <c r="R316" s="281"/>
      <c r="S316" s="281"/>
      <c r="T316" s="281"/>
      <c r="U316" s="282"/>
      <c r="V316" s="282"/>
      <c r="W316" s="282"/>
      <c r="X316" s="282"/>
      <c r="Y316" s="282"/>
      <c r="Z316" s="282"/>
      <c r="AA316" s="282"/>
      <c r="AB316" s="282"/>
      <c r="AC316" s="282"/>
      <c r="AD316" s="282"/>
      <c r="AE316" s="282"/>
      <c r="AF316" s="282"/>
      <c r="AG316" s="282"/>
      <c r="AH316" s="282"/>
      <c r="AI316" s="282"/>
      <c r="AJ316" s="282"/>
      <c r="AK316" s="282"/>
      <c r="AL316" s="282"/>
      <c r="AM316" s="282"/>
      <c r="AN316" s="282"/>
      <c r="AO316" s="282"/>
      <c r="AP316" s="283"/>
      <c r="AQ316" s="283"/>
      <c r="AR316" s="283"/>
      <c r="AS316" s="283"/>
      <c r="AT316" s="283"/>
      <c r="AU316" s="284"/>
      <c r="AV316" s="284"/>
      <c r="AW316" s="284"/>
      <c r="AX316" s="284"/>
      <c r="AY316" s="284"/>
      <c r="AZ316" s="284"/>
      <c r="BA316" s="285"/>
      <c r="BB316" s="285"/>
      <c r="BC316" s="285"/>
      <c r="BD316" s="285"/>
      <c r="BE316" s="281"/>
      <c r="BF316" s="281"/>
      <c r="BG316" s="281"/>
      <c r="BH316" s="281"/>
      <c r="BI316" s="281"/>
      <c r="BJ316" s="286"/>
      <c r="BK316" s="282"/>
      <c r="BL316" s="282"/>
      <c r="BM316" s="282"/>
      <c r="BN316" s="282"/>
      <c r="BO316" s="282"/>
      <c r="BP316" s="282"/>
      <c r="BQ316" s="282"/>
      <c r="BR316" s="282"/>
      <c r="BS316" s="282"/>
      <c r="BT316" s="282"/>
      <c r="BU316" s="282"/>
      <c r="BV316" s="282"/>
      <c r="BW316" s="283"/>
      <c r="BX316" s="283"/>
      <c r="BY316" s="283"/>
      <c r="BZ316" s="283"/>
      <c r="CA316" s="283"/>
      <c r="CB316" s="283"/>
      <c r="CC316" s="283"/>
      <c r="CD316" s="283"/>
      <c r="CE316" s="283"/>
      <c r="CF316" s="370"/>
      <c r="CG316" s="283"/>
      <c r="CH316" s="287"/>
      <c r="CI316" s="283"/>
      <c r="CJ316" s="283"/>
      <c r="CK316" s="283"/>
      <c r="CL316" s="283"/>
      <c r="CM316" s="283"/>
      <c r="CN316" s="283"/>
      <c r="CO316" s="284"/>
      <c r="CP316" s="284"/>
      <c r="CQ316" s="284"/>
      <c r="CR316" s="542"/>
      <c r="CS316" s="542"/>
      <c r="CT316" s="542"/>
      <c r="CU316" s="542"/>
      <c r="CV316" s="542"/>
      <c r="CW316" s="542"/>
      <c r="CX316" s="542"/>
      <c r="CY316" s="543"/>
      <c r="CZ316" s="284"/>
      <c r="DA316" s="592"/>
      <c r="DB316" s="592"/>
      <c r="DC316" s="662"/>
      <c r="DD316" s="641"/>
      <c r="DE316" s="641"/>
      <c r="DF316" s="641"/>
      <c r="DG316" s="641"/>
      <c r="DH316" s="641"/>
      <c r="DI316" s="641"/>
      <c r="DJ316" s="641"/>
      <c r="DK316" s="629"/>
      <c r="DL316" s="495">
        <f t="shared" si="374"/>
        <v>0</v>
      </c>
      <c r="DM316" s="84">
        <f t="shared" si="375"/>
        <v>0</v>
      </c>
      <c r="DN316" s="84">
        <f t="shared" si="376"/>
        <v>0</v>
      </c>
      <c r="DO316" s="125">
        <f t="shared" si="377"/>
        <v>0</v>
      </c>
    </row>
    <row r="317" spans="2:123" ht="32.1" hidden="1" customHeight="1" outlineLevel="1" thickBot="1" x14ac:dyDescent="0.3">
      <c r="B317" s="813"/>
      <c r="C317" s="814"/>
      <c r="D317" s="805"/>
      <c r="E317" s="785"/>
      <c r="F317" s="372" t="s">
        <v>9</v>
      </c>
      <c r="G317" s="373" t="s">
        <v>139</v>
      </c>
      <c r="H317" s="351"/>
      <c r="I317" s="980"/>
      <c r="J317" s="291"/>
      <c r="K317" s="291"/>
      <c r="L317" s="291"/>
      <c r="M317" s="291"/>
      <c r="N317" s="291"/>
      <c r="O317" s="291"/>
      <c r="P317" s="291"/>
      <c r="Q317" s="291"/>
      <c r="R317" s="291"/>
      <c r="S317" s="291"/>
      <c r="T317" s="291"/>
      <c r="U317" s="292"/>
      <c r="V317" s="292"/>
      <c r="W317" s="292"/>
      <c r="X317" s="292"/>
      <c r="Y317" s="292"/>
      <c r="Z317" s="292"/>
      <c r="AA317" s="292"/>
      <c r="AB317" s="292"/>
      <c r="AC317" s="292"/>
      <c r="AD317" s="292"/>
      <c r="AE317" s="292"/>
      <c r="AF317" s="292"/>
      <c r="AG317" s="292"/>
      <c r="AH317" s="292"/>
      <c r="AI317" s="292"/>
      <c r="AJ317" s="292"/>
      <c r="AK317" s="292"/>
      <c r="AL317" s="292"/>
      <c r="AM317" s="292"/>
      <c r="AN317" s="292"/>
      <c r="AO317" s="292"/>
      <c r="AP317" s="293"/>
      <c r="AQ317" s="293"/>
      <c r="AR317" s="293"/>
      <c r="AS317" s="293"/>
      <c r="AT317" s="293"/>
      <c r="AU317" s="294"/>
      <c r="AV317" s="294"/>
      <c r="AW317" s="294"/>
      <c r="AX317" s="294"/>
      <c r="AY317" s="294"/>
      <c r="AZ317" s="294"/>
      <c r="BA317" s="295"/>
      <c r="BB317" s="295"/>
      <c r="BC317" s="295"/>
      <c r="BD317" s="295"/>
      <c r="BE317" s="291"/>
      <c r="BF317" s="291"/>
      <c r="BG317" s="291"/>
      <c r="BH317" s="291"/>
      <c r="BI317" s="291"/>
      <c r="BJ317" s="296"/>
      <c r="BK317" s="292"/>
      <c r="BL317" s="292"/>
      <c r="BM317" s="292"/>
      <c r="BN317" s="292"/>
      <c r="BO317" s="292"/>
      <c r="BP317" s="292"/>
      <c r="BQ317" s="292"/>
      <c r="BR317" s="292"/>
      <c r="BS317" s="292"/>
      <c r="BT317" s="292"/>
      <c r="BU317" s="292"/>
      <c r="BV317" s="292"/>
      <c r="BW317" s="293"/>
      <c r="BX317" s="293"/>
      <c r="BY317" s="293"/>
      <c r="BZ317" s="293"/>
      <c r="CA317" s="293"/>
      <c r="CB317" s="293"/>
      <c r="CC317" s="293"/>
      <c r="CD317" s="293"/>
      <c r="CE317" s="293"/>
      <c r="CF317" s="374"/>
      <c r="CG317" s="293"/>
      <c r="CH317" s="297"/>
      <c r="CI317" s="293"/>
      <c r="CJ317" s="293"/>
      <c r="CK317" s="293"/>
      <c r="CL317" s="293"/>
      <c r="CM317" s="293"/>
      <c r="CN317" s="293"/>
      <c r="CO317" s="294"/>
      <c r="CP317" s="294"/>
      <c r="CQ317" s="294"/>
      <c r="CR317" s="544"/>
      <c r="CS317" s="544"/>
      <c r="CT317" s="544"/>
      <c r="CU317" s="544"/>
      <c r="CV317" s="544"/>
      <c r="CW317" s="544"/>
      <c r="CX317" s="544"/>
      <c r="CY317" s="545"/>
      <c r="CZ317" s="294"/>
      <c r="DA317" s="608"/>
      <c r="DB317" s="608"/>
      <c r="DC317" s="677"/>
      <c r="DD317" s="642"/>
      <c r="DE317" s="642"/>
      <c r="DF317" s="642"/>
      <c r="DG317" s="642"/>
      <c r="DH317" s="642"/>
      <c r="DI317" s="642"/>
      <c r="DJ317" s="642"/>
      <c r="DK317" s="630"/>
      <c r="DL317" s="496">
        <f t="shared" si="374"/>
        <v>0</v>
      </c>
      <c r="DM317" s="120">
        <f t="shared" si="375"/>
        <v>0</v>
      </c>
      <c r="DN317" s="120">
        <f t="shared" si="376"/>
        <v>0</v>
      </c>
      <c r="DO317" s="358">
        <f t="shared" si="377"/>
        <v>0</v>
      </c>
    </row>
    <row r="318" spans="2:123" ht="32.1" hidden="1" customHeight="1" outlineLevel="1" thickBot="1" x14ac:dyDescent="0.3">
      <c r="B318" s="813"/>
      <c r="C318" s="814"/>
      <c r="D318" s="805"/>
      <c r="E318" s="779" t="s">
        <v>137</v>
      </c>
      <c r="F318" s="268" t="s">
        <v>9</v>
      </c>
      <c r="G318" s="270" t="s">
        <v>139</v>
      </c>
      <c r="H318" s="378"/>
      <c r="I318" s="966" t="s">
        <v>247</v>
      </c>
      <c r="J318" s="379"/>
      <c r="K318" s="379"/>
      <c r="L318" s="379"/>
      <c r="M318" s="379"/>
      <c r="N318" s="379"/>
      <c r="O318" s="379"/>
      <c r="P318" s="379"/>
      <c r="Q318" s="379"/>
      <c r="R318" s="379"/>
      <c r="S318" s="379"/>
      <c r="T318" s="379"/>
      <c r="U318" s="380"/>
      <c r="V318" s="380"/>
      <c r="W318" s="380"/>
      <c r="X318" s="380"/>
      <c r="Y318" s="380"/>
      <c r="Z318" s="380"/>
      <c r="AA318" s="380"/>
      <c r="AB318" s="380"/>
      <c r="AC318" s="380"/>
      <c r="AD318" s="380"/>
      <c r="AE318" s="380"/>
      <c r="AF318" s="380"/>
      <c r="AG318" s="380"/>
      <c r="AH318" s="380"/>
      <c r="AI318" s="380"/>
      <c r="AJ318" s="380"/>
      <c r="AK318" s="380"/>
      <c r="AL318" s="380"/>
      <c r="AM318" s="380"/>
      <c r="AN318" s="380"/>
      <c r="AO318" s="380"/>
      <c r="AP318" s="381"/>
      <c r="AQ318" s="381"/>
      <c r="AR318" s="381"/>
      <c r="AS318" s="381"/>
      <c r="AT318" s="381"/>
      <c r="AU318" s="382"/>
      <c r="AV318" s="382"/>
      <c r="AW318" s="382"/>
      <c r="AX318" s="382"/>
      <c r="AY318" s="382"/>
      <c r="AZ318" s="382"/>
      <c r="BA318" s="383"/>
      <c r="BB318" s="383"/>
      <c r="BC318" s="383"/>
      <c r="BD318" s="383"/>
      <c r="BE318" s="379"/>
      <c r="BF318" s="379"/>
      <c r="BG318" s="379"/>
      <c r="BH318" s="379"/>
      <c r="BI318" s="379"/>
      <c r="BJ318" s="384"/>
      <c r="BK318" s="380"/>
      <c r="BL318" s="380"/>
      <c r="BM318" s="380"/>
      <c r="BN318" s="380"/>
      <c r="BO318" s="380"/>
      <c r="BP318" s="380"/>
      <c r="BQ318" s="380"/>
      <c r="BR318" s="380"/>
      <c r="BS318" s="380"/>
      <c r="BT318" s="380"/>
      <c r="BU318" s="380"/>
      <c r="BV318" s="380"/>
      <c r="BW318" s="381"/>
      <c r="BX318" s="381"/>
      <c r="BY318" s="381"/>
      <c r="BZ318" s="381"/>
      <c r="CA318" s="381"/>
      <c r="CB318" s="381"/>
      <c r="CC318" s="381"/>
      <c r="CD318" s="381"/>
      <c r="CE318" s="381"/>
      <c r="CF318" s="385"/>
      <c r="CG318" s="381"/>
      <c r="CH318" s="386"/>
      <c r="CI318" s="381"/>
      <c r="CJ318" s="381"/>
      <c r="CK318" s="381"/>
      <c r="CL318" s="381"/>
      <c r="CM318" s="381"/>
      <c r="CN318" s="381"/>
      <c r="CO318" s="382"/>
      <c r="CP318" s="382"/>
      <c r="CQ318" s="382"/>
      <c r="CR318" s="546"/>
      <c r="CS318" s="546"/>
      <c r="CT318" s="546"/>
      <c r="CU318" s="546"/>
      <c r="CV318" s="546"/>
      <c r="CW318" s="546"/>
      <c r="CX318" s="546"/>
      <c r="CY318" s="547"/>
      <c r="CZ318" s="382"/>
      <c r="DA318" s="600"/>
      <c r="DB318" s="600"/>
      <c r="DC318" s="669"/>
      <c r="DD318" s="643"/>
      <c r="DE318" s="643"/>
      <c r="DF318" s="643"/>
      <c r="DG318" s="643"/>
      <c r="DH318" s="643"/>
      <c r="DI318" s="643"/>
      <c r="DJ318" s="643"/>
      <c r="DK318" s="631"/>
      <c r="DL318" s="494">
        <f t="shared" si="374"/>
        <v>0</v>
      </c>
      <c r="DM318" s="122">
        <f t="shared" si="375"/>
        <v>0</v>
      </c>
      <c r="DN318" s="122">
        <f t="shared" si="376"/>
        <v>0</v>
      </c>
      <c r="DO318" s="124">
        <f t="shared" si="377"/>
        <v>0</v>
      </c>
    </row>
    <row r="319" spans="2:123" ht="32.1" hidden="1" customHeight="1" outlineLevel="1" thickBot="1" x14ac:dyDescent="0.3">
      <c r="B319" s="813"/>
      <c r="C319" s="814"/>
      <c r="D319" s="805"/>
      <c r="E319" s="779"/>
      <c r="F319" s="278" t="s">
        <v>9</v>
      </c>
      <c r="G319" s="280" t="s">
        <v>139</v>
      </c>
      <c r="H319" s="353"/>
      <c r="I319" s="964" t="s">
        <v>221</v>
      </c>
      <c r="J319" s="281"/>
      <c r="K319" s="281"/>
      <c r="L319" s="281"/>
      <c r="M319" s="281"/>
      <c r="N319" s="281"/>
      <c r="O319" s="281"/>
      <c r="P319" s="281"/>
      <c r="Q319" s="281"/>
      <c r="R319" s="281"/>
      <c r="S319" s="281"/>
      <c r="T319" s="281"/>
      <c r="U319" s="282"/>
      <c r="V319" s="282"/>
      <c r="W319" s="282"/>
      <c r="X319" s="282"/>
      <c r="Y319" s="282"/>
      <c r="Z319" s="282"/>
      <c r="AA319" s="282"/>
      <c r="AB319" s="282"/>
      <c r="AC319" s="282"/>
      <c r="AD319" s="282"/>
      <c r="AE319" s="282"/>
      <c r="AF319" s="282"/>
      <c r="AG319" s="282"/>
      <c r="AH319" s="282"/>
      <c r="AI319" s="282"/>
      <c r="AJ319" s="282"/>
      <c r="AK319" s="282"/>
      <c r="AL319" s="282"/>
      <c r="AM319" s="282"/>
      <c r="AN319" s="282"/>
      <c r="AO319" s="282"/>
      <c r="AP319" s="354"/>
      <c r="AQ319" s="354"/>
      <c r="AR319" s="354"/>
      <c r="AS319" s="283"/>
      <c r="AT319" s="283"/>
      <c r="AU319" s="284"/>
      <c r="AV319" s="284"/>
      <c r="AW319" s="284"/>
      <c r="AX319" s="284"/>
      <c r="AY319" s="284"/>
      <c r="AZ319" s="284"/>
      <c r="BA319" s="285"/>
      <c r="BB319" s="285"/>
      <c r="BC319" s="285"/>
      <c r="BD319" s="285"/>
      <c r="BE319" s="281"/>
      <c r="BF319" s="281"/>
      <c r="BG319" s="281"/>
      <c r="BH319" s="281"/>
      <c r="BI319" s="281"/>
      <c r="BJ319" s="286"/>
      <c r="BK319" s="282"/>
      <c r="BL319" s="282"/>
      <c r="BM319" s="282"/>
      <c r="BN319" s="282"/>
      <c r="BO319" s="282"/>
      <c r="BP319" s="282"/>
      <c r="BQ319" s="282"/>
      <c r="BR319" s="282"/>
      <c r="BS319" s="282"/>
      <c r="BT319" s="282"/>
      <c r="BU319" s="282"/>
      <c r="BV319" s="282"/>
      <c r="BW319" s="283"/>
      <c r="BX319" s="283"/>
      <c r="BY319" s="283"/>
      <c r="BZ319" s="283"/>
      <c r="CA319" s="283"/>
      <c r="CB319" s="283"/>
      <c r="CC319" s="283"/>
      <c r="CD319" s="283"/>
      <c r="CE319" s="283"/>
      <c r="CF319" s="370"/>
      <c r="CG319" s="283"/>
      <c r="CH319" s="287"/>
      <c r="CI319" s="283"/>
      <c r="CJ319" s="283"/>
      <c r="CK319" s="283"/>
      <c r="CL319" s="283"/>
      <c r="CM319" s="283"/>
      <c r="CN319" s="283"/>
      <c r="CO319" s="284"/>
      <c r="CP319" s="284"/>
      <c r="CQ319" s="284"/>
      <c r="CR319" s="542"/>
      <c r="CS319" s="542"/>
      <c r="CT319" s="542"/>
      <c r="CU319" s="542"/>
      <c r="CV319" s="542"/>
      <c r="CW319" s="542"/>
      <c r="CX319" s="542"/>
      <c r="CY319" s="543"/>
      <c r="CZ319" s="284"/>
      <c r="DA319" s="579"/>
      <c r="DB319" s="579"/>
      <c r="DC319" s="648"/>
      <c r="DD319" s="641"/>
      <c r="DE319" s="641"/>
      <c r="DF319" s="641"/>
      <c r="DG319" s="641"/>
      <c r="DH319" s="641"/>
      <c r="DI319" s="641"/>
      <c r="DJ319" s="641"/>
      <c r="DK319" s="629"/>
      <c r="DL319" s="495">
        <f t="shared" si="374"/>
        <v>0</v>
      </c>
      <c r="DM319" s="84">
        <f t="shared" si="375"/>
        <v>0</v>
      </c>
      <c r="DN319" s="84">
        <f t="shared" si="376"/>
        <v>0</v>
      </c>
      <c r="DO319" s="125">
        <f t="shared" si="377"/>
        <v>0</v>
      </c>
    </row>
    <row r="320" spans="2:123" ht="32.1" hidden="1" customHeight="1" outlineLevel="1" thickBot="1" x14ac:dyDescent="0.3">
      <c r="B320" s="813"/>
      <c r="C320" s="814"/>
      <c r="D320" s="805"/>
      <c r="E320" s="779"/>
      <c r="F320" s="278" t="s">
        <v>9</v>
      </c>
      <c r="G320" s="280" t="s">
        <v>139</v>
      </c>
      <c r="H320" s="351"/>
      <c r="I320" s="931" t="s">
        <v>235</v>
      </c>
      <c r="J320" s="281"/>
      <c r="K320" s="281"/>
      <c r="L320" s="281"/>
      <c r="M320" s="281"/>
      <c r="N320" s="281"/>
      <c r="O320" s="281"/>
      <c r="P320" s="281"/>
      <c r="Q320" s="281"/>
      <c r="R320" s="281"/>
      <c r="S320" s="281"/>
      <c r="T320" s="281"/>
      <c r="U320" s="282"/>
      <c r="V320" s="282"/>
      <c r="W320" s="282"/>
      <c r="X320" s="282"/>
      <c r="Y320" s="282"/>
      <c r="Z320" s="282"/>
      <c r="AA320" s="282"/>
      <c r="AB320" s="282"/>
      <c r="AC320" s="282"/>
      <c r="AD320" s="282"/>
      <c r="AE320" s="282"/>
      <c r="AF320" s="282"/>
      <c r="AG320" s="282"/>
      <c r="AH320" s="282"/>
      <c r="AI320" s="282"/>
      <c r="AJ320" s="282"/>
      <c r="AK320" s="282"/>
      <c r="AL320" s="282"/>
      <c r="AM320" s="282"/>
      <c r="AN320" s="282"/>
      <c r="AO320" s="282"/>
      <c r="AP320" s="283"/>
      <c r="AQ320" s="283"/>
      <c r="AR320" s="283"/>
      <c r="AS320" s="283"/>
      <c r="AT320" s="283"/>
      <c r="AU320" s="284"/>
      <c r="AV320" s="284"/>
      <c r="AW320" s="284"/>
      <c r="AX320" s="284"/>
      <c r="AY320" s="284"/>
      <c r="AZ320" s="284"/>
      <c r="BA320" s="285"/>
      <c r="BB320" s="285"/>
      <c r="BC320" s="285"/>
      <c r="BD320" s="285"/>
      <c r="BE320" s="281"/>
      <c r="BF320" s="281"/>
      <c r="BG320" s="281"/>
      <c r="BH320" s="281"/>
      <c r="BI320" s="281"/>
      <c r="BJ320" s="286"/>
      <c r="BK320" s="282"/>
      <c r="BL320" s="282"/>
      <c r="BM320" s="282"/>
      <c r="BN320" s="282"/>
      <c r="BO320" s="282"/>
      <c r="BP320" s="282"/>
      <c r="BQ320" s="282"/>
      <c r="BR320" s="282"/>
      <c r="BS320" s="282"/>
      <c r="BT320" s="282"/>
      <c r="BU320" s="282"/>
      <c r="BV320" s="282"/>
      <c r="BW320" s="283"/>
      <c r="BX320" s="283"/>
      <c r="BY320" s="283"/>
      <c r="BZ320" s="283"/>
      <c r="CA320" s="283"/>
      <c r="CB320" s="283"/>
      <c r="CC320" s="283"/>
      <c r="CD320" s="283"/>
      <c r="CE320" s="283"/>
      <c r="CF320" s="370"/>
      <c r="CG320" s="283"/>
      <c r="CH320" s="287"/>
      <c r="CI320" s="283"/>
      <c r="CJ320" s="283"/>
      <c r="CK320" s="283"/>
      <c r="CL320" s="283"/>
      <c r="CM320" s="283"/>
      <c r="CN320" s="283"/>
      <c r="CO320" s="284"/>
      <c r="CP320" s="284"/>
      <c r="CQ320" s="284"/>
      <c r="CR320" s="542"/>
      <c r="CS320" s="542"/>
      <c r="CT320" s="542"/>
      <c r="CU320" s="542"/>
      <c r="CV320" s="542"/>
      <c r="CW320" s="542"/>
      <c r="CX320" s="542"/>
      <c r="CY320" s="543"/>
      <c r="CZ320" s="284"/>
      <c r="DA320" s="579"/>
      <c r="DB320" s="579"/>
      <c r="DC320" s="648"/>
      <c r="DD320" s="281"/>
      <c r="DE320" s="281"/>
      <c r="DF320" s="281"/>
      <c r="DG320" s="281"/>
      <c r="DH320" s="281"/>
      <c r="DI320" s="281"/>
      <c r="DJ320" s="281"/>
      <c r="DK320" s="629"/>
      <c r="DL320" s="495">
        <f t="shared" si="374"/>
        <v>0</v>
      </c>
      <c r="DM320" s="84">
        <f t="shared" si="375"/>
        <v>0</v>
      </c>
      <c r="DN320" s="84">
        <f t="shared" si="376"/>
        <v>0</v>
      </c>
      <c r="DO320" s="125">
        <f t="shared" si="377"/>
        <v>0</v>
      </c>
    </row>
    <row r="321" spans="2:127" ht="32.1" hidden="1" customHeight="1" outlineLevel="1" thickBot="1" x14ac:dyDescent="0.3">
      <c r="B321" s="813"/>
      <c r="C321" s="814"/>
      <c r="D321" s="805"/>
      <c r="E321" s="779"/>
      <c r="F321" s="288" t="s">
        <v>9</v>
      </c>
      <c r="G321" s="290" t="s">
        <v>139</v>
      </c>
      <c r="H321" s="371"/>
      <c r="I321" s="981"/>
      <c r="J321" s="387"/>
      <c r="K321" s="387"/>
      <c r="L321" s="387"/>
      <c r="M321" s="387"/>
      <c r="N321" s="387"/>
      <c r="O321" s="387"/>
      <c r="P321" s="387"/>
      <c r="Q321" s="387"/>
      <c r="R321" s="387"/>
      <c r="S321" s="387"/>
      <c r="T321" s="387"/>
      <c r="U321" s="388"/>
      <c r="V321" s="388"/>
      <c r="W321" s="388"/>
      <c r="X321" s="388"/>
      <c r="Y321" s="388"/>
      <c r="Z321" s="388"/>
      <c r="AA321" s="388"/>
      <c r="AB321" s="388"/>
      <c r="AC321" s="388"/>
      <c r="AD321" s="388"/>
      <c r="AE321" s="388"/>
      <c r="AF321" s="388"/>
      <c r="AG321" s="388"/>
      <c r="AH321" s="388"/>
      <c r="AI321" s="388"/>
      <c r="AJ321" s="388"/>
      <c r="AK321" s="388"/>
      <c r="AL321" s="388"/>
      <c r="AM321" s="388"/>
      <c r="AN321" s="388"/>
      <c r="AO321" s="388"/>
      <c r="AP321" s="389"/>
      <c r="AQ321" s="389"/>
      <c r="AR321" s="389"/>
      <c r="AS321" s="389"/>
      <c r="AT321" s="389"/>
      <c r="AU321" s="390"/>
      <c r="AV321" s="390"/>
      <c r="AW321" s="390"/>
      <c r="AX321" s="390"/>
      <c r="AY321" s="390"/>
      <c r="AZ321" s="390"/>
      <c r="BA321" s="391"/>
      <c r="BB321" s="391"/>
      <c r="BC321" s="391"/>
      <c r="BD321" s="391"/>
      <c r="BE321" s="387"/>
      <c r="BF321" s="387"/>
      <c r="BG321" s="387"/>
      <c r="BH321" s="387"/>
      <c r="BI321" s="387"/>
      <c r="BJ321" s="392"/>
      <c r="BK321" s="388"/>
      <c r="BL321" s="388"/>
      <c r="BM321" s="388"/>
      <c r="BN321" s="388"/>
      <c r="BO321" s="388"/>
      <c r="BP321" s="388"/>
      <c r="BQ321" s="388"/>
      <c r="BR321" s="388"/>
      <c r="BS321" s="388"/>
      <c r="BT321" s="388"/>
      <c r="BU321" s="388"/>
      <c r="BV321" s="388"/>
      <c r="BW321" s="389"/>
      <c r="BX321" s="389"/>
      <c r="BY321" s="389"/>
      <c r="BZ321" s="389"/>
      <c r="CA321" s="389"/>
      <c r="CB321" s="389"/>
      <c r="CC321" s="389"/>
      <c r="CD321" s="389"/>
      <c r="CE321" s="389"/>
      <c r="CF321" s="393"/>
      <c r="CG321" s="389"/>
      <c r="CH321" s="394"/>
      <c r="CI321" s="389"/>
      <c r="CJ321" s="389"/>
      <c r="CK321" s="389"/>
      <c r="CL321" s="389"/>
      <c r="CM321" s="389"/>
      <c r="CN321" s="389"/>
      <c r="CO321" s="390"/>
      <c r="CP321" s="390"/>
      <c r="CQ321" s="390"/>
      <c r="CR321" s="548"/>
      <c r="CS321" s="548"/>
      <c r="CT321" s="548"/>
      <c r="CU321" s="548"/>
      <c r="CV321" s="548"/>
      <c r="CW321" s="548"/>
      <c r="CX321" s="548"/>
      <c r="CY321" s="549"/>
      <c r="CZ321" s="390"/>
      <c r="DA321" s="390"/>
      <c r="DB321" s="390"/>
      <c r="DC321" s="387"/>
      <c r="DD321" s="644"/>
      <c r="DE321" s="644"/>
      <c r="DF321" s="644"/>
      <c r="DG321" s="644"/>
      <c r="DH321" s="644"/>
      <c r="DI321" s="644"/>
      <c r="DJ321" s="644"/>
      <c r="DK321" s="632"/>
      <c r="DL321" s="497">
        <f t="shared" si="374"/>
        <v>0</v>
      </c>
      <c r="DM321" s="126">
        <f t="shared" si="375"/>
        <v>0</v>
      </c>
      <c r="DN321" s="126">
        <f t="shared" si="376"/>
        <v>0</v>
      </c>
      <c r="DO321" s="127">
        <f t="shared" si="377"/>
        <v>0</v>
      </c>
    </row>
    <row r="322" spans="2:127" ht="32.1" hidden="1" customHeight="1" outlineLevel="1" thickBot="1" x14ac:dyDescent="0.3">
      <c r="B322" s="813"/>
      <c r="C322" s="814"/>
      <c r="D322" s="805"/>
      <c r="E322" s="778" t="s">
        <v>138</v>
      </c>
      <c r="F322" s="375" t="s">
        <v>9</v>
      </c>
      <c r="G322" s="376" t="s">
        <v>139</v>
      </c>
      <c r="H322" s="351"/>
      <c r="I322" s="932" t="s">
        <v>186</v>
      </c>
      <c r="J322" s="271"/>
      <c r="K322" s="271"/>
      <c r="L322" s="271"/>
      <c r="M322" s="271"/>
      <c r="N322" s="271"/>
      <c r="O322" s="271"/>
      <c r="P322" s="271"/>
      <c r="Q322" s="271"/>
      <c r="R322" s="271"/>
      <c r="S322" s="271"/>
      <c r="T322" s="271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  <c r="AF322" s="272"/>
      <c r="AG322" s="272"/>
      <c r="AH322" s="272"/>
      <c r="AI322" s="272"/>
      <c r="AJ322" s="272"/>
      <c r="AK322" s="272"/>
      <c r="AL322" s="272"/>
      <c r="AM322" s="272"/>
      <c r="AN322" s="272"/>
      <c r="AO322" s="272"/>
      <c r="AP322" s="273"/>
      <c r="AQ322" s="273"/>
      <c r="AR322" s="273"/>
      <c r="AS322" s="273"/>
      <c r="AT322" s="273"/>
      <c r="AU322" s="274"/>
      <c r="AV322" s="274"/>
      <c r="AW322" s="274"/>
      <c r="AX322" s="274"/>
      <c r="AY322" s="274"/>
      <c r="AZ322" s="274"/>
      <c r="BA322" s="275"/>
      <c r="BB322" s="275"/>
      <c r="BC322" s="275"/>
      <c r="BD322" s="275"/>
      <c r="BE322" s="271"/>
      <c r="BF322" s="271"/>
      <c r="BG322" s="271"/>
      <c r="BH322" s="271"/>
      <c r="BI322" s="271"/>
      <c r="BJ322" s="276"/>
      <c r="BK322" s="272"/>
      <c r="BL322" s="272"/>
      <c r="BM322" s="272"/>
      <c r="BN322" s="272"/>
      <c r="BO322" s="272"/>
      <c r="BP322" s="272"/>
      <c r="BQ322" s="272"/>
      <c r="BR322" s="272"/>
      <c r="BS322" s="272"/>
      <c r="BT322" s="272"/>
      <c r="BU322" s="272"/>
      <c r="BV322" s="272"/>
      <c r="BW322" s="273"/>
      <c r="BX322" s="273"/>
      <c r="BY322" s="273"/>
      <c r="BZ322" s="273"/>
      <c r="CA322" s="273"/>
      <c r="CB322" s="273"/>
      <c r="CC322" s="273"/>
      <c r="CD322" s="273"/>
      <c r="CE322" s="273"/>
      <c r="CF322" s="377"/>
      <c r="CG322" s="273"/>
      <c r="CH322" s="277"/>
      <c r="CI322" s="273"/>
      <c r="CJ322" s="273"/>
      <c r="CK322" s="273"/>
      <c r="CL322" s="273"/>
      <c r="CM322" s="273"/>
      <c r="CN322" s="273"/>
      <c r="CO322" s="274"/>
      <c r="CP322" s="274"/>
      <c r="CQ322" s="274"/>
      <c r="CR322" s="540"/>
      <c r="CS322" s="540"/>
      <c r="CT322" s="540"/>
      <c r="CU322" s="540"/>
      <c r="CV322" s="540"/>
      <c r="CW322" s="540"/>
      <c r="CX322" s="540"/>
      <c r="CY322" s="541"/>
      <c r="CZ322" s="274"/>
      <c r="DA322" s="594"/>
      <c r="DB322" s="594"/>
      <c r="DC322" s="664"/>
      <c r="DD322" s="645"/>
      <c r="DE322" s="645"/>
      <c r="DF322" s="645"/>
      <c r="DG322" s="645"/>
      <c r="DH322" s="645"/>
      <c r="DI322" s="645"/>
      <c r="DJ322" s="645"/>
      <c r="DK322" s="628"/>
      <c r="DL322" s="498">
        <f t="shared" si="374"/>
        <v>0</v>
      </c>
      <c r="DM322" s="121">
        <f t="shared" si="375"/>
        <v>0</v>
      </c>
      <c r="DN322" s="121">
        <f t="shared" si="376"/>
        <v>0</v>
      </c>
      <c r="DO322" s="357">
        <f t="shared" si="377"/>
        <v>0</v>
      </c>
    </row>
    <row r="323" spans="2:127" ht="32.1" hidden="1" customHeight="1" outlineLevel="1" thickBot="1" x14ac:dyDescent="0.3">
      <c r="B323" s="813"/>
      <c r="C323" s="814"/>
      <c r="D323" s="805"/>
      <c r="E323" s="779"/>
      <c r="F323" s="278" t="s">
        <v>9</v>
      </c>
      <c r="G323" s="280" t="s">
        <v>139</v>
      </c>
      <c r="H323" s="351"/>
      <c r="I323" s="931"/>
      <c r="J323" s="281"/>
      <c r="K323" s="281"/>
      <c r="L323" s="281"/>
      <c r="M323" s="281"/>
      <c r="N323" s="281"/>
      <c r="O323" s="281"/>
      <c r="P323" s="281"/>
      <c r="Q323" s="281"/>
      <c r="R323" s="281"/>
      <c r="S323" s="281"/>
      <c r="T323" s="281"/>
      <c r="U323" s="282"/>
      <c r="V323" s="282"/>
      <c r="W323" s="282"/>
      <c r="X323" s="282"/>
      <c r="Y323" s="282"/>
      <c r="Z323" s="282"/>
      <c r="AA323" s="282"/>
      <c r="AB323" s="282"/>
      <c r="AC323" s="282"/>
      <c r="AD323" s="282"/>
      <c r="AE323" s="282"/>
      <c r="AF323" s="282"/>
      <c r="AG323" s="282"/>
      <c r="AH323" s="282"/>
      <c r="AI323" s="282"/>
      <c r="AJ323" s="282"/>
      <c r="AK323" s="282"/>
      <c r="AL323" s="282"/>
      <c r="AM323" s="282"/>
      <c r="AN323" s="282"/>
      <c r="AO323" s="282"/>
      <c r="AP323" s="283"/>
      <c r="AQ323" s="283"/>
      <c r="AR323" s="283"/>
      <c r="AS323" s="283"/>
      <c r="AT323" s="283"/>
      <c r="AU323" s="284"/>
      <c r="AV323" s="284"/>
      <c r="AW323" s="284"/>
      <c r="AX323" s="284"/>
      <c r="AY323" s="284"/>
      <c r="AZ323" s="284"/>
      <c r="BA323" s="285"/>
      <c r="BB323" s="285"/>
      <c r="BC323" s="285"/>
      <c r="BD323" s="285"/>
      <c r="BE323" s="281"/>
      <c r="BF323" s="281"/>
      <c r="BG323" s="281"/>
      <c r="BH323" s="281"/>
      <c r="BI323" s="281"/>
      <c r="BJ323" s="286"/>
      <c r="BK323" s="282"/>
      <c r="BL323" s="282"/>
      <c r="BM323" s="282"/>
      <c r="BN323" s="282"/>
      <c r="BO323" s="282"/>
      <c r="BP323" s="282"/>
      <c r="BQ323" s="282"/>
      <c r="BR323" s="282"/>
      <c r="BS323" s="282"/>
      <c r="BT323" s="282"/>
      <c r="BU323" s="282"/>
      <c r="BV323" s="282"/>
      <c r="BW323" s="283"/>
      <c r="BX323" s="283"/>
      <c r="BY323" s="283"/>
      <c r="BZ323" s="283"/>
      <c r="CA323" s="283"/>
      <c r="CB323" s="283"/>
      <c r="CC323" s="283"/>
      <c r="CD323" s="283"/>
      <c r="CE323" s="283"/>
      <c r="CF323" s="370"/>
      <c r="CG323" s="283"/>
      <c r="CH323" s="287"/>
      <c r="CI323" s="283"/>
      <c r="CJ323" s="283"/>
      <c r="CK323" s="283"/>
      <c r="CL323" s="283"/>
      <c r="CM323" s="283"/>
      <c r="CN323" s="283"/>
      <c r="CO323" s="284"/>
      <c r="CP323" s="284"/>
      <c r="CQ323" s="284"/>
      <c r="CR323" s="542"/>
      <c r="CS323" s="542"/>
      <c r="CT323" s="542"/>
      <c r="CU323" s="542"/>
      <c r="CV323" s="542"/>
      <c r="CW323" s="542"/>
      <c r="CX323" s="542"/>
      <c r="CY323" s="543"/>
      <c r="CZ323" s="284"/>
      <c r="DA323" s="592"/>
      <c r="DB323" s="592"/>
      <c r="DC323" s="662"/>
      <c r="DD323" s="641"/>
      <c r="DE323" s="641"/>
      <c r="DF323" s="641"/>
      <c r="DG323" s="641"/>
      <c r="DH323" s="641"/>
      <c r="DI323" s="641"/>
      <c r="DJ323" s="641"/>
      <c r="DK323" s="629"/>
      <c r="DL323" s="495">
        <f t="shared" si="374"/>
        <v>0</v>
      </c>
      <c r="DM323" s="84">
        <f t="shared" si="375"/>
        <v>0</v>
      </c>
      <c r="DN323" s="84">
        <f t="shared" si="376"/>
        <v>0</v>
      </c>
      <c r="DO323" s="125">
        <f t="shared" si="377"/>
        <v>0</v>
      </c>
    </row>
    <row r="324" spans="2:127" ht="32.1" hidden="1" customHeight="1" outlineLevel="1" thickBot="1" x14ac:dyDescent="0.3">
      <c r="B324" s="813"/>
      <c r="C324" s="814"/>
      <c r="D324" s="805"/>
      <c r="E324" s="779"/>
      <c r="F324" s="278" t="s">
        <v>9</v>
      </c>
      <c r="G324" s="280" t="s">
        <v>139</v>
      </c>
      <c r="H324" s="351"/>
      <c r="I324" s="931"/>
      <c r="J324" s="281"/>
      <c r="K324" s="281"/>
      <c r="L324" s="281"/>
      <c r="M324" s="281"/>
      <c r="N324" s="281"/>
      <c r="O324" s="281"/>
      <c r="P324" s="281"/>
      <c r="Q324" s="281"/>
      <c r="R324" s="281"/>
      <c r="S324" s="281"/>
      <c r="T324" s="281"/>
      <c r="U324" s="282"/>
      <c r="V324" s="282"/>
      <c r="W324" s="282"/>
      <c r="X324" s="282"/>
      <c r="Y324" s="282"/>
      <c r="Z324" s="282"/>
      <c r="AA324" s="282"/>
      <c r="AB324" s="282"/>
      <c r="AC324" s="282"/>
      <c r="AD324" s="282"/>
      <c r="AE324" s="282"/>
      <c r="AF324" s="282"/>
      <c r="AG324" s="282"/>
      <c r="AH324" s="282"/>
      <c r="AI324" s="282"/>
      <c r="AJ324" s="282"/>
      <c r="AK324" s="282"/>
      <c r="AL324" s="282"/>
      <c r="AM324" s="282"/>
      <c r="AN324" s="282"/>
      <c r="AO324" s="282"/>
      <c r="AP324" s="283"/>
      <c r="AQ324" s="283"/>
      <c r="AR324" s="283"/>
      <c r="AS324" s="283"/>
      <c r="AT324" s="283"/>
      <c r="AU324" s="284"/>
      <c r="AV324" s="284"/>
      <c r="AW324" s="284"/>
      <c r="AX324" s="284"/>
      <c r="AY324" s="284"/>
      <c r="AZ324" s="284"/>
      <c r="BA324" s="285"/>
      <c r="BB324" s="285"/>
      <c r="BC324" s="285"/>
      <c r="BD324" s="285"/>
      <c r="BE324" s="281"/>
      <c r="BF324" s="281"/>
      <c r="BG324" s="281"/>
      <c r="BH324" s="281"/>
      <c r="BI324" s="281"/>
      <c r="BJ324" s="286"/>
      <c r="BK324" s="282"/>
      <c r="BL324" s="282"/>
      <c r="BM324" s="282"/>
      <c r="BN324" s="282"/>
      <c r="BO324" s="282"/>
      <c r="BP324" s="282"/>
      <c r="BQ324" s="282"/>
      <c r="BR324" s="282"/>
      <c r="BS324" s="282"/>
      <c r="BT324" s="282"/>
      <c r="BU324" s="282"/>
      <c r="BV324" s="282"/>
      <c r="BW324" s="283"/>
      <c r="BX324" s="283"/>
      <c r="BY324" s="283"/>
      <c r="BZ324" s="283"/>
      <c r="CA324" s="283"/>
      <c r="CB324" s="283"/>
      <c r="CC324" s="283"/>
      <c r="CD324" s="283"/>
      <c r="CE324" s="283"/>
      <c r="CF324" s="370"/>
      <c r="CG324" s="283"/>
      <c r="CH324" s="287"/>
      <c r="CI324" s="283"/>
      <c r="CJ324" s="283"/>
      <c r="CK324" s="283"/>
      <c r="CL324" s="283"/>
      <c r="CM324" s="283"/>
      <c r="CN324" s="283"/>
      <c r="CO324" s="284"/>
      <c r="CP324" s="284"/>
      <c r="CQ324" s="284"/>
      <c r="CR324" s="542"/>
      <c r="CS324" s="542"/>
      <c r="CT324" s="542"/>
      <c r="CU324" s="542"/>
      <c r="CV324" s="542"/>
      <c r="CW324" s="542"/>
      <c r="CX324" s="542"/>
      <c r="CY324" s="543"/>
      <c r="CZ324" s="284"/>
      <c r="DA324" s="592"/>
      <c r="DB324" s="592"/>
      <c r="DC324" s="662"/>
      <c r="DD324" s="641"/>
      <c r="DE324" s="641"/>
      <c r="DF324" s="641"/>
      <c r="DG324" s="641"/>
      <c r="DH324" s="641"/>
      <c r="DI324" s="641"/>
      <c r="DJ324" s="641"/>
      <c r="DK324" s="629"/>
      <c r="DL324" s="495">
        <f t="shared" si="374"/>
        <v>0</v>
      </c>
      <c r="DM324" s="84">
        <f t="shared" si="375"/>
        <v>0</v>
      </c>
      <c r="DN324" s="84">
        <f t="shared" si="376"/>
        <v>0</v>
      </c>
      <c r="DO324" s="125">
        <f t="shared" si="377"/>
        <v>0</v>
      </c>
    </row>
    <row r="325" spans="2:127" ht="32.1" hidden="1" customHeight="1" outlineLevel="1" thickBot="1" x14ac:dyDescent="0.3">
      <c r="B325" s="813"/>
      <c r="C325" s="814"/>
      <c r="D325" s="797"/>
      <c r="E325" s="779"/>
      <c r="F325" s="278" t="s">
        <v>9</v>
      </c>
      <c r="G325" s="280" t="s">
        <v>139</v>
      </c>
      <c r="H325" s="351"/>
      <c r="I325" s="931"/>
      <c r="J325" s="281"/>
      <c r="K325" s="281"/>
      <c r="L325" s="281"/>
      <c r="M325" s="281"/>
      <c r="N325" s="281"/>
      <c r="O325" s="281"/>
      <c r="P325" s="281"/>
      <c r="Q325" s="281"/>
      <c r="R325" s="281"/>
      <c r="S325" s="281"/>
      <c r="T325" s="281"/>
      <c r="U325" s="282"/>
      <c r="V325" s="282"/>
      <c r="W325" s="282"/>
      <c r="X325" s="282"/>
      <c r="Y325" s="282"/>
      <c r="Z325" s="282"/>
      <c r="AA325" s="282"/>
      <c r="AB325" s="282"/>
      <c r="AC325" s="282"/>
      <c r="AD325" s="282"/>
      <c r="AE325" s="282"/>
      <c r="AF325" s="282"/>
      <c r="AG325" s="282"/>
      <c r="AH325" s="282"/>
      <c r="AI325" s="282"/>
      <c r="AJ325" s="282"/>
      <c r="AK325" s="282"/>
      <c r="AL325" s="282"/>
      <c r="AM325" s="282"/>
      <c r="AN325" s="282"/>
      <c r="AO325" s="282"/>
      <c r="AP325" s="283"/>
      <c r="AQ325" s="283"/>
      <c r="AR325" s="283"/>
      <c r="AS325" s="283"/>
      <c r="AT325" s="283"/>
      <c r="AU325" s="284"/>
      <c r="AV325" s="284"/>
      <c r="AW325" s="284"/>
      <c r="AX325" s="284"/>
      <c r="AY325" s="284"/>
      <c r="AZ325" s="284"/>
      <c r="BA325" s="285"/>
      <c r="BB325" s="285"/>
      <c r="BC325" s="285"/>
      <c r="BD325" s="285"/>
      <c r="BE325" s="281"/>
      <c r="BF325" s="281"/>
      <c r="BG325" s="281"/>
      <c r="BH325" s="281"/>
      <c r="BI325" s="281"/>
      <c r="BJ325" s="286"/>
      <c r="BK325" s="282"/>
      <c r="BL325" s="282"/>
      <c r="BM325" s="282"/>
      <c r="BN325" s="282"/>
      <c r="BO325" s="282"/>
      <c r="BP325" s="282"/>
      <c r="BQ325" s="282"/>
      <c r="BR325" s="282"/>
      <c r="BS325" s="282"/>
      <c r="BT325" s="282"/>
      <c r="BU325" s="282"/>
      <c r="BV325" s="282"/>
      <c r="BW325" s="283"/>
      <c r="BX325" s="283"/>
      <c r="BY325" s="283"/>
      <c r="BZ325" s="283"/>
      <c r="CA325" s="283"/>
      <c r="CB325" s="283"/>
      <c r="CC325" s="283"/>
      <c r="CD325" s="283"/>
      <c r="CE325" s="283"/>
      <c r="CF325" s="370"/>
      <c r="CG325" s="283"/>
      <c r="CH325" s="287"/>
      <c r="CI325" s="283"/>
      <c r="CJ325" s="283"/>
      <c r="CK325" s="283"/>
      <c r="CL325" s="283"/>
      <c r="CM325" s="283"/>
      <c r="CN325" s="283"/>
      <c r="CO325" s="284"/>
      <c r="CP325" s="284"/>
      <c r="CQ325" s="284"/>
      <c r="CR325" s="542"/>
      <c r="CS325" s="542"/>
      <c r="CT325" s="542"/>
      <c r="CU325" s="542"/>
      <c r="CV325" s="542"/>
      <c r="CW325" s="542"/>
      <c r="CX325" s="542"/>
      <c r="CY325" s="543"/>
      <c r="CZ325" s="284"/>
      <c r="DA325" s="592"/>
      <c r="DB325" s="592"/>
      <c r="DC325" s="662"/>
      <c r="DD325" s="641"/>
      <c r="DE325" s="641"/>
      <c r="DF325" s="641"/>
      <c r="DG325" s="641"/>
      <c r="DH325" s="641"/>
      <c r="DI325" s="641"/>
      <c r="DJ325" s="641"/>
      <c r="DK325" s="629"/>
      <c r="DL325" s="495">
        <f t="shared" si="374"/>
        <v>0</v>
      </c>
      <c r="DM325" s="84">
        <f t="shared" si="375"/>
        <v>0</v>
      </c>
      <c r="DN325" s="84">
        <f t="shared" si="376"/>
        <v>0</v>
      </c>
      <c r="DO325" s="125">
        <f t="shared" si="377"/>
        <v>0</v>
      </c>
    </row>
    <row r="326" spans="2:127" s="834" customFormat="1" ht="16.5" hidden="1" customHeight="1" outlineLevel="1" thickBot="1" x14ac:dyDescent="0.35">
      <c r="B326" s="813"/>
      <c r="C326" s="814"/>
      <c r="D326" s="819"/>
      <c r="E326" s="820" t="s">
        <v>254</v>
      </c>
      <c r="F326" s="821"/>
      <c r="G326" s="822"/>
      <c r="H326" s="823"/>
      <c r="I326" s="903"/>
      <c r="J326" s="824">
        <f>SUM(J314:J325)</f>
        <v>0</v>
      </c>
      <c r="K326" s="824">
        <f t="shared" ref="K326:CL326" si="378">SUM(K314:K325)</f>
        <v>0</v>
      </c>
      <c r="L326" s="824">
        <f t="shared" si="378"/>
        <v>0</v>
      </c>
      <c r="M326" s="824">
        <f t="shared" si="378"/>
        <v>0</v>
      </c>
      <c r="N326" s="824">
        <f t="shared" si="378"/>
        <v>0</v>
      </c>
      <c r="O326" s="824">
        <f t="shared" si="378"/>
        <v>0</v>
      </c>
      <c r="P326" s="824">
        <f t="shared" si="378"/>
        <v>0</v>
      </c>
      <c r="Q326" s="824">
        <f t="shared" si="378"/>
        <v>0</v>
      </c>
      <c r="R326" s="824">
        <f t="shared" si="378"/>
        <v>0</v>
      </c>
      <c r="S326" s="824">
        <f t="shared" si="378"/>
        <v>0</v>
      </c>
      <c r="T326" s="824">
        <f t="shared" si="378"/>
        <v>0</v>
      </c>
      <c r="U326" s="825">
        <f t="shared" si="378"/>
        <v>0</v>
      </c>
      <c r="V326" s="825">
        <f t="shared" si="378"/>
        <v>0</v>
      </c>
      <c r="W326" s="825">
        <f t="shared" si="378"/>
        <v>0</v>
      </c>
      <c r="X326" s="825">
        <f t="shared" si="378"/>
        <v>0</v>
      </c>
      <c r="Y326" s="825">
        <f t="shared" si="378"/>
        <v>0</v>
      </c>
      <c r="Z326" s="825">
        <f t="shared" si="378"/>
        <v>0</v>
      </c>
      <c r="AA326" s="825">
        <f t="shared" si="378"/>
        <v>0</v>
      </c>
      <c r="AB326" s="825">
        <f t="shared" ref="AB326:AD326" si="379">SUM(AB314:AB325)</f>
        <v>0</v>
      </c>
      <c r="AC326" s="825">
        <f t="shared" si="379"/>
        <v>0</v>
      </c>
      <c r="AD326" s="825">
        <f t="shared" si="379"/>
        <v>0</v>
      </c>
      <c r="AE326" s="825">
        <f t="shared" si="378"/>
        <v>0</v>
      </c>
      <c r="AF326" s="825">
        <f t="shared" si="378"/>
        <v>0</v>
      </c>
      <c r="AG326" s="825">
        <f t="shared" si="378"/>
        <v>0</v>
      </c>
      <c r="AH326" s="825">
        <f t="shared" si="378"/>
        <v>0</v>
      </c>
      <c r="AI326" s="825">
        <f t="shared" ref="AI326:AO326" si="380">SUM(AI314:AI325)</f>
        <v>0</v>
      </c>
      <c r="AJ326" s="825">
        <f t="shared" si="380"/>
        <v>0</v>
      </c>
      <c r="AK326" s="825">
        <f t="shared" si="380"/>
        <v>0</v>
      </c>
      <c r="AL326" s="825">
        <f t="shared" si="380"/>
        <v>0</v>
      </c>
      <c r="AM326" s="825">
        <f t="shared" si="380"/>
        <v>0</v>
      </c>
      <c r="AN326" s="825">
        <f t="shared" si="380"/>
        <v>0</v>
      </c>
      <c r="AO326" s="825">
        <f t="shared" si="380"/>
        <v>0</v>
      </c>
      <c r="AP326" s="826">
        <f t="shared" si="378"/>
        <v>0</v>
      </c>
      <c r="AQ326" s="826">
        <f t="shared" ref="AQ326" si="381">SUM(AQ314:AQ325)</f>
        <v>0</v>
      </c>
      <c r="AR326" s="826">
        <f t="shared" si="378"/>
        <v>0</v>
      </c>
      <c r="AS326" s="826">
        <f t="shared" si="378"/>
        <v>0</v>
      </c>
      <c r="AT326" s="826">
        <f t="shared" si="378"/>
        <v>0</v>
      </c>
      <c r="AU326" s="827">
        <f t="shared" si="378"/>
        <v>0</v>
      </c>
      <c r="AV326" s="827">
        <f t="shared" si="378"/>
        <v>0</v>
      </c>
      <c r="AW326" s="827">
        <f t="shared" si="378"/>
        <v>0</v>
      </c>
      <c r="AX326" s="827">
        <f t="shared" ref="AX326:AY326" si="382">SUM(AX314:AX325)</f>
        <v>0</v>
      </c>
      <c r="AY326" s="827">
        <f t="shared" si="382"/>
        <v>0</v>
      </c>
      <c r="AZ326" s="827">
        <f t="shared" si="378"/>
        <v>0</v>
      </c>
      <c r="BA326" s="828">
        <f t="shared" si="378"/>
        <v>0</v>
      </c>
      <c r="BB326" s="828">
        <f t="shared" si="378"/>
        <v>0</v>
      </c>
      <c r="BC326" s="828">
        <f t="shared" si="378"/>
        <v>0</v>
      </c>
      <c r="BD326" s="828">
        <f t="shared" si="378"/>
        <v>0</v>
      </c>
      <c r="BE326" s="824">
        <f t="shared" si="378"/>
        <v>0</v>
      </c>
      <c r="BF326" s="824">
        <f t="shared" si="378"/>
        <v>0</v>
      </c>
      <c r="BG326" s="824">
        <f t="shared" si="378"/>
        <v>0</v>
      </c>
      <c r="BH326" s="824">
        <f t="shared" si="378"/>
        <v>0</v>
      </c>
      <c r="BI326" s="824">
        <f t="shared" si="378"/>
        <v>0</v>
      </c>
      <c r="BJ326" s="824">
        <f t="shared" si="378"/>
        <v>0</v>
      </c>
      <c r="BK326" s="825">
        <f t="shared" si="378"/>
        <v>0</v>
      </c>
      <c r="BL326" s="825">
        <f t="shared" si="378"/>
        <v>0</v>
      </c>
      <c r="BM326" s="825">
        <f t="shared" si="378"/>
        <v>0</v>
      </c>
      <c r="BN326" s="825">
        <f t="shared" si="378"/>
        <v>0</v>
      </c>
      <c r="BO326" s="825">
        <f t="shared" si="378"/>
        <v>0</v>
      </c>
      <c r="BP326" s="825">
        <f t="shared" si="378"/>
        <v>0</v>
      </c>
      <c r="BQ326" s="825">
        <f t="shared" si="378"/>
        <v>0</v>
      </c>
      <c r="BR326" s="825">
        <f t="shared" ref="BR326" si="383">SUM(BR314:BR325)</f>
        <v>0</v>
      </c>
      <c r="BS326" s="825">
        <f t="shared" ref="BS326" si="384">SUM(BS314:BS325)</f>
        <v>0</v>
      </c>
      <c r="BT326" s="825">
        <f t="shared" si="378"/>
        <v>0</v>
      </c>
      <c r="BU326" s="825">
        <f t="shared" si="378"/>
        <v>0</v>
      </c>
      <c r="BV326" s="825">
        <f t="shared" si="378"/>
        <v>0</v>
      </c>
      <c r="BW326" s="826">
        <f t="shared" si="378"/>
        <v>0</v>
      </c>
      <c r="BX326" s="826">
        <f t="shared" si="378"/>
        <v>0</v>
      </c>
      <c r="BY326" s="826">
        <f t="shared" si="378"/>
        <v>0</v>
      </c>
      <c r="BZ326" s="826">
        <f t="shared" si="378"/>
        <v>0</v>
      </c>
      <c r="CA326" s="826">
        <f t="shared" si="378"/>
        <v>0</v>
      </c>
      <c r="CB326" s="826">
        <f t="shared" ref="CB326" si="385">SUM(CB314:CB325)</f>
        <v>0</v>
      </c>
      <c r="CC326" s="826">
        <f t="shared" si="378"/>
        <v>0</v>
      </c>
      <c r="CD326" s="826">
        <f t="shared" si="378"/>
        <v>0</v>
      </c>
      <c r="CE326" s="826">
        <f t="shared" si="378"/>
        <v>0</v>
      </c>
      <c r="CF326" s="826">
        <f t="shared" si="378"/>
        <v>0</v>
      </c>
      <c r="CG326" s="826">
        <f t="shared" si="378"/>
        <v>0</v>
      </c>
      <c r="CH326" s="826">
        <f t="shared" si="378"/>
        <v>0</v>
      </c>
      <c r="CI326" s="826">
        <f t="shared" si="378"/>
        <v>0</v>
      </c>
      <c r="CJ326" s="826">
        <f t="shared" si="378"/>
        <v>0</v>
      </c>
      <c r="CK326" s="826">
        <f t="shared" si="378"/>
        <v>0</v>
      </c>
      <c r="CL326" s="826">
        <f t="shared" si="378"/>
        <v>0</v>
      </c>
      <c r="CM326" s="826">
        <f t="shared" ref="CM326:DO326" si="386">SUM(CM314:CM325)</f>
        <v>0</v>
      </c>
      <c r="CN326" s="826">
        <f t="shared" si="386"/>
        <v>0</v>
      </c>
      <c r="CO326" s="827">
        <f t="shared" si="386"/>
        <v>0</v>
      </c>
      <c r="CP326" s="827">
        <f t="shared" si="386"/>
        <v>0</v>
      </c>
      <c r="CQ326" s="827">
        <f t="shared" si="386"/>
        <v>0</v>
      </c>
      <c r="CR326" s="827">
        <f t="shared" si="386"/>
        <v>0</v>
      </c>
      <c r="CS326" s="827">
        <f t="shared" si="386"/>
        <v>0</v>
      </c>
      <c r="CT326" s="827">
        <f t="shared" si="386"/>
        <v>0</v>
      </c>
      <c r="CU326" s="827">
        <f t="shared" si="386"/>
        <v>0</v>
      </c>
      <c r="CV326" s="827">
        <f t="shared" si="386"/>
        <v>0</v>
      </c>
      <c r="CW326" s="827">
        <f t="shared" si="386"/>
        <v>0</v>
      </c>
      <c r="CX326" s="827">
        <f t="shared" si="386"/>
        <v>0</v>
      </c>
      <c r="CY326" s="827">
        <f t="shared" si="386"/>
        <v>0</v>
      </c>
      <c r="CZ326" s="827">
        <f t="shared" si="386"/>
        <v>0</v>
      </c>
      <c r="DA326" s="827">
        <f t="shared" si="386"/>
        <v>0</v>
      </c>
      <c r="DB326" s="827">
        <f t="shared" si="386"/>
        <v>0</v>
      </c>
      <c r="DC326" s="824">
        <f t="shared" si="386"/>
        <v>0</v>
      </c>
      <c r="DD326" s="824">
        <f t="shared" si="386"/>
        <v>0</v>
      </c>
      <c r="DE326" s="824">
        <f t="shared" si="386"/>
        <v>0</v>
      </c>
      <c r="DF326" s="824">
        <f t="shared" si="386"/>
        <v>0</v>
      </c>
      <c r="DG326" s="824">
        <f t="shared" si="386"/>
        <v>0</v>
      </c>
      <c r="DH326" s="824">
        <f t="shared" si="386"/>
        <v>0</v>
      </c>
      <c r="DI326" s="824">
        <f t="shared" si="386"/>
        <v>0</v>
      </c>
      <c r="DJ326" s="824">
        <f t="shared" si="386"/>
        <v>0</v>
      </c>
      <c r="DK326" s="829">
        <f t="shared" si="386"/>
        <v>0</v>
      </c>
      <c r="DL326" s="830">
        <f t="shared" si="386"/>
        <v>0</v>
      </c>
      <c r="DM326" s="831">
        <f t="shared" si="386"/>
        <v>0</v>
      </c>
      <c r="DN326" s="831">
        <f t="shared" si="386"/>
        <v>0</v>
      </c>
      <c r="DO326" s="832">
        <f t="shared" si="386"/>
        <v>0</v>
      </c>
      <c r="DP326" s="833"/>
      <c r="DQ326" s="833"/>
      <c r="DR326" s="833"/>
      <c r="DS326" s="833"/>
    </row>
    <row r="327" spans="2:127" ht="32.1" hidden="1" customHeight="1" outlineLevel="1" thickBot="1" x14ac:dyDescent="0.3">
      <c r="B327" s="813"/>
      <c r="C327" s="814"/>
      <c r="D327" s="801" t="s">
        <v>192</v>
      </c>
      <c r="E327" s="786"/>
      <c r="F327" s="308" t="s">
        <v>9</v>
      </c>
      <c r="G327" s="346" t="s">
        <v>192</v>
      </c>
      <c r="H327" s="347"/>
      <c r="I327" s="936" t="s">
        <v>64</v>
      </c>
      <c r="J327" s="311"/>
      <c r="K327" s="311"/>
      <c r="L327" s="311"/>
      <c r="M327" s="311"/>
      <c r="N327" s="311"/>
      <c r="O327" s="311"/>
      <c r="P327" s="311"/>
      <c r="Q327" s="311"/>
      <c r="R327" s="311"/>
      <c r="S327" s="311"/>
      <c r="T327" s="311"/>
      <c r="U327" s="312"/>
      <c r="V327" s="312"/>
      <c r="W327" s="312"/>
      <c r="X327" s="312"/>
      <c r="Y327" s="312"/>
      <c r="Z327" s="312"/>
      <c r="AA327" s="312"/>
      <c r="AB327" s="312"/>
      <c r="AC327" s="312"/>
      <c r="AD327" s="312"/>
      <c r="AE327" s="312"/>
      <c r="AF327" s="312"/>
      <c r="AG327" s="312"/>
      <c r="AH327" s="312"/>
      <c r="AI327" s="312"/>
      <c r="AJ327" s="312"/>
      <c r="AK327" s="312"/>
      <c r="AL327" s="312"/>
      <c r="AM327" s="312"/>
      <c r="AN327" s="312"/>
      <c r="AO327" s="312"/>
      <c r="AP327" s="313"/>
      <c r="AQ327" s="313"/>
      <c r="AR327" s="313"/>
      <c r="AS327" s="313"/>
      <c r="AT327" s="313"/>
      <c r="AU327" s="314"/>
      <c r="AV327" s="314"/>
      <c r="AW327" s="314"/>
      <c r="AX327" s="314"/>
      <c r="AY327" s="314"/>
      <c r="AZ327" s="314"/>
      <c r="BA327" s="315"/>
      <c r="BB327" s="315"/>
      <c r="BC327" s="315"/>
      <c r="BD327" s="315"/>
      <c r="BE327" s="311"/>
      <c r="BF327" s="311"/>
      <c r="BG327" s="311"/>
      <c r="BH327" s="311"/>
      <c r="BI327" s="311"/>
      <c r="BJ327" s="316"/>
      <c r="BK327" s="312"/>
      <c r="BL327" s="312"/>
      <c r="BM327" s="312"/>
      <c r="BN327" s="312"/>
      <c r="BO327" s="312"/>
      <c r="BP327" s="312"/>
      <c r="BQ327" s="312"/>
      <c r="BR327" s="312"/>
      <c r="BS327" s="312"/>
      <c r="BT327" s="312"/>
      <c r="BU327" s="312"/>
      <c r="BV327" s="312"/>
      <c r="BW327" s="313"/>
      <c r="BX327" s="313"/>
      <c r="BY327" s="313"/>
      <c r="BZ327" s="313"/>
      <c r="CA327" s="313"/>
      <c r="CB327" s="313"/>
      <c r="CC327" s="313"/>
      <c r="CD327" s="313"/>
      <c r="CE327" s="313"/>
      <c r="CF327" s="348"/>
      <c r="CG327" s="313"/>
      <c r="CH327" s="317"/>
      <c r="CI327" s="313"/>
      <c r="CJ327" s="313"/>
      <c r="CK327" s="313"/>
      <c r="CL327" s="313"/>
      <c r="CM327" s="313"/>
      <c r="CN327" s="313"/>
      <c r="CO327" s="314"/>
      <c r="CP327" s="314"/>
      <c r="CQ327" s="314"/>
      <c r="CR327" s="552"/>
      <c r="CS327" s="552"/>
      <c r="CT327" s="552"/>
      <c r="CU327" s="552"/>
      <c r="CV327" s="552"/>
      <c r="CW327" s="552"/>
      <c r="CX327" s="552"/>
      <c r="CY327" s="553"/>
      <c r="CZ327" s="314"/>
      <c r="DA327" s="595"/>
      <c r="DB327" s="595"/>
      <c r="DC327" s="665"/>
      <c r="DD327" s="646"/>
      <c r="DE327" s="646"/>
      <c r="DF327" s="646"/>
      <c r="DG327" s="646"/>
      <c r="DH327" s="646"/>
      <c r="DI327" s="646"/>
      <c r="DJ327" s="646"/>
      <c r="DK327" s="634"/>
      <c r="DL327" s="495">
        <f>SUM(J327:S327)*5+SUM(V327:AF327)+AH327*4+U327*2.5+AG327/0.75</f>
        <v>0</v>
      </c>
      <c r="DM327" s="84">
        <f>SUM(J327:DK327)</f>
        <v>0</v>
      </c>
      <c r="DN327" s="84">
        <f>SUM(BK327:BV327,)</f>
        <v>0</v>
      </c>
      <c r="DO327" s="125">
        <f>SUM(AT327:AV327)+SUM(AW327:AZ327)*5</f>
        <v>0</v>
      </c>
    </row>
    <row r="328" spans="2:127" ht="32.1" hidden="1" customHeight="1" outlineLevel="1" thickBot="1" x14ac:dyDescent="0.3">
      <c r="B328" s="813"/>
      <c r="C328" s="814"/>
      <c r="D328" s="801"/>
      <c r="E328" s="786"/>
      <c r="F328" s="308" t="s">
        <v>9</v>
      </c>
      <c r="G328" s="346" t="s">
        <v>192</v>
      </c>
      <c r="H328" s="347"/>
      <c r="I328" s="936" t="s">
        <v>60</v>
      </c>
      <c r="J328" s="311"/>
      <c r="K328" s="311"/>
      <c r="L328" s="311"/>
      <c r="M328" s="311"/>
      <c r="N328" s="311"/>
      <c r="O328" s="311"/>
      <c r="P328" s="311"/>
      <c r="Q328" s="311"/>
      <c r="R328" s="311"/>
      <c r="S328" s="311"/>
      <c r="T328" s="311"/>
      <c r="U328" s="312"/>
      <c r="V328" s="312"/>
      <c r="W328" s="312"/>
      <c r="X328" s="312"/>
      <c r="Y328" s="312"/>
      <c r="Z328" s="312"/>
      <c r="AA328" s="312"/>
      <c r="AB328" s="312"/>
      <c r="AC328" s="312"/>
      <c r="AD328" s="312"/>
      <c r="AE328" s="312"/>
      <c r="AF328" s="312"/>
      <c r="AG328" s="312"/>
      <c r="AH328" s="312"/>
      <c r="AI328" s="312"/>
      <c r="AJ328" s="312"/>
      <c r="AK328" s="312"/>
      <c r="AL328" s="312"/>
      <c r="AM328" s="312"/>
      <c r="AN328" s="312"/>
      <c r="AO328" s="312"/>
      <c r="AP328" s="313"/>
      <c r="AQ328" s="313"/>
      <c r="AR328" s="313"/>
      <c r="AS328" s="313"/>
      <c r="AT328" s="313"/>
      <c r="AU328" s="314"/>
      <c r="AV328" s="314"/>
      <c r="AW328" s="314"/>
      <c r="AX328" s="314"/>
      <c r="AY328" s="314"/>
      <c r="AZ328" s="314"/>
      <c r="BA328" s="315"/>
      <c r="BB328" s="315"/>
      <c r="BC328" s="315"/>
      <c r="BD328" s="315"/>
      <c r="BE328" s="311"/>
      <c r="BF328" s="311"/>
      <c r="BG328" s="311"/>
      <c r="BH328" s="311"/>
      <c r="BI328" s="311"/>
      <c r="BJ328" s="316"/>
      <c r="BK328" s="312"/>
      <c r="BL328" s="312"/>
      <c r="BM328" s="312"/>
      <c r="BN328" s="312"/>
      <c r="BO328" s="312"/>
      <c r="BP328" s="312"/>
      <c r="BQ328" s="312"/>
      <c r="BR328" s="312"/>
      <c r="BS328" s="312"/>
      <c r="BT328" s="312"/>
      <c r="BU328" s="312"/>
      <c r="BV328" s="312"/>
      <c r="BW328" s="313"/>
      <c r="BX328" s="313"/>
      <c r="BY328" s="313"/>
      <c r="BZ328" s="313"/>
      <c r="CA328" s="313"/>
      <c r="CB328" s="313"/>
      <c r="CC328" s="313"/>
      <c r="CD328" s="313"/>
      <c r="CE328" s="313"/>
      <c r="CF328" s="348"/>
      <c r="CG328" s="313"/>
      <c r="CH328" s="317"/>
      <c r="CI328" s="313"/>
      <c r="CJ328" s="313"/>
      <c r="CK328" s="313"/>
      <c r="CL328" s="313"/>
      <c r="CM328" s="313"/>
      <c r="CN328" s="313"/>
      <c r="CO328" s="314"/>
      <c r="CP328" s="314"/>
      <c r="CQ328" s="314"/>
      <c r="CR328" s="552"/>
      <c r="CS328" s="552"/>
      <c r="CT328" s="552"/>
      <c r="CU328" s="552"/>
      <c r="CV328" s="552"/>
      <c r="CW328" s="552"/>
      <c r="CX328" s="552"/>
      <c r="CY328" s="553"/>
      <c r="CZ328" s="314"/>
      <c r="DA328" s="595"/>
      <c r="DB328" s="595"/>
      <c r="DC328" s="665"/>
      <c r="DD328" s="646"/>
      <c r="DE328" s="646"/>
      <c r="DF328" s="646"/>
      <c r="DG328" s="646"/>
      <c r="DH328" s="646"/>
      <c r="DI328" s="646"/>
      <c r="DJ328" s="646"/>
      <c r="DK328" s="634"/>
      <c r="DL328" s="495">
        <f>SUM(J328:S328)*5+SUM(V328:AF328)+AH328*4+U328*2.5+AG328/0.75</f>
        <v>0</v>
      </c>
      <c r="DM328" s="84">
        <f>SUM(J328:DK328)</f>
        <v>0</v>
      </c>
      <c r="DN328" s="84">
        <f>SUM(BK328:BV328,)</f>
        <v>0</v>
      </c>
      <c r="DO328" s="125">
        <f>SUM(AT328:AV328)+SUM(AW328:AZ328)*5</f>
        <v>0</v>
      </c>
    </row>
    <row r="329" spans="2:127" ht="32.1" hidden="1" customHeight="1" outlineLevel="1" thickBot="1" x14ac:dyDescent="0.3">
      <c r="B329" s="813"/>
      <c r="C329" s="814"/>
      <c r="D329" s="801"/>
      <c r="E329" s="786"/>
      <c r="F329" s="308" t="s">
        <v>9</v>
      </c>
      <c r="G329" s="346" t="s">
        <v>192</v>
      </c>
      <c r="H329" s="347"/>
      <c r="I329" s="936" t="s">
        <v>98</v>
      </c>
      <c r="J329" s="311"/>
      <c r="K329" s="311"/>
      <c r="L329" s="311"/>
      <c r="M329" s="311"/>
      <c r="N329" s="311"/>
      <c r="O329" s="311"/>
      <c r="P329" s="311"/>
      <c r="Q329" s="311"/>
      <c r="R329" s="311"/>
      <c r="S329" s="311"/>
      <c r="T329" s="311"/>
      <c r="U329" s="312"/>
      <c r="V329" s="312"/>
      <c r="W329" s="312"/>
      <c r="X329" s="312"/>
      <c r="Y329" s="312"/>
      <c r="Z329" s="312"/>
      <c r="AA329" s="312"/>
      <c r="AB329" s="312"/>
      <c r="AC329" s="312"/>
      <c r="AD329" s="312"/>
      <c r="AE329" s="312"/>
      <c r="AF329" s="312"/>
      <c r="AG329" s="312"/>
      <c r="AH329" s="312"/>
      <c r="AI329" s="312"/>
      <c r="AJ329" s="312"/>
      <c r="AK329" s="312"/>
      <c r="AL329" s="312"/>
      <c r="AM329" s="312"/>
      <c r="AN329" s="312"/>
      <c r="AO329" s="312"/>
      <c r="AP329" s="313"/>
      <c r="AQ329" s="313"/>
      <c r="AR329" s="313"/>
      <c r="AS329" s="313"/>
      <c r="AT329" s="313"/>
      <c r="AU329" s="314"/>
      <c r="AV329" s="314"/>
      <c r="AW329" s="314"/>
      <c r="AX329" s="314"/>
      <c r="AY329" s="314"/>
      <c r="AZ329" s="314"/>
      <c r="BA329" s="315"/>
      <c r="BB329" s="315"/>
      <c r="BC329" s="315"/>
      <c r="BD329" s="315"/>
      <c r="BE329" s="311"/>
      <c r="BF329" s="311"/>
      <c r="BG329" s="311"/>
      <c r="BH329" s="311"/>
      <c r="BI329" s="311"/>
      <c r="BJ329" s="316"/>
      <c r="BK329" s="312"/>
      <c r="BL329" s="312"/>
      <c r="BM329" s="312"/>
      <c r="BN329" s="312"/>
      <c r="BO329" s="312"/>
      <c r="BP329" s="312"/>
      <c r="BQ329" s="312"/>
      <c r="BR329" s="312"/>
      <c r="BS329" s="312"/>
      <c r="BT329" s="312"/>
      <c r="BU329" s="312"/>
      <c r="BV329" s="312"/>
      <c r="BW329" s="313"/>
      <c r="BX329" s="313"/>
      <c r="BY329" s="313"/>
      <c r="BZ329" s="313"/>
      <c r="CA329" s="313"/>
      <c r="CB329" s="313"/>
      <c r="CC329" s="313"/>
      <c r="CD329" s="313"/>
      <c r="CE329" s="313"/>
      <c r="CF329" s="348"/>
      <c r="CG329" s="313"/>
      <c r="CH329" s="317"/>
      <c r="CI329" s="313"/>
      <c r="CJ329" s="313"/>
      <c r="CK329" s="313"/>
      <c r="CL329" s="313"/>
      <c r="CM329" s="313"/>
      <c r="CN329" s="313"/>
      <c r="CO329" s="314"/>
      <c r="CP329" s="314"/>
      <c r="CQ329" s="314"/>
      <c r="CR329" s="552"/>
      <c r="CS329" s="552"/>
      <c r="CT329" s="552"/>
      <c r="CU329" s="552"/>
      <c r="CV329" s="552"/>
      <c r="CW329" s="552"/>
      <c r="CX329" s="552"/>
      <c r="CY329" s="553"/>
      <c r="CZ329" s="314"/>
      <c r="DA329" s="595"/>
      <c r="DB329" s="595"/>
      <c r="DC329" s="665"/>
      <c r="DD329" s="646"/>
      <c r="DE329" s="646"/>
      <c r="DF329" s="646"/>
      <c r="DG329" s="646"/>
      <c r="DH329" s="646"/>
      <c r="DI329" s="646"/>
      <c r="DJ329" s="646"/>
      <c r="DK329" s="634"/>
      <c r="DL329" s="495">
        <f>SUM(J329:S329)*5+SUM(V329:AF329)+AH329*4+U329*2.5+AG329/0.75</f>
        <v>0</v>
      </c>
      <c r="DM329" s="84">
        <f>SUM(J329:DK329)</f>
        <v>0</v>
      </c>
      <c r="DN329" s="84">
        <f>SUM(BK329:BV329,)</f>
        <v>0</v>
      </c>
      <c r="DO329" s="125">
        <f>SUM(AT329:AV329)+SUM(AW329:AZ329)*5</f>
        <v>0</v>
      </c>
    </row>
    <row r="330" spans="2:127" ht="32.1" hidden="1" customHeight="1" outlineLevel="1" thickBot="1" x14ac:dyDescent="0.3">
      <c r="B330" s="813"/>
      <c r="C330" s="814"/>
      <c r="D330" s="802"/>
      <c r="E330" s="787"/>
      <c r="F330" s="308" t="s">
        <v>9</v>
      </c>
      <c r="G330" s="346" t="s">
        <v>192</v>
      </c>
      <c r="H330" s="347"/>
      <c r="I330" s="982" t="s">
        <v>67</v>
      </c>
      <c r="J330" s="311"/>
      <c r="K330" s="311"/>
      <c r="L330" s="311"/>
      <c r="M330" s="311"/>
      <c r="N330" s="311"/>
      <c r="O330" s="311"/>
      <c r="P330" s="311"/>
      <c r="Q330" s="311"/>
      <c r="R330" s="311"/>
      <c r="S330" s="311"/>
      <c r="T330" s="311"/>
      <c r="U330" s="312"/>
      <c r="V330" s="312"/>
      <c r="W330" s="312"/>
      <c r="X330" s="312"/>
      <c r="Y330" s="312"/>
      <c r="Z330" s="312"/>
      <c r="AA330" s="312"/>
      <c r="AB330" s="312"/>
      <c r="AC330" s="312"/>
      <c r="AD330" s="312"/>
      <c r="AE330" s="312"/>
      <c r="AF330" s="312"/>
      <c r="AG330" s="312"/>
      <c r="AH330" s="312"/>
      <c r="AI330" s="312"/>
      <c r="AJ330" s="312"/>
      <c r="AK330" s="312"/>
      <c r="AL330" s="312"/>
      <c r="AM330" s="312"/>
      <c r="AN330" s="312"/>
      <c r="AO330" s="312"/>
      <c r="AP330" s="313"/>
      <c r="AQ330" s="313"/>
      <c r="AR330" s="313"/>
      <c r="AS330" s="313"/>
      <c r="AT330" s="313"/>
      <c r="AU330" s="314"/>
      <c r="AV330" s="314"/>
      <c r="AW330" s="314"/>
      <c r="AX330" s="314"/>
      <c r="AY330" s="314"/>
      <c r="AZ330" s="314"/>
      <c r="BA330" s="315"/>
      <c r="BB330" s="315"/>
      <c r="BC330" s="315"/>
      <c r="BD330" s="315"/>
      <c r="BE330" s="311"/>
      <c r="BF330" s="311"/>
      <c r="BG330" s="311"/>
      <c r="BH330" s="311"/>
      <c r="BI330" s="311"/>
      <c r="BJ330" s="316"/>
      <c r="BK330" s="312"/>
      <c r="BL330" s="312"/>
      <c r="BM330" s="312"/>
      <c r="BN330" s="312"/>
      <c r="BO330" s="312"/>
      <c r="BP330" s="312"/>
      <c r="BQ330" s="312"/>
      <c r="BR330" s="312"/>
      <c r="BS330" s="312"/>
      <c r="BT330" s="312"/>
      <c r="BU330" s="312"/>
      <c r="BV330" s="312"/>
      <c r="BW330" s="313"/>
      <c r="BX330" s="313"/>
      <c r="BY330" s="313"/>
      <c r="BZ330" s="313"/>
      <c r="CA330" s="313"/>
      <c r="CB330" s="313"/>
      <c r="CC330" s="313"/>
      <c r="CD330" s="313"/>
      <c r="CE330" s="313"/>
      <c r="CF330" s="348"/>
      <c r="CG330" s="313"/>
      <c r="CH330" s="317"/>
      <c r="CI330" s="313"/>
      <c r="CJ330" s="313"/>
      <c r="CK330" s="313"/>
      <c r="CL330" s="313"/>
      <c r="CM330" s="313"/>
      <c r="CN330" s="313"/>
      <c r="CO330" s="314"/>
      <c r="CP330" s="314"/>
      <c r="CQ330" s="314"/>
      <c r="CR330" s="552"/>
      <c r="CS330" s="552"/>
      <c r="CT330" s="552"/>
      <c r="CU330" s="552"/>
      <c r="CV330" s="552"/>
      <c r="CW330" s="552"/>
      <c r="CX330" s="552"/>
      <c r="CY330" s="553"/>
      <c r="CZ330" s="314"/>
      <c r="DA330" s="595"/>
      <c r="DB330" s="595"/>
      <c r="DC330" s="665"/>
      <c r="DD330" s="646"/>
      <c r="DE330" s="646"/>
      <c r="DF330" s="646"/>
      <c r="DG330" s="646"/>
      <c r="DH330" s="646"/>
      <c r="DI330" s="646"/>
      <c r="DJ330" s="646"/>
      <c r="DK330" s="634"/>
      <c r="DL330" s="495">
        <f>SUM(J330:S330)*5+SUM(V330:AF330)+AH330*4+U330*2.5+AG330/0.75</f>
        <v>0</v>
      </c>
      <c r="DM330" s="84">
        <f>SUM(J330:DK330)</f>
        <v>0</v>
      </c>
      <c r="DN330" s="84">
        <f>SUM(BK330:BV330,)</f>
        <v>0</v>
      </c>
      <c r="DO330" s="125">
        <f>SUM(AT330:AV330)+SUM(AW330:AZ330)*5</f>
        <v>0</v>
      </c>
    </row>
    <row r="331" spans="2:127" s="834" customFormat="1" ht="16.5" hidden="1" customHeight="1" outlineLevel="1" thickBot="1" x14ac:dyDescent="0.35">
      <c r="B331" s="813"/>
      <c r="C331" s="814"/>
      <c r="D331" s="835"/>
      <c r="E331" s="836" t="s">
        <v>254</v>
      </c>
      <c r="F331" s="837"/>
      <c r="G331" s="838"/>
      <c r="H331" s="839"/>
      <c r="I331" s="918"/>
      <c r="J331" s="845">
        <f>SUM(J327:J330)</f>
        <v>0</v>
      </c>
      <c r="K331" s="845">
        <f t="shared" ref="K331:CL331" si="387">SUM(K327:K330)</f>
        <v>0</v>
      </c>
      <c r="L331" s="845">
        <f t="shared" si="387"/>
        <v>0</v>
      </c>
      <c r="M331" s="845">
        <f t="shared" si="387"/>
        <v>0</v>
      </c>
      <c r="N331" s="845">
        <f t="shared" si="387"/>
        <v>0</v>
      </c>
      <c r="O331" s="845">
        <f t="shared" si="387"/>
        <v>0</v>
      </c>
      <c r="P331" s="845">
        <f t="shared" si="387"/>
        <v>0</v>
      </c>
      <c r="Q331" s="845">
        <f t="shared" si="387"/>
        <v>0</v>
      </c>
      <c r="R331" s="845">
        <f t="shared" si="387"/>
        <v>0</v>
      </c>
      <c r="S331" s="845">
        <f t="shared" si="387"/>
        <v>0</v>
      </c>
      <c r="T331" s="845">
        <f t="shared" si="387"/>
        <v>0</v>
      </c>
      <c r="U331" s="846">
        <f t="shared" si="387"/>
        <v>0</v>
      </c>
      <c r="V331" s="846">
        <f t="shared" si="387"/>
        <v>0</v>
      </c>
      <c r="W331" s="846">
        <f t="shared" si="387"/>
        <v>0</v>
      </c>
      <c r="X331" s="846">
        <f t="shared" si="387"/>
        <v>0</v>
      </c>
      <c r="Y331" s="846">
        <f t="shared" si="387"/>
        <v>0</v>
      </c>
      <c r="Z331" s="846">
        <f t="shared" si="387"/>
        <v>0</v>
      </c>
      <c r="AA331" s="846">
        <f t="shared" si="387"/>
        <v>0</v>
      </c>
      <c r="AB331" s="846">
        <f t="shared" ref="AB331:AD331" si="388">SUM(AB327:AB330)</f>
        <v>0</v>
      </c>
      <c r="AC331" s="846">
        <f t="shared" si="388"/>
        <v>0</v>
      </c>
      <c r="AD331" s="846">
        <f t="shared" si="388"/>
        <v>0</v>
      </c>
      <c r="AE331" s="846">
        <f t="shared" si="387"/>
        <v>0</v>
      </c>
      <c r="AF331" s="846">
        <f t="shared" si="387"/>
        <v>0</v>
      </c>
      <c r="AG331" s="846">
        <f t="shared" si="387"/>
        <v>0</v>
      </c>
      <c r="AH331" s="846">
        <f t="shared" si="387"/>
        <v>0</v>
      </c>
      <c r="AI331" s="846">
        <f t="shared" ref="AI331:AO331" si="389">SUM(AI327:AI330)</f>
        <v>0</v>
      </c>
      <c r="AJ331" s="846">
        <f t="shared" si="389"/>
        <v>0</v>
      </c>
      <c r="AK331" s="846">
        <f t="shared" si="389"/>
        <v>0</v>
      </c>
      <c r="AL331" s="846">
        <f t="shared" si="389"/>
        <v>0</v>
      </c>
      <c r="AM331" s="846">
        <f t="shared" si="389"/>
        <v>0</v>
      </c>
      <c r="AN331" s="846">
        <f t="shared" si="389"/>
        <v>0</v>
      </c>
      <c r="AO331" s="846">
        <f t="shared" si="389"/>
        <v>0</v>
      </c>
      <c r="AP331" s="847">
        <f t="shared" si="387"/>
        <v>0</v>
      </c>
      <c r="AQ331" s="847">
        <f t="shared" ref="AQ331" si="390">SUM(AQ327:AQ330)</f>
        <v>0</v>
      </c>
      <c r="AR331" s="847">
        <f t="shared" si="387"/>
        <v>0</v>
      </c>
      <c r="AS331" s="847">
        <f t="shared" si="387"/>
        <v>0</v>
      </c>
      <c r="AT331" s="847">
        <f t="shared" si="387"/>
        <v>0</v>
      </c>
      <c r="AU331" s="848">
        <f t="shared" si="387"/>
        <v>0</v>
      </c>
      <c r="AV331" s="848">
        <f t="shared" si="387"/>
        <v>0</v>
      </c>
      <c r="AW331" s="848">
        <f t="shared" si="387"/>
        <v>0</v>
      </c>
      <c r="AX331" s="848">
        <f t="shared" ref="AX331:AY331" si="391">SUM(AX327:AX330)</f>
        <v>0</v>
      </c>
      <c r="AY331" s="848">
        <f t="shared" si="391"/>
        <v>0</v>
      </c>
      <c r="AZ331" s="848">
        <f t="shared" si="387"/>
        <v>0</v>
      </c>
      <c r="BA331" s="849">
        <f t="shared" si="387"/>
        <v>0</v>
      </c>
      <c r="BB331" s="849">
        <f t="shared" si="387"/>
        <v>0</v>
      </c>
      <c r="BC331" s="849">
        <f t="shared" si="387"/>
        <v>0</v>
      </c>
      <c r="BD331" s="849">
        <f t="shared" si="387"/>
        <v>0</v>
      </c>
      <c r="BE331" s="845">
        <f t="shared" si="387"/>
        <v>0</v>
      </c>
      <c r="BF331" s="845">
        <f t="shared" si="387"/>
        <v>0</v>
      </c>
      <c r="BG331" s="845">
        <f t="shared" si="387"/>
        <v>0</v>
      </c>
      <c r="BH331" s="845">
        <f t="shared" si="387"/>
        <v>0</v>
      </c>
      <c r="BI331" s="845">
        <f t="shared" si="387"/>
        <v>0</v>
      </c>
      <c r="BJ331" s="845">
        <f t="shared" si="387"/>
        <v>0</v>
      </c>
      <c r="BK331" s="846">
        <f t="shared" si="387"/>
        <v>0</v>
      </c>
      <c r="BL331" s="846">
        <f t="shared" si="387"/>
        <v>0</v>
      </c>
      <c r="BM331" s="846">
        <f t="shared" si="387"/>
        <v>0</v>
      </c>
      <c r="BN331" s="846">
        <f t="shared" si="387"/>
        <v>0</v>
      </c>
      <c r="BO331" s="846">
        <f t="shared" si="387"/>
        <v>0</v>
      </c>
      <c r="BP331" s="846">
        <f t="shared" si="387"/>
        <v>0</v>
      </c>
      <c r="BQ331" s="846">
        <f t="shared" si="387"/>
        <v>0</v>
      </c>
      <c r="BR331" s="846">
        <f t="shared" ref="BR331" si="392">SUM(BR327:BR330)</f>
        <v>0</v>
      </c>
      <c r="BS331" s="846">
        <f t="shared" ref="BS331" si="393">SUM(BS327:BS330)</f>
        <v>0</v>
      </c>
      <c r="BT331" s="846">
        <f t="shared" si="387"/>
        <v>0</v>
      </c>
      <c r="BU331" s="846">
        <f t="shared" si="387"/>
        <v>0</v>
      </c>
      <c r="BV331" s="846">
        <f t="shared" si="387"/>
        <v>0</v>
      </c>
      <c r="BW331" s="847">
        <f t="shared" si="387"/>
        <v>0</v>
      </c>
      <c r="BX331" s="847">
        <f t="shared" si="387"/>
        <v>0</v>
      </c>
      <c r="BY331" s="847">
        <f t="shared" si="387"/>
        <v>0</v>
      </c>
      <c r="BZ331" s="847">
        <f t="shared" si="387"/>
        <v>0</v>
      </c>
      <c r="CA331" s="847">
        <f t="shared" si="387"/>
        <v>0</v>
      </c>
      <c r="CB331" s="847">
        <f t="shared" ref="CB331" si="394">SUM(CB327:CB330)</f>
        <v>0</v>
      </c>
      <c r="CC331" s="847">
        <f t="shared" si="387"/>
        <v>0</v>
      </c>
      <c r="CD331" s="847">
        <f t="shared" si="387"/>
        <v>0</v>
      </c>
      <c r="CE331" s="847">
        <f t="shared" si="387"/>
        <v>0</v>
      </c>
      <c r="CF331" s="847">
        <f t="shared" si="387"/>
        <v>0</v>
      </c>
      <c r="CG331" s="847">
        <f t="shared" si="387"/>
        <v>0</v>
      </c>
      <c r="CH331" s="847">
        <f t="shared" si="387"/>
        <v>0</v>
      </c>
      <c r="CI331" s="847">
        <f t="shared" si="387"/>
        <v>0</v>
      </c>
      <c r="CJ331" s="847">
        <f t="shared" si="387"/>
        <v>0</v>
      </c>
      <c r="CK331" s="847">
        <f t="shared" si="387"/>
        <v>0</v>
      </c>
      <c r="CL331" s="847">
        <f t="shared" si="387"/>
        <v>0</v>
      </c>
      <c r="CM331" s="847">
        <f t="shared" ref="CM331:DO331" si="395">SUM(CM327:CM330)</f>
        <v>0</v>
      </c>
      <c r="CN331" s="847">
        <f t="shared" si="395"/>
        <v>0</v>
      </c>
      <c r="CO331" s="848">
        <f t="shared" si="395"/>
        <v>0</v>
      </c>
      <c r="CP331" s="848">
        <f t="shared" si="395"/>
        <v>0</v>
      </c>
      <c r="CQ331" s="848">
        <f t="shared" si="395"/>
        <v>0</v>
      </c>
      <c r="CR331" s="848">
        <f t="shared" si="395"/>
        <v>0</v>
      </c>
      <c r="CS331" s="848">
        <f t="shared" si="395"/>
        <v>0</v>
      </c>
      <c r="CT331" s="848">
        <f t="shared" si="395"/>
        <v>0</v>
      </c>
      <c r="CU331" s="848">
        <f t="shared" si="395"/>
        <v>0</v>
      </c>
      <c r="CV331" s="848">
        <f t="shared" si="395"/>
        <v>0</v>
      </c>
      <c r="CW331" s="848">
        <f t="shared" si="395"/>
        <v>0</v>
      </c>
      <c r="CX331" s="848">
        <f t="shared" si="395"/>
        <v>0</v>
      </c>
      <c r="CY331" s="848">
        <f t="shared" si="395"/>
        <v>0</v>
      </c>
      <c r="CZ331" s="848">
        <f t="shared" si="395"/>
        <v>0</v>
      </c>
      <c r="DA331" s="848">
        <f t="shared" si="395"/>
        <v>0</v>
      </c>
      <c r="DB331" s="848">
        <f t="shared" si="395"/>
        <v>0</v>
      </c>
      <c r="DC331" s="845">
        <f t="shared" si="395"/>
        <v>0</v>
      </c>
      <c r="DD331" s="845">
        <f t="shared" si="395"/>
        <v>0</v>
      </c>
      <c r="DE331" s="845">
        <f t="shared" si="395"/>
        <v>0</v>
      </c>
      <c r="DF331" s="845">
        <f t="shared" si="395"/>
        <v>0</v>
      </c>
      <c r="DG331" s="845">
        <f t="shared" si="395"/>
        <v>0</v>
      </c>
      <c r="DH331" s="845">
        <f t="shared" si="395"/>
        <v>0</v>
      </c>
      <c r="DI331" s="845">
        <f t="shared" si="395"/>
        <v>0</v>
      </c>
      <c r="DJ331" s="845">
        <f t="shared" si="395"/>
        <v>0</v>
      </c>
      <c r="DK331" s="850">
        <f t="shared" si="395"/>
        <v>0</v>
      </c>
      <c r="DL331" s="830">
        <f t="shared" si="395"/>
        <v>0</v>
      </c>
      <c r="DM331" s="831">
        <f t="shared" si="395"/>
        <v>0</v>
      </c>
      <c r="DN331" s="831">
        <f t="shared" si="395"/>
        <v>0</v>
      </c>
      <c r="DO331" s="832">
        <f t="shared" si="395"/>
        <v>0</v>
      </c>
      <c r="DP331" s="833"/>
      <c r="DQ331" s="833"/>
      <c r="DR331" s="833"/>
      <c r="DS331" s="833"/>
    </row>
    <row r="332" spans="2:127" s="789" customFormat="1" ht="32.1" customHeight="1" collapsed="1" thickBot="1" x14ac:dyDescent="0.4">
      <c r="B332" s="985" t="s">
        <v>255</v>
      </c>
      <c r="C332" s="840"/>
      <c r="D332" s="841"/>
      <c r="E332" s="784" t="s">
        <v>256</v>
      </c>
      <c r="F332" s="842"/>
      <c r="G332" s="843"/>
      <c r="H332" s="784"/>
      <c r="I332" s="842" t="s">
        <v>293</v>
      </c>
      <c r="J332" s="395">
        <f>SUMIF($E288:$E331,$E332,J288:J331)</f>
        <v>0</v>
      </c>
      <c r="K332" s="395">
        <f t="shared" ref="K332:CL332" si="396">SUMIF($E288:$E331,$E332,K288:K331)</f>
        <v>0</v>
      </c>
      <c r="L332" s="395">
        <f t="shared" si="396"/>
        <v>0</v>
      </c>
      <c r="M332" s="395">
        <f t="shared" si="396"/>
        <v>0</v>
      </c>
      <c r="N332" s="395">
        <f t="shared" si="396"/>
        <v>0</v>
      </c>
      <c r="O332" s="395">
        <f t="shared" si="396"/>
        <v>0</v>
      </c>
      <c r="P332" s="395">
        <f t="shared" si="396"/>
        <v>0</v>
      </c>
      <c r="Q332" s="395">
        <f t="shared" si="396"/>
        <v>0</v>
      </c>
      <c r="R332" s="395">
        <f t="shared" si="396"/>
        <v>0</v>
      </c>
      <c r="S332" s="395">
        <f t="shared" si="396"/>
        <v>0</v>
      </c>
      <c r="T332" s="395">
        <f t="shared" si="396"/>
        <v>0</v>
      </c>
      <c r="U332" s="396">
        <f t="shared" si="396"/>
        <v>0</v>
      </c>
      <c r="V332" s="396">
        <f t="shared" si="396"/>
        <v>0</v>
      </c>
      <c r="W332" s="396">
        <f t="shared" si="396"/>
        <v>0</v>
      </c>
      <c r="X332" s="396">
        <f t="shared" si="396"/>
        <v>0</v>
      </c>
      <c r="Y332" s="396">
        <f t="shared" si="396"/>
        <v>0</v>
      </c>
      <c r="Z332" s="396">
        <f t="shared" si="396"/>
        <v>0</v>
      </c>
      <c r="AA332" s="396">
        <f t="shared" si="396"/>
        <v>0</v>
      </c>
      <c r="AB332" s="396">
        <f t="shared" ref="AB332:AD332" si="397">SUMIF($E288:$E331,$E332,AB288:AB331)</f>
        <v>0</v>
      </c>
      <c r="AC332" s="396">
        <f t="shared" si="397"/>
        <v>0</v>
      </c>
      <c r="AD332" s="396">
        <f t="shared" si="397"/>
        <v>0</v>
      </c>
      <c r="AE332" s="396">
        <f t="shared" si="396"/>
        <v>0</v>
      </c>
      <c r="AF332" s="396">
        <f t="shared" si="396"/>
        <v>0</v>
      </c>
      <c r="AG332" s="396">
        <f t="shared" si="396"/>
        <v>0</v>
      </c>
      <c r="AH332" s="396">
        <f t="shared" si="396"/>
        <v>0</v>
      </c>
      <c r="AI332" s="396">
        <f t="shared" ref="AI332:AO332" si="398">SUMIF($E288:$E331,$E332,AI288:AI331)</f>
        <v>0</v>
      </c>
      <c r="AJ332" s="396">
        <f t="shared" si="398"/>
        <v>0</v>
      </c>
      <c r="AK332" s="396">
        <f t="shared" si="398"/>
        <v>0</v>
      </c>
      <c r="AL332" s="396">
        <f t="shared" si="398"/>
        <v>0</v>
      </c>
      <c r="AM332" s="396">
        <f t="shared" si="398"/>
        <v>0</v>
      </c>
      <c r="AN332" s="396">
        <f t="shared" si="398"/>
        <v>0</v>
      </c>
      <c r="AO332" s="396">
        <f t="shared" si="398"/>
        <v>0</v>
      </c>
      <c r="AP332" s="397">
        <f t="shared" si="396"/>
        <v>0</v>
      </c>
      <c r="AQ332" s="397">
        <f t="shared" ref="AQ332" si="399">SUMIF($E288:$E331,$E332,AQ288:AQ331)</f>
        <v>0</v>
      </c>
      <c r="AR332" s="397">
        <f t="shared" si="396"/>
        <v>0</v>
      </c>
      <c r="AS332" s="397">
        <f t="shared" si="396"/>
        <v>0</v>
      </c>
      <c r="AT332" s="397">
        <f t="shared" si="396"/>
        <v>0</v>
      </c>
      <c r="AU332" s="398">
        <f t="shared" si="396"/>
        <v>0</v>
      </c>
      <c r="AV332" s="398">
        <f t="shared" si="396"/>
        <v>0</v>
      </c>
      <c r="AW332" s="398">
        <f t="shared" si="396"/>
        <v>0</v>
      </c>
      <c r="AX332" s="398">
        <f t="shared" ref="AX332:AY332" si="400">SUMIF($E288:$E331,$E332,AX288:AX331)</f>
        <v>0</v>
      </c>
      <c r="AY332" s="398">
        <f t="shared" si="400"/>
        <v>0</v>
      </c>
      <c r="AZ332" s="398">
        <f t="shared" si="396"/>
        <v>0</v>
      </c>
      <c r="BA332" s="399">
        <f t="shared" si="396"/>
        <v>0</v>
      </c>
      <c r="BB332" s="399">
        <f t="shared" si="396"/>
        <v>0</v>
      </c>
      <c r="BC332" s="399">
        <f t="shared" si="396"/>
        <v>0</v>
      </c>
      <c r="BD332" s="399">
        <f t="shared" si="396"/>
        <v>0</v>
      </c>
      <c r="BE332" s="395">
        <f t="shared" si="396"/>
        <v>0</v>
      </c>
      <c r="BF332" s="395">
        <f t="shared" si="396"/>
        <v>0</v>
      </c>
      <c r="BG332" s="395">
        <f t="shared" si="396"/>
        <v>0</v>
      </c>
      <c r="BH332" s="395">
        <f t="shared" si="396"/>
        <v>0</v>
      </c>
      <c r="BI332" s="395">
        <f t="shared" si="396"/>
        <v>0</v>
      </c>
      <c r="BJ332" s="395">
        <f t="shared" si="396"/>
        <v>0</v>
      </c>
      <c r="BK332" s="396">
        <f t="shared" si="396"/>
        <v>0</v>
      </c>
      <c r="BL332" s="396">
        <f t="shared" si="396"/>
        <v>0</v>
      </c>
      <c r="BM332" s="396">
        <f t="shared" si="396"/>
        <v>0</v>
      </c>
      <c r="BN332" s="396">
        <f t="shared" si="396"/>
        <v>0</v>
      </c>
      <c r="BO332" s="396">
        <f t="shared" si="396"/>
        <v>0</v>
      </c>
      <c r="BP332" s="396">
        <f t="shared" si="396"/>
        <v>0</v>
      </c>
      <c r="BQ332" s="396">
        <f t="shared" si="396"/>
        <v>0</v>
      </c>
      <c r="BR332" s="396">
        <f t="shared" ref="BR332" si="401">SUMIF($E288:$E331,$E332,BR288:BR331)</f>
        <v>0</v>
      </c>
      <c r="BS332" s="396">
        <f t="shared" ref="BS332" si="402">SUMIF($E288:$E331,$E332,BS288:BS331)</f>
        <v>0</v>
      </c>
      <c r="BT332" s="396">
        <f t="shared" si="396"/>
        <v>0</v>
      </c>
      <c r="BU332" s="396">
        <f t="shared" si="396"/>
        <v>0</v>
      </c>
      <c r="BV332" s="396">
        <f t="shared" si="396"/>
        <v>0</v>
      </c>
      <c r="BW332" s="397">
        <f t="shared" si="396"/>
        <v>0</v>
      </c>
      <c r="BX332" s="397">
        <f t="shared" si="396"/>
        <v>0</v>
      </c>
      <c r="BY332" s="397">
        <f t="shared" si="396"/>
        <v>0</v>
      </c>
      <c r="BZ332" s="397">
        <f t="shared" si="396"/>
        <v>0</v>
      </c>
      <c r="CA332" s="397">
        <f t="shared" si="396"/>
        <v>0</v>
      </c>
      <c r="CB332" s="397">
        <f t="shared" ref="CB332" si="403">SUMIF($E288:$E331,$E332,CB288:CB331)</f>
        <v>0</v>
      </c>
      <c r="CC332" s="397">
        <f t="shared" si="396"/>
        <v>0</v>
      </c>
      <c r="CD332" s="397">
        <f t="shared" si="396"/>
        <v>0</v>
      </c>
      <c r="CE332" s="397">
        <f t="shared" si="396"/>
        <v>0</v>
      </c>
      <c r="CF332" s="397">
        <f t="shared" si="396"/>
        <v>0</v>
      </c>
      <c r="CG332" s="397">
        <f t="shared" si="396"/>
        <v>0</v>
      </c>
      <c r="CH332" s="397">
        <f t="shared" si="396"/>
        <v>0</v>
      </c>
      <c r="CI332" s="397">
        <f t="shared" si="396"/>
        <v>0</v>
      </c>
      <c r="CJ332" s="397">
        <f t="shared" si="396"/>
        <v>0</v>
      </c>
      <c r="CK332" s="397">
        <f t="shared" si="396"/>
        <v>0</v>
      </c>
      <c r="CL332" s="397">
        <f t="shared" si="396"/>
        <v>0</v>
      </c>
      <c r="CM332" s="397">
        <f t="shared" ref="CM332:DO332" si="404">SUMIF($E288:$E331,$E332,CM288:CM331)</f>
        <v>0</v>
      </c>
      <c r="CN332" s="397">
        <f t="shared" si="404"/>
        <v>0</v>
      </c>
      <c r="CO332" s="398">
        <f t="shared" si="404"/>
        <v>0</v>
      </c>
      <c r="CP332" s="398">
        <f t="shared" si="404"/>
        <v>0</v>
      </c>
      <c r="CQ332" s="398">
        <f t="shared" si="404"/>
        <v>0</v>
      </c>
      <c r="CR332" s="398">
        <f t="shared" si="404"/>
        <v>0</v>
      </c>
      <c r="CS332" s="398">
        <f t="shared" si="404"/>
        <v>0</v>
      </c>
      <c r="CT332" s="398">
        <f t="shared" si="404"/>
        <v>0</v>
      </c>
      <c r="CU332" s="398">
        <f t="shared" si="404"/>
        <v>0</v>
      </c>
      <c r="CV332" s="398">
        <f t="shared" si="404"/>
        <v>0</v>
      </c>
      <c r="CW332" s="398">
        <f t="shared" si="404"/>
        <v>0</v>
      </c>
      <c r="CX332" s="398">
        <f t="shared" si="404"/>
        <v>0</v>
      </c>
      <c r="CY332" s="398">
        <f t="shared" si="404"/>
        <v>0</v>
      </c>
      <c r="CZ332" s="398">
        <f t="shared" si="404"/>
        <v>0</v>
      </c>
      <c r="DA332" s="398">
        <f t="shared" si="404"/>
        <v>0</v>
      </c>
      <c r="DB332" s="398">
        <f t="shared" si="404"/>
        <v>0</v>
      </c>
      <c r="DC332" s="395">
        <f t="shared" si="404"/>
        <v>0</v>
      </c>
      <c r="DD332" s="395">
        <f t="shared" si="404"/>
        <v>0</v>
      </c>
      <c r="DE332" s="395">
        <f t="shared" si="404"/>
        <v>0</v>
      </c>
      <c r="DF332" s="395">
        <f t="shared" si="404"/>
        <v>0</v>
      </c>
      <c r="DG332" s="395">
        <f t="shared" si="404"/>
        <v>0</v>
      </c>
      <c r="DH332" s="395">
        <f t="shared" si="404"/>
        <v>0</v>
      </c>
      <c r="DI332" s="395">
        <f t="shared" si="404"/>
        <v>0</v>
      </c>
      <c r="DJ332" s="395">
        <f t="shared" si="404"/>
        <v>0</v>
      </c>
      <c r="DK332" s="678">
        <f t="shared" si="404"/>
        <v>0</v>
      </c>
      <c r="DL332" s="493">
        <f t="shared" si="404"/>
        <v>0</v>
      </c>
      <c r="DM332" s="493">
        <f t="shared" si="404"/>
        <v>0</v>
      </c>
      <c r="DN332" s="493">
        <f t="shared" si="404"/>
        <v>0</v>
      </c>
      <c r="DO332" s="499">
        <f t="shared" si="404"/>
        <v>0</v>
      </c>
      <c r="DP332" s="844"/>
      <c r="DQ332" s="844"/>
      <c r="DR332" s="844"/>
      <c r="DS332" s="844"/>
    </row>
    <row r="333" spans="2:127" s="789" customFormat="1" ht="31.5" customHeight="1" thickBot="1" x14ac:dyDescent="0.4">
      <c r="B333" s="851" t="s">
        <v>154</v>
      </c>
      <c r="C333" s="852"/>
      <c r="D333" s="859"/>
      <c r="E333" s="858"/>
      <c r="F333" s="853"/>
      <c r="G333" s="854"/>
      <c r="H333" s="788"/>
      <c r="I333" s="855" t="s">
        <v>294</v>
      </c>
      <c r="J333" s="153">
        <f>SUMIF($B$18:$B$332,$B332,J$18:J$332)</f>
        <v>157</v>
      </c>
      <c r="K333" s="153">
        <f t="shared" ref="K333:CL333" si="405">SUMIF($B$18:$B$332,$B332,K$18:K$332)</f>
        <v>185</v>
      </c>
      <c r="L333" s="153">
        <f t="shared" si="405"/>
        <v>75</v>
      </c>
      <c r="M333" s="153">
        <f t="shared" si="405"/>
        <v>0</v>
      </c>
      <c r="N333" s="153">
        <f t="shared" si="405"/>
        <v>0</v>
      </c>
      <c r="O333" s="153">
        <f t="shared" si="405"/>
        <v>82</v>
      </c>
      <c r="P333" s="153">
        <f t="shared" si="405"/>
        <v>170</v>
      </c>
      <c r="Q333" s="153">
        <f t="shared" si="405"/>
        <v>75</v>
      </c>
      <c r="R333" s="153">
        <f t="shared" si="405"/>
        <v>0</v>
      </c>
      <c r="S333" s="153">
        <f t="shared" si="405"/>
        <v>0</v>
      </c>
      <c r="T333" s="153">
        <f t="shared" si="405"/>
        <v>147</v>
      </c>
      <c r="U333" s="154">
        <f t="shared" si="405"/>
        <v>60</v>
      </c>
      <c r="V333" s="154">
        <f t="shared" si="405"/>
        <v>179</v>
      </c>
      <c r="W333" s="154">
        <f t="shared" si="405"/>
        <v>934</v>
      </c>
      <c r="X333" s="154">
        <f t="shared" si="405"/>
        <v>106</v>
      </c>
      <c r="Y333" s="154">
        <f t="shared" si="405"/>
        <v>143</v>
      </c>
      <c r="Z333" s="154">
        <f t="shared" si="405"/>
        <v>145</v>
      </c>
      <c r="AA333" s="154">
        <f t="shared" si="405"/>
        <v>70</v>
      </c>
      <c r="AB333" s="154">
        <f t="shared" ref="AB333:AD333" si="406">SUMIF($B$18:$B$332,$B332,AB$18:AB$332)</f>
        <v>0</v>
      </c>
      <c r="AC333" s="154">
        <f t="shared" si="406"/>
        <v>0</v>
      </c>
      <c r="AD333" s="154">
        <f t="shared" si="406"/>
        <v>0</v>
      </c>
      <c r="AE333" s="154">
        <f t="shared" si="405"/>
        <v>70</v>
      </c>
      <c r="AF333" s="154">
        <f t="shared" si="405"/>
        <v>0</v>
      </c>
      <c r="AG333" s="154">
        <f t="shared" si="405"/>
        <v>55</v>
      </c>
      <c r="AH333" s="154">
        <f t="shared" ref="AH333:BA333" si="407">SUMIF($B$18:$B$332,$B332,AH$18:AH$332)</f>
        <v>4</v>
      </c>
      <c r="AI333" s="154">
        <f t="shared" ref="AI333:AO333" si="408">SUMIF($B$18:$B$332,$B332,AI$18:AI$332)</f>
        <v>0</v>
      </c>
      <c r="AJ333" s="154">
        <f t="shared" si="408"/>
        <v>0</v>
      </c>
      <c r="AK333" s="154">
        <f t="shared" si="408"/>
        <v>0</v>
      </c>
      <c r="AL333" s="154">
        <f t="shared" si="408"/>
        <v>0</v>
      </c>
      <c r="AM333" s="154">
        <f t="shared" si="408"/>
        <v>0</v>
      </c>
      <c r="AN333" s="154">
        <f t="shared" si="408"/>
        <v>0</v>
      </c>
      <c r="AO333" s="154">
        <f t="shared" si="408"/>
        <v>0</v>
      </c>
      <c r="AP333" s="155">
        <f t="shared" si="407"/>
        <v>67</v>
      </c>
      <c r="AQ333" s="155">
        <f t="shared" ref="AQ333" si="409">SUMIF($B$18:$B$332,$B332,AQ$18:AQ$332)</f>
        <v>0</v>
      </c>
      <c r="AR333" s="155">
        <f t="shared" si="407"/>
        <v>450</v>
      </c>
      <c r="AS333" s="155">
        <f t="shared" si="407"/>
        <v>700</v>
      </c>
      <c r="AT333" s="155">
        <f t="shared" si="407"/>
        <v>0</v>
      </c>
      <c r="AU333" s="156">
        <f t="shared" si="407"/>
        <v>600</v>
      </c>
      <c r="AV333" s="156">
        <f t="shared" si="407"/>
        <v>0</v>
      </c>
      <c r="AW333" s="156">
        <f t="shared" si="407"/>
        <v>0</v>
      </c>
      <c r="AX333" s="156">
        <f t="shared" ref="AX333:AY333" si="410">SUMIF($B$18:$B$332,$B332,AX$18:AX$332)</f>
        <v>0</v>
      </c>
      <c r="AY333" s="156">
        <f t="shared" si="410"/>
        <v>0</v>
      </c>
      <c r="AZ333" s="156">
        <f t="shared" si="407"/>
        <v>0</v>
      </c>
      <c r="BA333" s="157">
        <f t="shared" si="407"/>
        <v>52.5</v>
      </c>
      <c r="BB333" s="157">
        <f t="shared" si="405"/>
        <v>3</v>
      </c>
      <c r="BC333" s="157">
        <f t="shared" si="405"/>
        <v>0</v>
      </c>
      <c r="BD333" s="157">
        <f t="shared" si="405"/>
        <v>0</v>
      </c>
      <c r="BE333" s="153">
        <f t="shared" si="405"/>
        <v>30</v>
      </c>
      <c r="BF333" s="153">
        <f t="shared" si="405"/>
        <v>105</v>
      </c>
      <c r="BG333" s="153">
        <f t="shared" si="405"/>
        <v>81</v>
      </c>
      <c r="BH333" s="153">
        <f t="shared" si="405"/>
        <v>20</v>
      </c>
      <c r="BI333" s="153">
        <f t="shared" si="405"/>
        <v>0</v>
      </c>
      <c r="BJ333" s="153">
        <f t="shared" si="405"/>
        <v>0</v>
      </c>
      <c r="BK333" s="154">
        <f t="shared" si="405"/>
        <v>112.5</v>
      </c>
      <c r="BL333" s="154">
        <f t="shared" si="405"/>
        <v>85</v>
      </c>
      <c r="BM333" s="154">
        <f t="shared" si="405"/>
        <v>0</v>
      </c>
      <c r="BN333" s="154">
        <f t="shared" si="405"/>
        <v>150</v>
      </c>
      <c r="BO333" s="154">
        <f t="shared" si="405"/>
        <v>360</v>
      </c>
      <c r="BP333" s="154">
        <f t="shared" si="405"/>
        <v>260</v>
      </c>
      <c r="BQ333" s="154">
        <f t="shared" si="405"/>
        <v>112.5</v>
      </c>
      <c r="BR333" s="154">
        <f t="shared" ref="BR333" si="411">SUMIF($B$18:$B$332,$B332,BR$18:BR$332)</f>
        <v>0</v>
      </c>
      <c r="BS333" s="154">
        <f t="shared" ref="BS333" si="412">SUMIF($B$18:$B$332,$B332,BS$18:BS$332)</f>
        <v>0</v>
      </c>
      <c r="BT333" s="154">
        <f t="shared" si="405"/>
        <v>0</v>
      </c>
      <c r="BU333" s="154">
        <f t="shared" si="405"/>
        <v>0</v>
      </c>
      <c r="BV333" s="154">
        <f t="shared" si="405"/>
        <v>0</v>
      </c>
      <c r="BW333" s="155">
        <f t="shared" si="405"/>
        <v>0.5</v>
      </c>
      <c r="BX333" s="155">
        <f t="shared" si="405"/>
        <v>1.5</v>
      </c>
      <c r="BY333" s="155">
        <f t="shared" si="405"/>
        <v>0</v>
      </c>
      <c r="BZ333" s="155">
        <f t="shared" si="405"/>
        <v>0</v>
      </c>
      <c r="CA333" s="155">
        <f t="shared" si="405"/>
        <v>0</v>
      </c>
      <c r="CB333" s="155">
        <f t="shared" ref="CB333" si="413">SUMIF($B$18:$B$332,$B332,CB$18:CB$332)</f>
        <v>0</v>
      </c>
      <c r="CC333" s="155">
        <f t="shared" si="405"/>
        <v>0</v>
      </c>
      <c r="CD333" s="155">
        <f t="shared" si="405"/>
        <v>0</v>
      </c>
      <c r="CE333" s="155">
        <f t="shared" si="405"/>
        <v>185</v>
      </c>
      <c r="CF333" s="155">
        <f t="shared" si="405"/>
        <v>2</v>
      </c>
      <c r="CG333" s="155">
        <f t="shared" si="405"/>
        <v>4.5</v>
      </c>
      <c r="CH333" s="155">
        <f t="shared" si="405"/>
        <v>600</v>
      </c>
      <c r="CI333" s="155">
        <f t="shared" si="405"/>
        <v>0</v>
      </c>
      <c r="CJ333" s="155">
        <f t="shared" si="405"/>
        <v>24</v>
      </c>
      <c r="CK333" s="155">
        <f t="shared" si="405"/>
        <v>24</v>
      </c>
      <c r="CL333" s="155">
        <f t="shared" si="405"/>
        <v>12</v>
      </c>
      <c r="CM333" s="155">
        <f t="shared" ref="CM333:DO333" si="414">SUMIF($B$18:$B$332,$B332,CM$18:CM$332)</f>
        <v>0</v>
      </c>
      <c r="CN333" s="155">
        <f t="shared" si="414"/>
        <v>0</v>
      </c>
      <c r="CO333" s="156">
        <f t="shared" si="414"/>
        <v>0</v>
      </c>
      <c r="CP333" s="156">
        <f t="shared" si="414"/>
        <v>0</v>
      </c>
      <c r="CQ333" s="156">
        <f t="shared" si="414"/>
        <v>60</v>
      </c>
      <c r="CR333" s="156">
        <f t="shared" si="414"/>
        <v>0</v>
      </c>
      <c r="CS333" s="156">
        <f t="shared" si="414"/>
        <v>0</v>
      </c>
      <c r="CT333" s="156">
        <f t="shared" si="414"/>
        <v>120</v>
      </c>
      <c r="CU333" s="156">
        <f t="shared" si="414"/>
        <v>0</v>
      </c>
      <c r="CV333" s="156">
        <f t="shared" si="414"/>
        <v>0</v>
      </c>
      <c r="CW333" s="156">
        <f t="shared" si="414"/>
        <v>0</v>
      </c>
      <c r="CX333" s="156">
        <f t="shared" si="414"/>
        <v>0</v>
      </c>
      <c r="CY333" s="156">
        <f t="shared" si="414"/>
        <v>0</v>
      </c>
      <c r="CZ333" s="156">
        <f t="shared" si="414"/>
        <v>0</v>
      </c>
      <c r="DA333" s="156">
        <f t="shared" si="414"/>
        <v>0</v>
      </c>
      <c r="DB333" s="156">
        <f t="shared" si="414"/>
        <v>0</v>
      </c>
      <c r="DC333" s="153">
        <f t="shared" si="414"/>
        <v>0</v>
      </c>
      <c r="DD333" s="153">
        <f t="shared" si="414"/>
        <v>0</v>
      </c>
      <c r="DE333" s="153">
        <f t="shared" si="414"/>
        <v>0</v>
      </c>
      <c r="DF333" s="153">
        <f t="shared" si="414"/>
        <v>0</v>
      </c>
      <c r="DG333" s="153">
        <f t="shared" si="414"/>
        <v>0</v>
      </c>
      <c r="DH333" s="153">
        <f t="shared" si="414"/>
        <v>0</v>
      </c>
      <c r="DI333" s="153">
        <f t="shared" si="414"/>
        <v>0</v>
      </c>
      <c r="DJ333" s="153">
        <f t="shared" si="414"/>
        <v>0</v>
      </c>
      <c r="DK333" s="679">
        <f t="shared" si="414"/>
        <v>0</v>
      </c>
      <c r="DL333" s="856">
        <f t="shared" si="414"/>
        <v>5606.3333333333339</v>
      </c>
      <c r="DM333" s="856">
        <f t="shared" si="414"/>
        <v>6970</v>
      </c>
      <c r="DN333" s="856">
        <f t="shared" si="414"/>
        <v>1080</v>
      </c>
      <c r="DO333" s="857">
        <f t="shared" si="414"/>
        <v>600</v>
      </c>
      <c r="DP333" s="844"/>
      <c r="DQ333" s="844"/>
      <c r="DR333" s="844"/>
      <c r="DS333" s="844"/>
    </row>
    <row r="334" spans="2:127" ht="15.75" customHeight="1" x14ac:dyDescent="0.45">
      <c r="B334" s="807"/>
      <c r="C334" s="808"/>
      <c r="D334" s="790"/>
      <c r="E334" s="86"/>
      <c r="F334" s="85"/>
      <c r="G334" s="85"/>
      <c r="H334" s="85"/>
      <c r="I334" s="78"/>
      <c r="J334" s="131"/>
      <c r="K334" s="131"/>
      <c r="L334" s="131"/>
      <c r="M334" s="131"/>
      <c r="N334" s="131"/>
      <c r="O334" s="131"/>
      <c r="P334" s="131"/>
      <c r="Q334" s="131"/>
      <c r="R334" s="131"/>
      <c r="S334" s="131"/>
      <c r="T334" s="131"/>
      <c r="U334" s="136"/>
      <c r="V334" s="136"/>
      <c r="W334" s="136"/>
      <c r="X334" s="136"/>
      <c r="Y334" s="136"/>
      <c r="Z334" s="136"/>
      <c r="AA334" s="136"/>
      <c r="AB334" s="136"/>
      <c r="AC334" s="136"/>
      <c r="AD334" s="136"/>
      <c r="AE334" s="136"/>
      <c r="AF334" s="136"/>
      <c r="AG334" s="136"/>
      <c r="AH334" s="136"/>
      <c r="AI334" s="136"/>
      <c r="AJ334" s="136"/>
      <c r="AK334" s="136"/>
      <c r="AL334" s="136"/>
      <c r="AM334" s="136"/>
      <c r="AN334" s="136"/>
      <c r="AO334" s="136"/>
      <c r="AP334" s="139"/>
      <c r="AQ334" s="139"/>
      <c r="AR334" s="139"/>
      <c r="AS334" s="139"/>
      <c r="AT334" s="139"/>
      <c r="AU334" s="147"/>
      <c r="AV334" s="147"/>
      <c r="AW334" s="147"/>
      <c r="AX334" s="147"/>
      <c r="AY334" s="147"/>
      <c r="AZ334" s="147"/>
      <c r="BA334" s="143"/>
      <c r="BB334" s="143"/>
      <c r="BC334" s="143"/>
      <c r="BD334" s="143"/>
      <c r="BE334" s="131"/>
      <c r="BF334" s="131"/>
      <c r="BG334" s="131"/>
      <c r="BH334" s="131"/>
      <c r="BI334" s="131"/>
      <c r="BJ334" s="131"/>
      <c r="BK334" s="136"/>
      <c r="BL334" s="136"/>
      <c r="BM334" s="136"/>
      <c r="BN334" s="136"/>
      <c r="BO334" s="136"/>
      <c r="BP334" s="136"/>
      <c r="BQ334" s="136"/>
      <c r="BR334" s="136"/>
      <c r="BS334" s="136"/>
      <c r="BT334" s="136"/>
      <c r="BU334" s="136"/>
      <c r="BV334" s="136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49"/>
      <c r="CI334" s="139"/>
      <c r="CJ334" s="139"/>
      <c r="CK334" s="1031"/>
      <c r="CL334" s="1031"/>
      <c r="CM334" s="1031"/>
      <c r="CN334" s="1031"/>
      <c r="CO334" s="1031"/>
      <c r="CP334" s="1031"/>
      <c r="CQ334" s="1031"/>
      <c r="CR334" s="1031"/>
      <c r="CS334" s="1034"/>
      <c r="CT334" s="1034"/>
      <c r="CU334" s="1034"/>
      <c r="CV334" s="1034"/>
      <c r="CW334" s="1031"/>
      <c r="CX334" s="1031"/>
      <c r="CY334" s="1033"/>
      <c r="CZ334" s="1031"/>
      <c r="DA334" s="1031"/>
      <c r="DB334" s="1031"/>
      <c r="DC334" s="1031"/>
      <c r="DD334" s="1031"/>
      <c r="DE334" s="1031"/>
      <c r="DF334" s="1031"/>
      <c r="DG334" s="1031"/>
      <c r="DH334" s="1031"/>
      <c r="DI334" s="1031"/>
      <c r="DJ334" s="1031"/>
      <c r="DK334" s="1031"/>
      <c r="DL334" s="1031"/>
      <c r="DM334" s="1031"/>
      <c r="DN334" s="1031"/>
      <c r="DO334" s="1031"/>
      <c r="DP334" s="1031"/>
      <c r="DQ334" s="1032"/>
      <c r="DR334" s="1032"/>
      <c r="DS334" s="1032"/>
      <c r="DT334" s="1032"/>
      <c r="DU334" s="1032"/>
      <c r="DV334" s="1032"/>
      <c r="DW334" s="1032"/>
    </row>
    <row r="335" spans="2:127" s="1025" customFormat="1" ht="28.5" customHeight="1" x14ac:dyDescent="0.45">
      <c r="B335" s="1022"/>
      <c r="C335" s="1022"/>
      <c r="D335" s="1026"/>
      <c r="E335" s="1027"/>
      <c r="F335" s="1027"/>
      <c r="G335" s="1027"/>
      <c r="H335" s="1027"/>
      <c r="I335" s="983" t="s">
        <v>155</v>
      </c>
      <c r="J335" s="152"/>
      <c r="K335" s="152"/>
      <c r="L335" s="152"/>
      <c r="M335" s="152"/>
      <c r="N335" s="152"/>
      <c r="O335" s="152"/>
      <c r="P335" s="995"/>
      <c r="Q335" s="1023"/>
      <c r="R335" s="1023"/>
      <c r="S335" s="1023"/>
      <c r="T335" s="1023"/>
      <c r="U335" s="1023"/>
      <c r="V335" s="1023"/>
      <c r="W335" s="1023"/>
      <c r="X335" s="1023"/>
      <c r="Y335" s="1023"/>
      <c r="Z335" s="1023"/>
      <c r="AA335" s="1023"/>
      <c r="AB335" s="1023"/>
      <c r="AC335" s="1023"/>
      <c r="AD335" s="1023"/>
      <c r="AE335" s="1023"/>
      <c r="AF335" s="1023"/>
      <c r="AG335" s="1023"/>
      <c r="AH335" s="1023"/>
      <c r="AI335" s="1023"/>
      <c r="AJ335" s="1023"/>
      <c r="AK335" s="1031"/>
      <c r="AL335" s="1031"/>
      <c r="AM335" s="1031"/>
      <c r="AN335" s="1031"/>
      <c r="AO335" s="1031"/>
      <c r="AP335" s="1031"/>
      <c r="AQ335" s="1031"/>
      <c r="AR335" s="1031"/>
      <c r="AS335" s="1031"/>
      <c r="AT335" s="1031"/>
      <c r="AU335" s="1031"/>
      <c r="AV335" s="1031"/>
      <c r="AW335" s="1031"/>
      <c r="AX335" s="1031"/>
      <c r="AY335" s="1031"/>
      <c r="AZ335" s="1031"/>
      <c r="BA335" s="1031"/>
      <c r="BB335" s="1031"/>
      <c r="BC335" s="1031"/>
      <c r="BD335" s="1031"/>
      <c r="BE335" s="1031"/>
      <c r="BF335" s="1031"/>
      <c r="BG335" s="1031"/>
      <c r="BH335" s="1031"/>
      <c r="BI335" s="1031"/>
      <c r="BJ335" s="1031"/>
      <c r="BK335" s="1031"/>
      <c r="BL335" s="1031"/>
      <c r="BM335" s="1031"/>
      <c r="BN335" s="1031"/>
      <c r="BO335" s="1031"/>
      <c r="BP335" s="1031"/>
      <c r="BQ335" s="1031"/>
      <c r="BR335" s="1031"/>
      <c r="BS335" s="1031"/>
      <c r="BT335" s="1031"/>
      <c r="BU335" s="1031"/>
      <c r="BV335" s="1031"/>
      <c r="BW335" s="1031"/>
      <c r="BX335" s="1031"/>
      <c r="BY335" s="1031"/>
      <c r="BZ335" s="1031"/>
      <c r="CA335" s="1031"/>
      <c r="CB335" s="1031"/>
      <c r="CC335" s="1031"/>
      <c r="CD335" s="1031"/>
      <c r="CE335" s="1031"/>
      <c r="CF335" s="1031"/>
      <c r="CG335" s="1031"/>
      <c r="CH335" s="1031"/>
      <c r="CI335" s="1031" t="s">
        <v>265</v>
      </c>
      <c r="CJ335" s="1031"/>
      <c r="CK335" s="1031"/>
      <c r="CL335" s="1031"/>
      <c r="CM335" s="1031"/>
      <c r="CN335" s="1031"/>
      <c r="CO335" s="1031"/>
      <c r="CP335" s="1031"/>
      <c r="CQ335" s="1031"/>
      <c r="CR335" s="1031"/>
      <c r="CS335" s="1031"/>
      <c r="CT335" s="1031"/>
      <c r="CU335" s="1031"/>
      <c r="CV335" s="1031"/>
      <c r="CW335" s="1031"/>
      <c r="CX335" s="1031"/>
      <c r="CY335" s="1031"/>
      <c r="CZ335" s="1031"/>
      <c r="DA335" s="1031"/>
      <c r="DB335" s="1031"/>
      <c r="DC335" s="1031"/>
      <c r="DD335" s="1031"/>
      <c r="DE335" s="1031"/>
      <c r="DF335" s="1031"/>
      <c r="DG335" s="1031"/>
      <c r="DH335" s="1031"/>
      <c r="DI335" s="1031"/>
      <c r="DJ335" s="1031"/>
      <c r="DK335" s="1031"/>
      <c r="DL335" s="1031"/>
      <c r="DM335" s="1031"/>
      <c r="DN335" s="1031"/>
      <c r="DO335" s="1031"/>
      <c r="DP335" s="1031"/>
      <c r="DQ335" s="1032"/>
      <c r="DR335" s="1032"/>
      <c r="DS335" s="1032"/>
      <c r="DT335" s="1032"/>
      <c r="DU335" s="1032"/>
      <c r="DV335" s="1032"/>
      <c r="DW335" s="1032"/>
    </row>
    <row r="336" spans="2:127" s="1025" customFormat="1" ht="13.5" customHeight="1" x14ac:dyDescent="0.45">
      <c r="B336" s="1022"/>
      <c r="C336" s="1022"/>
      <c r="D336" s="1026"/>
      <c r="E336" s="1027"/>
      <c r="F336" s="1027"/>
      <c r="G336" s="1027"/>
      <c r="H336" s="1027"/>
      <c r="I336" s="78" t="s">
        <v>123</v>
      </c>
      <c r="J336" s="1022"/>
      <c r="K336" s="1022"/>
      <c r="L336" s="1022"/>
      <c r="M336" s="1022"/>
      <c r="N336" s="1022"/>
      <c r="O336" s="1022"/>
      <c r="P336" s="1022"/>
      <c r="Q336" s="1022"/>
      <c r="R336" s="1022"/>
      <c r="S336" s="1022"/>
      <c r="T336" s="1022"/>
      <c r="U336" s="1022"/>
      <c r="V336" s="1022"/>
      <c r="W336" s="1022"/>
      <c r="X336" s="1022"/>
      <c r="Y336" s="1022"/>
      <c r="Z336" s="1022"/>
      <c r="AA336" s="1022"/>
      <c r="AB336" s="1022"/>
      <c r="AC336" s="1022"/>
      <c r="AD336" s="1022"/>
      <c r="AE336" s="1022"/>
      <c r="AF336" s="1022"/>
      <c r="AG336" s="1022"/>
      <c r="AH336" s="1022"/>
      <c r="AI336" s="1022"/>
      <c r="AJ336" s="1022"/>
      <c r="AK336" s="1031"/>
      <c r="AL336" s="1031"/>
      <c r="AM336" s="1031"/>
      <c r="AN336" s="1031"/>
      <c r="AO336" s="1031"/>
      <c r="AP336" s="1031"/>
      <c r="AQ336" s="1031"/>
      <c r="AR336" s="1031"/>
      <c r="AS336" s="1031"/>
      <c r="AT336" s="1031"/>
      <c r="AU336" s="1031"/>
      <c r="AV336" s="1031"/>
      <c r="AW336" s="1031"/>
      <c r="AX336" s="1031"/>
      <c r="AY336" s="1031"/>
      <c r="AZ336" s="1031"/>
      <c r="BA336" s="1031"/>
      <c r="BB336" s="1031"/>
      <c r="BC336" s="1031"/>
      <c r="BD336" s="1031"/>
      <c r="BE336" s="1031"/>
      <c r="BF336" s="1031"/>
      <c r="BG336" s="1031"/>
      <c r="BH336" s="1031"/>
      <c r="BI336" s="1031"/>
      <c r="BJ336" s="1031"/>
      <c r="BK336" s="1031"/>
      <c r="BL336" s="1031"/>
      <c r="BM336" s="1031"/>
      <c r="BN336" s="1031"/>
      <c r="BO336" s="1031"/>
      <c r="BP336" s="1031"/>
      <c r="BQ336" s="1031"/>
      <c r="BR336" s="1031"/>
      <c r="BS336" s="1031"/>
      <c r="BT336" s="1031"/>
      <c r="BU336" s="1031"/>
      <c r="BV336" s="1031"/>
      <c r="BW336" s="1031"/>
      <c r="BX336" s="1031"/>
      <c r="BY336" s="1031"/>
      <c r="BZ336" s="1031"/>
      <c r="CA336" s="1031"/>
      <c r="CB336" s="1031"/>
      <c r="CC336" s="1031" t="s">
        <v>123</v>
      </c>
      <c r="CD336" s="1031"/>
      <c r="CE336" s="1031"/>
      <c r="CF336" s="1031"/>
      <c r="CG336" s="1031"/>
      <c r="CH336" s="1031"/>
      <c r="CI336" s="1031"/>
      <c r="CJ336" s="1031"/>
      <c r="CK336" s="1031"/>
      <c r="CL336" s="1031"/>
      <c r="CM336" s="1031"/>
      <c r="CN336" s="1031"/>
      <c r="CO336" s="1031"/>
      <c r="CP336" s="1031"/>
      <c r="CQ336" s="1031"/>
      <c r="CR336" s="1031"/>
      <c r="CS336" s="1031"/>
      <c r="CT336" s="1031"/>
      <c r="CU336" s="1031"/>
      <c r="CV336" s="1031"/>
      <c r="CW336" s="1031"/>
      <c r="CX336" s="1031"/>
      <c r="CY336" s="1031"/>
      <c r="CZ336" s="1031"/>
      <c r="DA336" s="1031"/>
      <c r="DB336" s="1031"/>
      <c r="DC336" s="1031"/>
      <c r="DD336" s="1031"/>
      <c r="DE336" s="1031"/>
      <c r="DF336" s="1031"/>
      <c r="DG336" s="1031"/>
      <c r="DH336" s="1031"/>
      <c r="DI336" s="1031"/>
      <c r="DJ336" s="1031"/>
      <c r="DK336" s="1031"/>
      <c r="DL336" s="1031"/>
      <c r="DM336" s="1031"/>
      <c r="DN336" s="1031"/>
      <c r="DO336" s="1031"/>
      <c r="DP336" s="1031"/>
      <c r="DQ336" s="1032"/>
      <c r="DR336" s="1032"/>
      <c r="DS336" s="1032"/>
      <c r="DT336" s="1032"/>
      <c r="DU336" s="1032"/>
      <c r="DV336" s="1032"/>
      <c r="DW336" s="1032"/>
    </row>
    <row r="337" spans="2:127" s="1025" customFormat="1" x14ac:dyDescent="0.45">
      <c r="B337" s="1022"/>
      <c r="C337" s="1022"/>
      <c r="D337" s="1026"/>
      <c r="E337" s="1027"/>
      <c r="F337" s="1027"/>
      <c r="G337" s="1027"/>
      <c r="H337" s="1027"/>
      <c r="I337" s="990" t="s">
        <v>263</v>
      </c>
      <c r="J337" s="983"/>
      <c r="K337" s="983"/>
      <c r="L337" s="983"/>
      <c r="M337" s="983"/>
      <c r="N337" s="983"/>
      <c r="O337" s="1028"/>
      <c r="P337" s="1028"/>
      <c r="Q337" s="1028"/>
      <c r="R337" s="1028"/>
      <c r="S337" s="1028"/>
      <c r="T337" s="1028"/>
      <c r="U337" s="1028"/>
      <c r="V337" s="1028"/>
      <c r="W337" s="1028"/>
      <c r="X337" s="1028"/>
      <c r="Y337" s="1028"/>
      <c r="Z337" s="1028"/>
      <c r="AA337" s="1028"/>
      <c r="AB337" s="1028"/>
      <c r="AC337" s="1028"/>
      <c r="AD337" s="1028"/>
      <c r="AE337" s="1028"/>
      <c r="AF337" s="1028"/>
      <c r="AG337" s="1028"/>
      <c r="AH337" s="1028"/>
      <c r="AI337" s="1028"/>
      <c r="AJ337" s="1028"/>
      <c r="AK337" s="983"/>
      <c r="AL337" s="983"/>
      <c r="AM337" s="983"/>
      <c r="AN337" s="983"/>
      <c r="AO337" s="983"/>
      <c r="AP337" s="983"/>
      <c r="AQ337" s="983"/>
      <c r="AR337" s="983"/>
      <c r="AS337" s="983"/>
      <c r="AT337" s="983"/>
      <c r="AU337" s="983"/>
      <c r="AV337" s="983"/>
      <c r="AW337" s="983"/>
      <c r="AX337" s="983"/>
      <c r="AY337" s="983"/>
      <c r="AZ337" s="983"/>
      <c r="BA337" s="983"/>
      <c r="BB337" s="983"/>
      <c r="BC337" s="983"/>
      <c r="BD337" s="983"/>
      <c r="BE337" s="983"/>
      <c r="BF337" s="983"/>
      <c r="BG337" s="983"/>
      <c r="BH337" s="983"/>
      <c r="BI337" s="983"/>
      <c r="BJ337" s="983"/>
      <c r="BK337" s="983"/>
      <c r="BL337" s="983"/>
      <c r="BM337" s="983"/>
      <c r="BN337" s="983"/>
      <c r="BO337" s="983"/>
      <c r="BP337" s="983"/>
      <c r="BQ337" s="983"/>
      <c r="BR337" s="983"/>
      <c r="BS337" s="983"/>
      <c r="BT337" s="983"/>
      <c r="BU337" s="983"/>
      <c r="BV337" s="983"/>
      <c r="BW337" s="1031"/>
      <c r="BX337" s="1031"/>
      <c r="BY337" s="1031"/>
      <c r="BZ337" s="1031"/>
      <c r="CA337" s="1031"/>
      <c r="CB337" s="1031"/>
      <c r="CC337" s="1031"/>
      <c r="CD337" s="1031"/>
      <c r="CE337" s="1031"/>
      <c r="CF337" s="1031"/>
      <c r="CG337" s="1031"/>
      <c r="CH337" s="1031"/>
      <c r="CI337" s="1031" t="s">
        <v>264</v>
      </c>
      <c r="CJ337" s="1031"/>
      <c r="CK337" s="1031"/>
      <c r="CL337" s="1031"/>
      <c r="CM337" s="1031"/>
      <c r="CN337" s="1031"/>
      <c r="CO337" s="1031"/>
      <c r="CP337" s="1031"/>
      <c r="CQ337" s="1031"/>
      <c r="CR337" s="1031"/>
      <c r="CS337" s="1031"/>
      <c r="CT337" s="1031"/>
      <c r="CU337" s="1031"/>
      <c r="CV337" s="1031"/>
      <c r="CW337" s="1031"/>
      <c r="CX337" s="1031"/>
      <c r="CY337" s="1033"/>
      <c r="CZ337" s="1031"/>
      <c r="DA337" s="1031"/>
      <c r="DB337" s="1031"/>
      <c r="DC337" s="1031"/>
      <c r="DD337" s="1031"/>
      <c r="DE337" s="1031"/>
      <c r="DF337" s="1031"/>
      <c r="DG337" s="1031"/>
      <c r="DH337" s="1031"/>
      <c r="DI337" s="1031"/>
      <c r="DJ337" s="1031"/>
      <c r="DK337" s="1031"/>
      <c r="DL337" s="1031"/>
      <c r="DM337" s="1031"/>
      <c r="DN337" s="1031"/>
      <c r="DO337" s="1031"/>
      <c r="DP337" s="1031"/>
      <c r="DQ337" s="1032"/>
      <c r="DR337" s="1032"/>
      <c r="DS337" s="1032"/>
      <c r="DT337" s="1032"/>
      <c r="DU337" s="1032"/>
      <c r="DV337" s="1032"/>
      <c r="DW337" s="1032"/>
    </row>
    <row r="338" spans="2:127" s="1025" customFormat="1" x14ac:dyDescent="0.45">
      <c r="B338" s="1022"/>
      <c r="C338" s="1022"/>
      <c r="D338" s="1026"/>
      <c r="E338" s="1027"/>
      <c r="F338" s="1027"/>
      <c r="G338" s="1027"/>
      <c r="H338" s="1027"/>
      <c r="I338" s="78"/>
      <c r="J338" s="1022"/>
      <c r="K338" s="1022"/>
      <c r="L338" s="1022"/>
      <c r="M338" s="1022"/>
      <c r="N338" s="1022"/>
      <c r="O338" s="1022"/>
      <c r="P338" s="1022"/>
      <c r="Q338" s="1022"/>
      <c r="R338" s="1022"/>
      <c r="S338" s="1022"/>
      <c r="T338" s="1022"/>
      <c r="U338" s="1022"/>
      <c r="V338" s="1022"/>
      <c r="W338" s="1022"/>
      <c r="X338" s="1022"/>
      <c r="Y338" s="1022"/>
      <c r="Z338" s="1022"/>
      <c r="AA338" s="1022"/>
      <c r="AB338" s="1022"/>
      <c r="AC338" s="1022"/>
      <c r="AD338" s="1022"/>
      <c r="AE338" s="1022"/>
      <c r="AF338" s="1022"/>
      <c r="AG338" s="1022"/>
      <c r="AH338" s="1022"/>
      <c r="AI338" s="1022"/>
      <c r="AJ338" s="1022"/>
      <c r="AK338" s="1031"/>
      <c r="AL338" s="1031"/>
      <c r="AM338" s="1031"/>
      <c r="AN338" s="1031"/>
      <c r="AO338" s="1031"/>
      <c r="AP338" s="1031"/>
      <c r="AQ338" s="1031"/>
      <c r="AR338" s="1031"/>
      <c r="AS338" s="1031"/>
      <c r="AT338" s="1031"/>
      <c r="AU338" s="1031"/>
      <c r="AV338" s="1031"/>
      <c r="AW338" s="1031"/>
      <c r="AX338" s="1031"/>
      <c r="AY338" s="1031"/>
      <c r="AZ338" s="1031"/>
      <c r="BA338" s="1031"/>
      <c r="BB338" s="1031"/>
      <c r="BC338" s="1031"/>
      <c r="BD338" s="1031"/>
      <c r="BE338" s="1031"/>
      <c r="BF338" s="1031"/>
      <c r="BG338" s="1031"/>
      <c r="BH338" s="1031"/>
      <c r="BI338" s="1031"/>
      <c r="BJ338" s="1031"/>
      <c r="BK338" s="1031"/>
      <c r="BL338" s="1031"/>
      <c r="BM338" s="1031"/>
      <c r="BN338" s="1031"/>
      <c r="BO338" s="1031"/>
      <c r="BP338" s="1031"/>
      <c r="BQ338" s="1031"/>
      <c r="BR338" s="1031"/>
      <c r="BS338" s="1031"/>
      <c r="BT338" s="1031"/>
      <c r="BU338" s="1031"/>
      <c r="BV338" s="1031"/>
      <c r="BW338" s="1031"/>
      <c r="BX338" s="1031"/>
      <c r="BY338" s="1031"/>
      <c r="BZ338" s="1031"/>
      <c r="CA338" s="1031"/>
      <c r="CB338" s="1031"/>
      <c r="CC338" s="1031"/>
      <c r="CD338" s="1031"/>
      <c r="CE338" s="1031"/>
      <c r="CF338" s="1031"/>
      <c r="CG338" s="1031"/>
      <c r="CH338" s="1035"/>
      <c r="CI338" s="1031"/>
      <c r="CJ338" s="1031"/>
      <c r="CK338" s="1031"/>
      <c r="CL338" s="1031"/>
      <c r="CM338" s="1031"/>
      <c r="CN338" s="1031"/>
      <c r="CO338" s="1031"/>
      <c r="CP338" s="1031"/>
      <c r="CQ338" s="1031"/>
      <c r="CR338" s="1031"/>
      <c r="CS338" s="1034"/>
      <c r="CT338" s="1034"/>
      <c r="CU338" s="1034"/>
      <c r="CV338" s="1034"/>
      <c r="CW338" s="1031"/>
      <c r="CX338" s="1031"/>
      <c r="CY338" s="1033"/>
      <c r="CZ338" s="1031"/>
      <c r="DA338" s="1031"/>
      <c r="DB338" s="1031"/>
      <c r="DC338" s="1031"/>
      <c r="DD338" s="1031"/>
      <c r="DE338" s="1031"/>
      <c r="DF338" s="1031"/>
      <c r="DG338" s="1031"/>
      <c r="DH338" s="1031"/>
      <c r="DI338" s="1031"/>
      <c r="DJ338" s="1031"/>
      <c r="DK338" s="1031"/>
      <c r="DL338" s="1031"/>
      <c r="DM338" s="1031"/>
      <c r="DN338" s="1031"/>
      <c r="DO338" s="1031"/>
      <c r="DP338" s="1031"/>
      <c r="DQ338" s="1032"/>
      <c r="DR338" s="1032"/>
      <c r="DS338" s="1032"/>
      <c r="DT338" s="1032"/>
      <c r="DU338" s="1032"/>
      <c r="DV338" s="1032"/>
      <c r="DW338" s="1032"/>
    </row>
    <row r="339" spans="2:127" s="1025" customFormat="1" x14ac:dyDescent="0.45">
      <c r="B339" s="1022"/>
      <c r="C339" s="1022"/>
      <c r="D339" s="1026"/>
      <c r="E339" s="988"/>
      <c r="F339" s="988"/>
      <c r="G339" s="988"/>
      <c r="H339" s="988"/>
      <c r="I339" s="989">
        <f>$BJ$4-3</f>
        <v>45114</v>
      </c>
      <c r="J339" s="1022"/>
      <c r="K339" s="1022"/>
      <c r="L339" s="1022"/>
      <c r="M339" s="1022"/>
      <c r="N339" s="1022"/>
      <c r="O339" s="1022"/>
      <c r="P339" s="1022"/>
      <c r="Q339" s="1022"/>
      <c r="R339" s="1022"/>
      <c r="S339" s="1022"/>
      <c r="T339" s="1022"/>
      <c r="U339" s="1022"/>
      <c r="V339" s="1022"/>
      <c r="W339" s="1022"/>
      <c r="X339" s="1022"/>
      <c r="Y339" s="1022"/>
      <c r="Z339" s="1029"/>
      <c r="AA339" s="1029"/>
      <c r="AB339" s="1029"/>
      <c r="AC339" s="1029"/>
      <c r="AD339" s="1029"/>
      <c r="AE339" s="1029"/>
      <c r="AF339" s="1029"/>
      <c r="AG339" s="1029"/>
      <c r="AH339" s="1029"/>
      <c r="AI339" s="1029"/>
      <c r="AJ339" s="1029"/>
      <c r="AK339" s="1036"/>
      <c r="AL339" s="1036"/>
      <c r="AM339" s="1036"/>
      <c r="AN339" s="1036"/>
      <c r="AO339" s="1036"/>
      <c r="AP339" s="1036"/>
      <c r="AQ339" s="1036"/>
      <c r="AR339" s="1036"/>
      <c r="AS339" s="1036"/>
      <c r="AT339" s="1036"/>
      <c r="AU339" s="1036"/>
      <c r="AV339" s="1036"/>
      <c r="AW339" s="1036"/>
      <c r="AX339" s="1036"/>
      <c r="AY339" s="1036"/>
      <c r="AZ339" s="1036"/>
      <c r="BA339" s="1036"/>
      <c r="BB339" s="1036"/>
      <c r="BC339" s="1036"/>
      <c r="BD339" s="1036"/>
      <c r="BE339" s="1031"/>
      <c r="BF339" s="1031"/>
      <c r="BG339" s="1031"/>
      <c r="BH339" s="1031"/>
      <c r="BI339" s="1031"/>
      <c r="BJ339" s="1031"/>
      <c r="BK339" s="1031"/>
      <c r="BL339" s="1031"/>
      <c r="BM339" s="1031"/>
      <c r="BN339" s="1031"/>
      <c r="BO339" s="1031"/>
      <c r="BP339" s="1031"/>
      <c r="BQ339" s="1031"/>
      <c r="BR339" s="1031"/>
      <c r="BS339" s="1031"/>
      <c r="BT339" s="1031"/>
      <c r="BU339" s="1031"/>
      <c r="BV339" s="1031"/>
      <c r="BW339" s="1031"/>
      <c r="BX339" s="1031"/>
      <c r="BY339" s="1031"/>
      <c r="BZ339" s="1031"/>
      <c r="CA339" s="1031"/>
      <c r="CB339" s="1031"/>
      <c r="CC339" s="1032"/>
      <c r="CD339" s="1037"/>
      <c r="CE339" s="1037"/>
      <c r="CF339" s="1024"/>
      <c r="CG339" s="1024"/>
      <c r="CH339" s="1024"/>
      <c r="CI339" s="1038">
        <f>$BJ$4-3</f>
        <v>45114</v>
      </c>
      <c r="CJ339" s="1038"/>
      <c r="CK339" s="1038"/>
      <c r="CL339" s="1031"/>
      <c r="CM339" s="1031"/>
      <c r="CN339" s="1031"/>
      <c r="CO339" s="1031"/>
      <c r="CP339" s="1031"/>
      <c r="CQ339" s="1031"/>
      <c r="CR339" s="1031"/>
      <c r="CS339" s="1034"/>
      <c r="CT339" s="1034"/>
      <c r="CU339" s="1034"/>
      <c r="CV339" s="1034"/>
      <c r="CW339" s="1031"/>
      <c r="CX339" s="1031"/>
      <c r="CY339" s="1033"/>
      <c r="CZ339" s="1031"/>
      <c r="DA339" s="1031"/>
      <c r="DB339" s="1031"/>
      <c r="DC339" s="1031"/>
      <c r="DD339" s="1031"/>
      <c r="DE339" s="1031"/>
      <c r="DF339" s="1031"/>
      <c r="DG339" s="1031"/>
      <c r="DH339" s="1031"/>
      <c r="DI339" s="1031"/>
      <c r="DJ339" s="1031"/>
      <c r="DK339" s="1031"/>
      <c r="DL339" s="1031"/>
      <c r="DM339" s="1031"/>
      <c r="DN339" s="1031"/>
      <c r="DO339" s="1031"/>
      <c r="DP339" s="1031"/>
      <c r="DQ339" s="1032"/>
      <c r="DR339" s="1032"/>
      <c r="DS339" s="1032"/>
      <c r="DT339" s="1032"/>
      <c r="DU339" s="1032"/>
      <c r="DV339" s="1032"/>
      <c r="DW339" s="1032"/>
    </row>
    <row r="340" spans="2:127" s="1025" customFormat="1" x14ac:dyDescent="0.45">
      <c r="B340" s="1022"/>
      <c r="C340" s="1022"/>
      <c r="D340" s="1026"/>
      <c r="E340" s="1027"/>
      <c r="F340" s="1027"/>
      <c r="G340" s="1027"/>
      <c r="H340" s="1027"/>
      <c r="I340" s="78"/>
      <c r="J340" s="1022"/>
      <c r="K340" s="1022"/>
      <c r="L340" s="1022"/>
      <c r="M340" s="1022"/>
      <c r="N340" s="1022"/>
      <c r="O340" s="1022"/>
      <c r="P340" s="1022"/>
      <c r="Q340" s="1022"/>
      <c r="R340" s="1022"/>
      <c r="S340" s="1022"/>
      <c r="T340" s="1022"/>
      <c r="U340" s="1022"/>
      <c r="V340" s="1022"/>
      <c r="W340" s="1022"/>
      <c r="X340" s="1022"/>
      <c r="Y340" s="1022"/>
      <c r="Z340" s="1022"/>
      <c r="AA340" s="1022"/>
      <c r="AB340" s="1022"/>
      <c r="AC340" s="1022"/>
      <c r="AD340" s="1022"/>
      <c r="AE340" s="1022"/>
      <c r="AF340" s="1022"/>
      <c r="AG340" s="1022"/>
      <c r="AH340" s="1022"/>
      <c r="AI340" s="1022"/>
      <c r="AJ340" s="1022"/>
      <c r="AK340" s="1031"/>
      <c r="AL340" s="1031"/>
      <c r="AM340" s="1031"/>
      <c r="AN340" s="1031"/>
      <c r="AO340" s="1031"/>
      <c r="AP340" s="1031"/>
      <c r="AQ340" s="1031"/>
      <c r="AR340" s="1031"/>
      <c r="AS340" s="1031"/>
      <c r="AT340" s="1031"/>
      <c r="AU340" s="1031"/>
      <c r="AV340" s="1031"/>
      <c r="AW340" s="1031"/>
      <c r="AX340" s="1031"/>
      <c r="AY340" s="1031"/>
      <c r="AZ340" s="1031"/>
      <c r="BA340" s="1031"/>
      <c r="BB340" s="1031"/>
      <c r="BC340" s="1031"/>
      <c r="BD340" s="1031"/>
      <c r="BE340" s="1031"/>
      <c r="BF340" s="1031"/>
      <c r="BG340" s="1031"/>
      <c r="BH340" s="1031"/>
      <c r="BI340" s="1031"/>
      <c r="BJ340" s="1031"/>
      <c r="BK340" s="1031"/>
      <c r="BL340" s="1031"/>
      <c r="BM340" s="1031"/>
      <c r="BN340" s="1031"/>
      <c r="BO340" s="1031"/>
      <c r="BP340" s="1031"/>
      <c r="BQ340" s="1031"/>
      <c r="BR340" s="1031"/>
      <c r="BS340" s="1031"/>
      <c r="BT340" s="1031"/>
      <c r="BU340" s="1031"/>
      <c r="BV340" s="1031"/>
      <c r="BW340" s="1031"/>
      <c r="BX340" s="1031"/>
      <c r="BY340" s="1031"/>
      <c r="BZ340" s="1031"/>
      <c r="CA340" s="1031"/>
      <c r="CB340" s="1031"/>
      <c r="CC340" s="1031"/>
      <c r="CD340" s="1031"/>
      <c r="CE340" s="1031"/>
      <c r="CF340" s="1039"/>
      <c r="CG340" s="1039"/>
      <c r="CH340" s="1039"/>
      <c r="CI340" s="1039"/>
      <c r="CJ340" s="1031"/>
      <c r="CK340" s="1031"/>
      <c r="CL340" s="1031"/>
      <c r="CM340" s="1031"/>
      <c r="CN340" s="1031"/>
      <c r="CO340" s="1031"/>
      <c r="CP340" s="1031"/>
      <c r="CQ340" s="1031"/>
      <c r="CR340" s="1031"/>
      <c r="CS340" s="1034"/>
      <c r="CT340" s="1034"/>
      <c r="CU340" s="1034"/>
      <c r="CV340" s="1034"/>
      <c r="CW340" s="1031"/>
      <c r="CX340" s="1031"/>
      <c r="CY340" s="1033"/>
      <c r="CZ340" s="1031"/>
      <c r="DA340" s="1031"/>
      <c r="DB340" s="1031"/>
      <c r="DC340" s="1031"/>
      <c r="DD340" s="1031"/>
      <c r="DE340" s="1031"/>
      <c r="DF340" s="1031"/>
      <c r="DG340" s="1031"/>
      <c r="DH340" s="1031"/>
      <c r="DI340" s="1031"/>
      <c r="DJ340" s="1031"/>
      <c r="DK340" s="1031"/>
      <c r="DL340" s="1031"/>
      <c r="DM340" s="1031"/>
      <c r="DN340" s="1031"/>
      <c r="DO340" s="1031"/>
      <c r="DP340" s="1031"/>
      <c r="DQ340" s="1032"/>
      <c r="DR340" s="1032"/>
      <c r="DS340" s="1032"/>
      <c r="DT340" s="1032"/>
      <c r="DU340" s="1032"/>
      <c r="DV340" s="1032"/>
      <c r="DW340" s="1032"/>
    </row>
    <row r="341" spans="2:127" s="1025" customFormat="1" x14ac:dyDescent="0.45">
      <c r="B341" s="1022"/>
      <c r="C341" s="1022"/>
      <c r="D341" s="1026"/>
      <c r="E341" s="1027"/>
      <c r="F341" s="1027"/>
      <c r="G341" s="1027"/>
      <c r="H341" s="1027"/>
      <c r="I341" s="78"/>
      <c r="J341" s="1022"/>
      <c r="K341" s="1022"/>
      <c r="L341" s="1022"/>
      <c r="M341" s="1022"/>
      <c r="N341" s="1022"/>
      <c r="O341" s="1022"/>
      <c r="P341" s="1022"/>
      <c r="Q341" s="1022"/>
      <c r="R341" s="1022"/>
      <c r="S341" s="1022"/>
      <c r="T341" s="1022"/>
      <c r="U341" s="1022"/>
      <c r="V341" s="1022"/>
      <c r="W341" s="1022"/>
      <c r="X341" s="1022"/>
      <c r="Y341" s="1022"/>
      <c r="Z341" s="1022"/>
      <c r="AA341" s="1022"/>
      <c r="AB341" s="1022"/>
      <c r="AC341" s="1022"/>
      <c r="AD341" s="1022"/>
      <c r="AE341" s="1022"/>
      <c r="AF341" s="1022"/>
      <c r="AG341" s="1022"/>
      <c r="AH341" s="1022"/>
      <c r="AI341" s="1022"/>
      <c r="AJ341" s="1022"/>
      <c r="AK341" s="1031"/>
      <c r="AL341" s="1031"/>
      <c r="AM341" s="1031"/>
      <c r="AN341" s="1031"/>
      <c r="AO341" s="1031"/>
      <c r="AP341" s="1031"/>
      <c r="AQ341" s="1031"/>
      <c r="AR341" s="1031"/>
      <c r="AS341" s="1031"/>
      <c r="AT341" s="1031"/>
      <c r="AU341" s="1031"/>
      <c r="AV341" s="1031"/>
      <c r="AW341" s="1031"/>
      <c r="AX341" s="1031"/>
      <c r="AY341" s="1031"/>
      <c r="AZ341" s="1031"/>
      <c r="BA341" s="1031"/>
      <c r="BB341" s="1031"/>
      <c r="BC341" s="1031"/>
      <c r="BD341" s="1031"/>
      <c r="BE341" s="1031"/>
      <c r="BF341" s="1031"/>
      <c r="BG341" s="1031"/>
      <c r="BH341" s="1031"/>
      <c r="BI341" s="1031"/>
      <c r="BJ341" s="1031"/>
      <c r="BK341" s="1031"/>
      <c r="BL341" s="1031"/>
      <c r="BM341" s="1031"/>
      <c r="BN341" s="1031"/>
      <c r="BO341" s="1031"/>
      <c r="BP341" s="1031"/>
      <c r="BQ341" s="1031"/>
      <c r="BR341" s="1031"/>
      <c r="BS341" s="1031"/>
      <c r="BT341" s="1031"/>
      <c r="BU341" s="1031"/>
      <c r="BV341" s="1031"/>
      <c r="BW341" s="1031"/>
      <c r="BX341" s="1031"/>
      <c r="BY341" s="1031"/>
      <c r="BZ341" s="1031"/>
      <c r="CA341" s="1031"/>
      <c r="CB341" s="1031"/>
      <c r="CC341" s="1031"/>
      <c r="CD341" s="1031"/>
      <c r="CE341" s="1031"/>
      <c r="CF341" s="1031"/>
      <c r="CG341" s="1031"/>
      <c r="CH341" s="1035"/>
      <c r="CI341" s="1031"/>
      <c r="CJ341" s="1031"/>
      <c r="CK341" s="1031"/>
      <c r="CL341" s="1031"/>
      <c r="CM341" s="1031"/>
      <c r="CN341" s="1031"/>
      <c r="CO341" s="1031"/>
      <c r="CP341" s="1031"/>
      <c r="CQ341" s="1031"/>
      <c r="CR341" s="1031"/>
      <c r="CS341" s="1034"/>
      <c r="CT341" s="1034"/>
      <c r="CU341" s="1034"/>
      <c r="CV341" s="1034"/>
      <c r="CW341" s="1031"/>
      <c r="CX341" s="1031"/>
      <c r="CY341" s="1033"/>
      <c r="CZ341" s="1031"/>
      <c r="DA341" s="1031"/>
      <c r="DB341" s="1031"/>
      <c r="DC341" s="1031"/>
      <c r="DD341" s="1031"/>
      <c r="DE341" s="1031"/>
      <c r="DF341" s="1031"/>
      <c r="DG341" s="1031"/>
      <c r="DH341" s="1031"/>
      <c r="DI341" s="1031"/>
      <c r="DJ341" s="1031"/>
      <c r="DK341" s="1031"/>
      <c r="DL341" s="1031"/>
      <c r="DM341" s="1031"/>
      <c r="DN341" s="1031"/>
      <c r="DO341" s="1031"/>
      <c r="DP341" s="1031"/>
      <c r="DQ341" s="1032"/>
      <c r="DR341" s="1032"/>
      <c r="DS341" s="1032"/>
      <c r="DT341" s="1032"/>
      <c r="DU341" s="1032"/>
      <c r="DV341" s="1032"/>
      <c r="DW341" s="1032"/>
    </row>
    <row r="342" spans="2:127" s="1025" customFormat="1" x14ac:dyDescent="0.45">
      <c r="D342" s="1030"/>
      <c r="AK342" s="1032"/>
      <c r="AL342" s="1032"/>
      <c r="AM342" s="1032"/>
      <c r="AN342" s="1032"/>
      <c r="AO342" s="1032"/>
      <c r="AP342" s="1032"/>
      <c r="AQ342" s="1032"/>
      <c r="AR342" s="1032"/>
      <c r="AS342" s="1032"/>
      <c r="AT342" s="1032"/>
      <c r="AU342" s="1032"/>
      <c r="AV342" s="1032"/>
      <c r="AW342" s="1032"/>
      <c r="AX342" s="1032"/>
      <c r="AY342" s="1032"/>
      <c r="AZ342" s="1032"/>
      <c r="BA342" s="1032"/>
      <c r="BB342" s="1032"/>
      <c r="BC342" s="1032"/>
      <c r="BD342" s="1032"/>
      <c r="BE342" s="1032"/>
      <c r="BF342" s="1032"/>
      <c r="BG342" s="1032"/>
      <c r="BH342" s="1032"/>
      <c r="BI342" s="1032"/>
      <c r="BJ342" s="1032"/>
      <c r="BK342" s="1032"/>
      <c r="BL342" s="1032"/>
      <c r="BM342" s="1032"/>
      <c r="BN342" s="1032"/>
      <c r="BO342" s="1032"/>
      <c r="BP342" s="1032"/>
      <c r="BQ342" s="1032"/>
      <c r="BR342" s="1032"/>
      <c r="BS342" s="1032"/>
      <c r="BT342" s="1032"/>
      <c r="BU342" s="1032"/>
      <c r="BV342" s="1032"/>
      <c r="BW342" s="1032"/>
      <c r="BX342" s="1032"/>
      <c r="BY342" s="1032"/>
      <c r="BZ342" s="1032"/>
      <c r="CA342" s="1032"/>
      <c r="CB342" s="1032"/>
      <c r="CC342" s="1032"/>
      <c r="CD342" s="1032"/>
      <c r="CE342" s="1032"/>
      <c r="CF342" s="1032"/>
      <c r="CG342" s="1032"/>
      <c r="CH342" s="1032"/>
      <c r="CI342" s="1032"/>
      <c r="CJ342" s="1032"/>
      <c r="CK342" s="1032"/>
      <c r="CL342" s="1032"/>
      <c r="CM342" s="1032"/>
      <c r="CN342" s="1032"/>
      <c r="CO342" s="1032"/>
      <c r="CP342" s="1032"/>
      <c r="CQ342" s="1032"/>
      <c r="CR342" s="1032"/>
      <c r="CS342" s="1032"/>
      <c r="CT342" s="1032"/>
      <c r="CU342" s="1032"/>
      <c r="CV342" s="1032"/>
      <c r="CW342" s="1032"/>
      <c r="CX342" s="1032"/>
      <c r="CY342" s="1032"/>
      <c r="CZ342" s="1032"/>
      <c r="DA342" s="1032"/>
      <c r="DB342" s="1032"/>
      <c r="DC342" s="1032"/>
      <c r="DD342" s="1032"/>
      <c r="DE342" s="1032"/>
      <c r="DF342" s="1032"/>
      <c r="DG342" s="1032"/>
      <c r="DH342" s="1032"/>
      <c r="DI342" s="1032"/>
      <c r="DJ342" s="1032"/>
      <c r="DK342" s="1032"/>
      <c r="DL342" s="1032"/>
      <c r="DM342" s="1032"/>
      <c r="DN342" s="1032"/>
      <c r="DO342" s="1032"/>
      <c r="DP342" s="1032"/>
      <c r="DQ342" s="1032"/>
      <c r="DR342" s="1032"/>
      <c r="DS342" s="1032"/>
      <c r="DT342" s="1032"/>
      <c r="DU342" s="1032"/>
      <c r="DV342" s="1032"/>
      <c r="DW342" s="1032"/>
    </row>
    <row r="343" spans="2:127" s="1025" customFormat="1" x14ac:dyDescent="0.45">
      <c r="D343" s="1030"/>
    </row>
    <row r="344" spans="2:127" s="1025" customFormat="1" x14ac:dyDescent="0.45">
      <c r="D344" s="1030"/>
    </row>
    <row r="345" spans="2:127" s="1025" customFormat="1" x14ac:dyDescent="0.45">
      <c r="D345" s="1030"/>
    </row>
    <row r="346" spans="2:127" s="1025" customFormat="1" x14ac:dyDescent="0.45">
      <c r="D346" s="1030"/>
    </row>
    <row r="347" spans="2:127" s="1025" customFormat="1" x14ac:dyDescent="0.45">
      <c r="D347" s="1030"/>
    </row>
    <row r="348" spans="2:127" s="1025" customFormat="1" x14ac:dyDescent="0.45">
      <c r="D348" s="1030"/>
    </row>
    <row r="349" spans="2:127" s="1025" customFormat="1" x14ac:dyDescent="0.45">
      <c r="D349" s="1030"/>
    </row>
    <row r="350" spans="2:127" s="1025" customFormat="1" x14ac:dyDescent="0.45">
      <c r="D350" s="1030"/>
    </row>
    <row r="351" spans="2:127" s="1025" customFormat="1" x14ac:dyDescent="0.45">
      <c r="D351" s="1030"/>
    </row>
    <row r="352" spans="2:127" s="1025" customFormat="1" x14ac:dyDescent="0.45">
      <c r="D352" s="1030"/>
    </row>
    <row r="353" spans="4:4" s="1025" customFormat="1" x14ac:dyDescent="0.45">
      <c r="D353" s="1030"/>
    </row>
    <row r="354" spans="4:4" s="1025" customFormat="1" x14ac:dyDescent="0.45">
      <c r="D354" s="1030"/>
    </row>
  </sheetData>
  <mergeCells count="141">
    <mergeCell ref="DL4:DO4"/>
    <mergeCell ref="BO4:BQ4"/>
    <mergeCell ref="CF340:CI340"/>
    <mergeCell ref="CI339:CK339"/>
    <mergeCell ref="B288:B331"/>
    <mergeCell ref="C288:C331"/>
    <mergeCell ref="B63:B106"/>
    <mergeCell ref="C63:C106"/>
    <mergeCell ref="B108:B151"/>
    <mergeCell ref="C108:C151"/>
    <mergeCell ref="B153:B196"/>
    <mergeCell ref="C153:C196"/>
    <mergeCell ref="B198:B241"/>
    <mergeCell ref="C198:C241"/>
    <mergeCell ref="B243:B286"/>
    <mergeCell ref="C243:C286"/>
    <mergeCell ref="BJ4:BM4"/>
    <mergeCell ref="B6:C8"/>
    <mergeCell ref="D6:E8"/>
    <mergeCell ref="I6:I8"/>
    <mergeCell ref="DM6:DM8"/>
    <mergeCell ref="D29:D42"/>
    <mergeCell ref="D18:D27"/>
    <mergeCell ref="E35:E38"/>
    <mergeCell ref="E39:E42"/>
    <mergeCell ref="E29:E31"/>
    <mergeCell ref="E32:E34"/>
    <mergeCell ref="U7:AO7"/>
    <mergeCell ref="BE7:BJ7"/>
    <mergeCell ref="BK7:BV7"/>
    <mergeCell ref="AP7:AT7"/>
    <mergeCell ref="AU7:AZ7"/>
    <mergeCell ref="BA7:BD7"/>
    <mergeCell ref="B18:B61"/>
    <mergeCell ref="C18:C61"/>
    <mergeCell ref="E44:E47"/>
    <mergeCell ref="E48:E51"/>
    <mergeCell ref="E52:E55"/>
    <mergeCell ref="E18:E20"/>
    <mergeCell ref="E21:E23"/>
    <mergeCell ref="E24:E27"/>
    <mergeCell ref="DO6:DO8"/>
    <mergeCell ref="DL6:DL8"/>
    <mergeCell ref="BW7:CN7"/>
    <mergeCell ref="J7:S7"/>
    <mergeCell ref="CO7:DB7"/>
    <mergeCell ref="DC7:DK7"/>
    <mergeCell ref="DN6:DN8"/>
    <mergeCell ref="E147:E150"/>
    <mergeCell ref="D153:D162"/>
    <mergeCell ref="E153:E155"/>
    <mergeCell ref="E156:E158"/>
    <mergeCell ref="E159:E162"/>
    <mergeCell ref="D164:D177"/>
    <mergeCell ref="E167:E169"/>
    <mergeCell ref="D57:D60"/>
    <mergeCell ref="D44:D55"/>
    <mergeCell ref="E57:E60"/>
    <mergeCell ref="E84:E87"/>
    <mergeCell ref="E170:E173"/>
    <mergeCell ref="E174:E177"/>
    <mergeCell ref="E164:E166"/>
    <mergeCell ref="D119:D132"/>
    <mergeCell ref="E119:E121"/>
    <mergeCell ref="E122:E124"/>
    <mergeCell ref="E125:E128"/>
    <mergeCell ref="E129:E132"/>
    <mergeCell ref="D134:D145"/>
    <mergeCell ref="E134:E137"/>
    <mergeCell ref="E138:E141"/>
    <mergeCell ref="E142:E145"/>
    <mergeCell ref="D147:D150"/>
    <mergeCell ref="D209:D222"/>
    <mergeCell ref="E209:E211"/>
    <mergeCell ref="E212:E214"/>
    <mergeCell ref="E215:E218"/>
    <mergeCell ref="E219:E222"/>
    <mergeCell ref="D224:D235"/>
    <mergeCell ref="E224:E227"/>
    <mergeCell ref="E228:E231"/>
    <mergeCell ref="E232:E235"/>
    <mergeCell ref="D237:D240"/>
    <mergeCell ref="E237:E240"/>
    <mergeCell ref="D269:D280"/>
    <mergeCell ref="E269:E272"/>
    <mergeCell ref="E273:E276"/>
    <mergeCell ref="E277:E280"/>
    <mergeCell ref="D282:D285"/>
    <mergeCell ref="E282:E285"/>
    <mergeCell ref="D288:D297"/>
    <mergeCell ref="E288:E290"/>
    <mergeCell ref="D243:D252"/>
    <mergeCell ref="E243:E245"/>
    <mergeCell ref="E246:E248"/>
    <mergeCell ref="E249:E252"/>
    <mergeCell ref="D254:D267"/>
    <mergeCell ref="E254:E256"/>
    <mergeCell ref="E257:E259"/>
    <mergeCell ref="E260:E263"/>
    <mergeCell ref="E264:E267"/>
    <mergeCell ref="E294:E297"/>
    <mergeCell ref="D327:D330"/>
    <mergeCell ref="E327:E330"/>
    <mergeCell ref="E291:E293"/>
    <mergeCell ref="D63:D72"/>
    <mergeCell ref="E63:E65"/>
    <mergeCell ref="E66:E68"/>
    <mergeCell ref="E69:E72"/>
    <mergeCell ref="D74:D87"/>
    <mergeCell ref="E89:E92"/>
    <mergeCell ref="E93:E96"/>
    <mergeCell ref="E97:E100"/>
    <mergeCell ref="D102:D105"/>
    <mergeCell ref="E102:E105"/>
    <mergeCell ref="D89:D100"/>
    <mergeCell ref="D108:D117"/>
    <mergeCell ref="E108:E110"/>
    <mergeCell ref="E111:E113"/>
    <mergeCell ref="E114:E117"/>
    <mergeCell ref="E74:E76"/>
    <mergeCell ref="E77:E79"/>
    <mergeCell ref="E80:E83"/>
    <mergeCell ref="D179:D190"/>
    <mergeCell ref="E179:E182"/>
    <mergeCell ref="E183:E186"/>
    <mergeCell ref="E187:E190"/>
    <mergeCell ref="D192:D195"/>
    <mergeCell ref="E192:E195"/>
    <mergeCell ref="D198:D207"/>
    <mergeCell ref="E198:E200"/>
    <mergeCell ref="E201:E203"/>
    <mergeCell ref="E204:E207"/>
    <mergeCell ref="D299:D312"/>
    <mergeCell ref="E299:E301"/>
    <mergeCell ref="E302:E304"/>
    <mergeCell ref="E305:E308"/>
    <mergeCell ref="E309:E312"/>
    <mergeCell ref="D314:D325"/>
    <mergeCell ref="E314:E317"/>
    <mergeCell ref="E318:E321"/>
    <mergeCell ref="E322:E325"/>
  </mergeCells>
  <pageMargins left="0.31496062992125984" right="0.31496062992125984" top="0.35433070866141736" bottom="0.39370078740157483" header="0.31496062992125984" footer="0.31496062992125984"/>
  <pageSetup paperSize="8" scale="40" fitToWidth="10" fitToHeight="10" orientation="landscape" blackAndWhite="1" horizontalDpi="200" verticalDpi="200" r:id="rId1"/>
  <headerFooter>
    <oddFooter>&amp;L&amp;A&amp;C&amp;D &amp;T&amp;RСтраница &amp;P из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инфо!$K$2:$K$20</xm:f>
          </x14:formula1>
          <xm:sqref>I337 CI337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pageSetUpPr fitToPage="1"/>
  </sheetPr>
  <dimension ref="B1:K118"/>
  <sheetViews>
    <sheetView showGridLines="0" zoomScale="90" zoomScaleNormal="90" workbookViewId="0">
      <pane ySplit="12" topLeftCell="A103" activePane="bottomLeft" state="frozen"/>
      <selection pane="bottomLeft" activeCell="E4" sqref="E4:F4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97"/>
      <c r="C1" s="98"/>
      <c r="D1" s="97"/>
      <c r="E1" s="97"/>
      <c r="F1" s="97"/>
      <c r="G1" s="97"/>
      <c r="H1" s="97"/>
      <c r="I1" s="99"/>
      <c r="J1" s="23"/>
      <c r="K1" s="114" t="s">
        <v>156</v>
      </c>
    </row>
    <row r="2" spans="2:11" ht="15.75" x14ac:dyDescent="0.25">
      <c r="B2" s="100"/>
      <c r="C2" s="101"/>
      <c r="D2" s="100"/>
      <c r="E2" s="102" t="s">
        <v>215</v>
      </c>
      <c r="F2" s="100"/>
      <c r="G2" s="103">
        <v>305</v>
      </c>
      <c r="H2" s="104"/>
      <c r="I2" s="105"/>
      <c r="J2" s="24"/>
      <c r="K2" s="23"/>
    </row>
    <row r="3" spans="2:11" ht="15.75" x14ac:dyDescent="0.25">
      <c r="B3" s="106"/>
      <c r="C3" s="96"/>
      <c r="D3" s="107"/>
      <c r="E3" s="107" t="s">
        <v>216</v>
      </c>
      <c r="F3" s="107"/>
      <c r="G3" s="108"/>
      <c r="H3" s="108"/>
      <c r="I3" s="107"/>
      <c r="J3" s="26"/>
      <c r="K3" s="23"/>
    </row>
    <row r="4" spans="2:11" ht="15.75" x14ac:dyDescent="0.25">
      <c r="B4" s="106"/>
      <c r="C4" s="109"/>
      <c r="D4" s="110"/>
      <c r="E4" s="757">
        <f>Меню!C18</f>
        <v>45117</v>
      </c>
      <c r="F4" s="757"/>
      <c r="G4" s="111" t="s">
        <v>277</v>
      </c>
      <c r="H4" s="96"/>
      <c r="I4" s="99"/>
      <c r="J4" s="23"/>
      <c r="K4" s="23"/>
    </row>
    <row r="5" spans="2:11" ht="23.25" customHeight="1" x14ac:dyDescent="0.25">
      <c r="B5" s="106"/>
      <c r="C5" s="96"/>
      <c r="D5" s="96"/>
      <c r="E5" s="97"/>
      <c r="F5" s="97"/>
      <c r="G5" s="97"/>
      <c r="H5" s="112"/>
      <c r="I5" s="113"/>
      <c r="J5" s="90" t="s">
        <v>10</v>
      </c>
      <c r="K5" s="91" t="s">
        <v>157</v>
      </c>
    </row>
    <row r="6" spans="2:11" ht="17.25" customHeight="1" thickBot="1" x14ac:dyDescent="0.3">
      <c r="B6" s="25"/>
      <c r="E6" s="23"/>
      <c r="F6" s="23"/>
      <c r="G6" s="23"/>
      <c r="H6" s="89"/>
      <c r="I6" s="92" t="s">
        <v>12</v>
      </c>
      <c r="J6" s="95">
        <f>Обложка!D22</f>
        <v>122</v>
      </c>
      <c r="K6" s="95">
        <f>Обложка!E22</f>
        <v>24</v>
      </c>
    </row>
    <row r="7" spans="2:11" ht="17.25" customHeight="1" x14ac:dyDescent="0.25">
      <c r="B7" s="25"/>
      <c r="D7" s="23"/>
      <c r="E7" s="23"/>
      <c r="F7" s="23"/>
      <c r="G7" s="23"/>
      <c r="H7" s="765" t="s">
        <v>158</v>
      </c>
      <c r="I7" s="93" t="s">
        <v>13</v>
      </c>
      <c r="J7" s="95">
        <f>Обложка!D23</f>
        <v>122</v>
      </c>
      <c r="K7" s="95">
        <f>Обложка!E23</f>
        <v>24</v>
      </c>
    </row>
    <row r="8" spans="2:11" ht="17.25" customHeight="1" x14ac:dyDescent="0.25">
      <c r="B8" s="25"/>
      <c r="D8" s="23"/>
      <c r="E8" s="23"/>
      <c r="F8" s="23"/>
      <c r="G8" s="23"/>
      <c r="H8" s="766"/>
      <c r="I8" s="94" t="s">
        <v>165</v>
      </c>
      <c r="J8" s="95">
        <f>Обложка!D25</f>
        <v>122</v>
      </c>
      <c r="K8" s="95">
        <f>Обложка!E25</f>
        <v>24</v>
      </c>
    </row>
    <row r="9" spans="2:11" ht="27" customHeight="1" thickBot="1" x14ac:dyDescent="0.3">
      <c r="B9" s="25"/>
      <c r="C9" s="202" t="s">
        <v>279</v>
      </c>
      <c r="D9" s="23"/>
      <c r="E9" s="23"/>
      <c r="F9" s="23"/>
      <c r="G9" s="23"/>
      <c r="H9" s="119">
        <f>J6*0.25+J7*0.4+J8*0.35</f>
        <v>122</v>
      </c>
      <c r="I9" s="94" t="s">
        <v>217</v>
      </c>
      <c r="J9" s="95">
        <f>Обложка!D26</f>
        <v>122</v>
      </c>
      <c r="K9" s="95">
        <f>Обложка!E26</f>
        <v>24</v>
      </c>
    </row>
    <row r="10" spans="2:11" ht="15.75" thickBot="1" x14ac:dyDescent="0.3">
      <c r="B10" s="29"/>
      <c r="C10" s="30"/>
      <c r="D10" s="29"/>
      <c r="E10" s="29"/>
      <c r="F10" s="123"/>
      <c r="G10" s="29"/>
      <c r="H10" s="29"/>
      <c r="I10" s="31"/>
      <c r="J10" s="29"/>
      <c r="K10" s="28"/>
    </row>
    <row r="11" spans="2:11" ht="30" customHeight="1" x14ac:dyDescent="0.25">
      <c r="B11" s="752" t="s">
        <v>159</v>
      </c>
      <c r="C11" s="750" t="s">
        <v>160</v>
      </c>
      <c r="D11" s="759" t="s">
        <v>463</v>
      </c>
      <c r="E11" s="754" t="s">
        <v>161</v>
      </c>
      <c r="F11" s="755"/>
      <c r="G11" s="755"/>
      <c r="H11" s="756"/>
      <c r="I11" s="761" t="s">
        <v>162</v>
      </c>
      <c r="J11" s="763" t="s">
        <v>163</v>
      </c>
      <c r="K11" s="748" t="s">
        <v>164</v>
      </c>
    </row>
    <row r="12" spans="2:11" ht="26.25" thickBot="1" x14ac:dyDescent="0.3">
      <c r="B12" s="753"/>
      <c r="C12" s="751"/>
      <c r="D12" s="760"/>
      <c r="E12" s="200" t="s">
        <v>133</v>
      </c>
      <c r="F12" s="200" t="s">
        <v>134</v>
      </c>
      <c r="G12" s="201" t="s">
        <v>139</v>
      </c>
      <c r="H12" s="67" t="s">
        <v>192</v>
      </c>
      <c r="I12" s="762"/>
      <c r="J12" s="764"/>
      <c r="K12" s="749"/>
    </row>
    <row r="13" spans="2:11" ht="15.75" x14ac:dyDescent="0.25">
      <c r="B13" s="690">
        <v>1</v>
      </c>
      <c r="C13" s="691" t="str">
        <f>инфо!C2</f>
        <v>Горох</v>
      </c>
      <c r="D13" s="692">
        <f>_xlfn.XLOOKUP($C13,Меню!$J$8:$DK$8,Меню!$J$62:$DK$62,"нет такого",,-1)</f>
        <v>72</v>
      </c>
      <c r="E13" s="693">
        <f>SUMIF(Меню!$J$8:$DK$8,$C13,Меню!$J$28:$DK$28)/1000*$J$6</f>
        <v>0</v>
      </c>
      <c r="F13" s="693">
        <f>SUMIF(Меню!$J$8:$DK$8,$C13,Меню!$J$43:$DK$43)/1000*J$7</f>
        <v>2.6839999999999997</v>
      </c>
      <c r="G13" s="693">
        <f>SUMIF(Меню!$J$8:$DK$8,$C13,Меню!$J$56:$DK$56)/1000*$J$8</f>
        <v>6.1000000000000005</v>
      </c>
      <c r="H13" s="693">
        <f>SUMIF(Меню!$J$8:$DK$8,$C13,Меню!$J$61:$DK$61)/1000*$J$9</f>
        <v>0</v>
      </c>
      <c r="I13" s="694">
        <f>SUM(E13:H13)</f>
        <v>8.7840000000000007</v>
      </c>
      <c r="J13" s="692"/>
      <c r="K13" s="695"/>
    </row>
    <row r="14" spans="2:11" ht="15.75" x14ac:dyDescent="0.25">
      <c r="B14" s="64">
        <f>B13+1</f>
        <v>2</v>
      </c>
      <c r="C14" s="32" t="str">
        <f>инфо!C3</f>
        <v>Гречневая</v>
      </c>
      <c r="D14" s="33">
        <f>_xlfn.XLOOKUP($C14,Меню!$J$8:$DK$8,Меню!$J$62:$DK$62,"нет такого",,-1)</f>
        <v>170</v>
      </c>
      <c r="E14" s="35">
        <f>SUMIF(Меню!$J$8:$DK$8,$C14,Меню!$J$28:$DK$28)/1000*$J$6</f>
        <v>0</v>
      </c>
      <c r="F14" s="35">
        <f>SUMIF(Меню!$J$8:$DK$8,$C14,Меню!$J$43:$DK$43)/1000*J$7</f>
        <v>8.5400000000000009</v>
      </c>
      <c r="G14" s="35">
        <f>SUMIF(Меню!$J$8:$DK$8,$C14,Меню!$J$56:$DK$56)/1000*$J$8</f>
        <v>12.200000000000001</v>
      </c>
      <c r="H14" s="35">
        <f>SUMIF(Меню!$J$8:$DK$8,$C14,Меню!$J$61:$DK$61)/1000*$J$9</f>
        <v>0</v>
      </c>
      <c r="I14" s="36">
        <f t="shared" ref="I14:I53" si="0">SUM(E14:H14)</f>
        <v>20.740000000000002</v>
      </c>
      <c r="J14" s="33"/>
      <c r="K14" s="34"/>
    </row>
    <row r="15" spans="2:11" ht="15.75" x14ac:dyDescent="0.25">
      <c r="B15" s="64">
        <f t="shared" ref="B15:B79" si="1">B14+1</f>
        <v>3</v>
      </c>
      <c r="C15" s="32" t="str">
        <f>инфо!C4</f>
        <v>Манная</v>
      </c>
      <c r="D15" s="33">
        <f>_xlfn.XLOOKUP($C15,Меню!$J$8:$DK$8,Меню!$J$62:$DK$62,"нет такого",,-1)</f>
        <v>75</v>
      </c>
      <c r="E15" s="35">
        <f>SUMIF(Меню!$J$8:$DK$8,$C15,Меню!$J$28:$DK$28)/1000*$J$6</f>
        <v>9.15</v>
      </c>
      <c r="F15" s="35">
        <f>SUMIF(Меню!$J$8:$DK$8,$C15,Меню!$J$43:$DK$43)/1000*J$7</f>
        <v>0</v>
      </c>
      <c r="G15" s="35">
        <f>SUMIF(Меню!$J$8:$DK$8,$C15,Меню!$J$56:$DK$56)/1000*$J$8</f>
        <v>0</v>
      </c>
      <c r="H15" s="35">
        <f>SUMIF(Меню!$J$8:$DK$8,$C15,Меню!$J$61:$DK$61)/1000*$J$9</f>
        <v>0</v>
      </c>
      <c r="I15" s="36">
        <f t="shared" si="0"/>
        <v>9.15</v>
      </c>
      <c r="J15" s="33"/>
      <c r="K15" s="34"/>
    </row>
    <row r="16" spans="2:11" ht="15.75" x14ac:dyDescent="0.25">
      <c r="B16" s="64">
        <f t="shared" si="1"/>
        <v>4</v>
      </c>
      <c r="C16" s="32" t="str">
        <f>инфо!C5</f>
        <v>Овсяная</v>
      </c>
      <c r="D16" s="33">
        <f>_xlfn.XLOOKUP($C16,Меню!$J$8:$DK$8,Меню!$J$62:$DK$62,"нет такого",,-1)</f>
        <v>0</v>
      </c>
      <c r="E16" s="35">
        <f>SUMIF(Меню!$J$8:$DK$8,$C16,Меню!$J$28:$DK$28)/1000*$J$6</f>
        <v>0</v>
      </c>
      <c r="F16" s="35">
        <f>SUMIF(Меню!$J$8:$DK$8,$C16,Меню!$J$43:$DK$43)/1000*J$7</f>
        <v>0</v>
      </c>
      <c r="G16" s="35">
        <f>SUMIF(Меню!$J$8:$DK$8,$C16,Меню!$J$56:$DK$56)/1000*$J$8</f>
        <v>0</v>
      </c>
      <c r="H16" s="35">
        <f>SUMIF(Меню!$J$8:$DK$8,$C16,Меню!$J$61:$DK$61)/1000*$J$9</f>
        <v>0</v>
      </c>
      <c r="I16" s="35">
        <f t="shared" si="0"/>
        <v>0</v>
      </c>
      <c r="J16" s="33"/>
      <c r="K16" s="34"/>
    </row>
    <row r="17" spans="2:11" ht="15.75" x14ac:dyDescent="0.25">
      <c r="B17" s="64">
        <f t="shared" si="1"/>
        <v>5</v>
      </c>
      <c r="C17" s="32" t="str">
        <f>инфо!C6</f>
        <v>Перловая</v>
      </c>
      <c r="D17" s="33">
        <f>_xlfn.XLOOKUP($C17,Меню!$J$8:$DK$8,Меню!$J$62:$DK$62,"нет такого",,-1)</f>
        <v>0</v>
      </c>
      <c r="E17" s="35">
        <f>SUMIF(Меню!$J$8:$DK$8,$C17,Меню!$J$28:$DK$28)/1000*$J$6</f>
        <v>0</v>
      </c>
      <c r="F17" s="35">
        <f>SUMIF(Меню!$J$8:$DK$8,$C17,Меню!$J$43:$DK$43)/1000*J$7</f>
        <v>0</v>
      </c>
      <c r="G17" s="35">
        <f>SUMIF(Меню!$J$8:$DK$8,$C17,Меню!$J$56:$DK$56)/1000*$J$8</f>
        <v>0</v>
      </c>
      <c r="H17" s="35">
        <f>SUMIF(Меню!$J$8:$DK$8,$C17,Меню!$J$61:$DK$61)/1000*$J$9</f>
        <v>0</v>
      </c>
      <c r="I17" s="35">
        <f t="shared" si="0"/>
        <v>0</v>
      </c>
      <c r="J17" s="33"/>
      <c r="K17" s="34"/>
    </row>
    <row r="18" spans="2:11" ht="15.75" x14ac:dyDescent="0.25">
      <c r="B18" s="64">
        <f t="shared" si="1"/>
        <v>6</v>
      </c>
      <c r="C18" s="32" t="str">
        <f>инфо!C7</f>
        <v>Пшено</v>
      </c>
      <c r="D18" s="33">
        <f>_xlfn.XLOOKUP($C18,Меню!$J$8:$DK$8,Меню!$J$62:$DK$62,"нет такого",,-1)</f>
        <v>0</v>
      </c>
      <c r="E18" s="35">
        <f>SUMIF(Меню!$J$8:$DK$8,$C18,Меню!$J$28:$DK$28)/1000*$J$6</f>
        <v>0</v>
      </c>
      <c r="F18" s="35">
        <f>SUMIF(Меню!$J$8:$DK$8,$C18,Меню!$J$43:$DK$43)/1000*J$7</f>
        <v>0</v>
      </c>
      <c r="G18" s="35">
        <f>SUMIF(Меню!$J$8:$DK$8,$C18,Меню!$J$56:$DK$56)/1000*$J$8</f>
        <v>0</v>
      </c>
      <c r="H18" s="35">
        <f>SUMIF(Меню!$J$8:$DK$8,$C18,Меню!$J$61:$DK$61)/1000*$J$9</f>
        <v>0</v>
      </c>
      <c r="I18" s="36">
        <f t="shared" si="0"/>
        <v>0</v>
      </c>
      <c r="J18" s="33"/>
      <c r="K18" s="34"/>
    </row>
    <row r="19" spans="2:11" ht="15.75" x14ac:dyDescent="0.25">
      <c r="B19" s="64">
        <f t="shared" si="1"/>
        <v>7</v>
      </c>
      <c r="C19" s="32" t="str">
        <f>инфо!C8</f>
        <v>Рис</v>
      </c>
      <c r="D19" s="33">
        <f>_xlfn.XLOOKUP($C19,Меню!$J$8:$DK$8,Меню!$J$62:$DK$62,"нет такого",,-1)</f>
        <v>15</v>
      </c>
      <c r="E19" s="35">
        <f>SUMIF(Меню!$J$8:$DK$8,$C19,Меню!$J$28:$DK$28)/1000*$J$6</f>
        <v>0</v>
      </c>
      <c r="F19" s="35">
        <f>SUMIF(Меню!$J$8:$DK$8,$C19,Меню!$J$43:$DK$43)/1000*J$7</f>
        <v>0</v>
      </c>
      <c r="G19" s="35">
        <f>SUMIF(Меню!$J$8:$DK$8,$C19,Меню!$J$56:$DK$56)/1000*$J$8</f>
        <v>1.8299999999999998</v>
      </c>
      <c r="H19" s="35">
        <f>SUMIF(Меню!$J$8:$DK$8,$C19,Меню!$J$61:$DK$61)/1000*$J$9</f>
        <v>0</v>
      </c>
      <c r="I19" s="36">
        <f t="shared" si="0"/>
        <v>1.8299999999999998</v>
      </c>
      <c r="J19" s="33"/>
      <c r="K19" s="34" t="s">
        <v>123</v>
      </c>
    </row>
    <row r="20" spans="2:11" ht="15.75" x14ac:dyDescent="0.25">
      <c r="B20" s="64">
        <f t="shared" si="1"/>
        <v>8</v>
      </c>
      <c r="C20" s="32" t="str">
        <f>инфо!C9</f>
        <v>Ячневая</v>
      </c>
      <c r="D20" s="33">
        <f>_xlfn.XLOOKUP($C20,Меню!$J$8:$DK$8,Меню!$J$62:$DK$62,"нет такого",,-1)</f>
        <v>0</v>
      </c>
      <c r="E20" s="35">
        <f>SUMIF(Меню!$J$8:$DK$8,$C20,Меню!$J$28:$DK$28)/1000*$J$6</f>
        <v>0</v>
      </c>
      <c r="F20" s="35">
        <f>SUMIF(Меню!$J$8:$DK$8,$C20,Меню!$J$43:$DK$43)/1000*J$7</f>
        <v>0</v>
      </c>
      <c r="G20" s="35">
        <f>SUMIF(Меню!$J$8:$DK$8,$C20,Меню!$J$56:$DK$56)/1000*$J$8</f>
        <v>0</v>
      </c>
      <c r="H20" s="35">
        <f>SUMIF(Меню!$J$8:$DK$8,$C20,Меню!$J$61:$DK$61)/1000*$J$9</f>
        <v>0</v>
      </c>
      <c r="I20" s="36">
        <f t="shared" si="0"/>
        <v>0</v>
      </c>
      <c r="J20" s="33"/>
      <c r="K20" s="34"/>
    </row>
    <row r="21" spans="2:11" ht="15.75" x14ac:dyDescent="0.25">
      <c r="B21" s="64">
        <f t="shared" si="1"/>
        <v>9</v>
      </c>
      <c r="C21" s="32" t="str">
        <f>инфо!C10</f>
        <v>Фасоль</v>
      </c>
      <c r="D21" s="33">
        <f>_xlfn.XLOOKUP($C21,Меню!$J$8:$DK$8,Меню!$J$62:$DK$62,"нет такого",,-1)</f>
        <v>0</v>
      </c>
      <c r="E21" s="35">
        <f>SUMIF(Меню!$J$8:$DK$8,$C21,Меню!$J$28:$DK$28)/1000*$J$6</f>
        <v>0</v>
      </c>
      <c r="F21" s="35">
        <f>SUMIF(Меню!$J$8:$DK$8,$C21,Меню!$J$43:$DK$43)/1000*J$7</f>
        <v>0</v>
      </c>
      <c r="G21" s="35">
        <f>SUMIF(Меню!$J$8:$DK$8,$C21,Меню!$J$56:$DK$56)/1000*$J$8</f>
        <v>0</v>
      </c>
      <c r="H21" s="35">
        <f>SUMIF(Меню!$J$8:$DK$8,$C21,Меню!$J$61:$DK$61)/1000*$J$9</f>
        <v>0</v>
      </c>
      <c r="I21" s="36">
        <f t="shared" si="0"/>
        <v>0</v>
      </c>
      <c r="J21" s="33"/>
      <c r="K21" s="34"/>
    </row>
    <row r="22" spans="2:11" ht="15.75" x14ac:dyDescent="0.25">
      <c r="B22" s="64">
        <f t="shared" si="1"/>
        <v>10</v>
      </c>
      <c r="C22" s="32" t="str">
        <f>инфо!C11</f>
        <v>Крупа 1</v>
      </c>
      <c r="D22" s="33">
        <f>_xlfn.XLOOKUP($C22,Меню!$J$8:$DK$8,Меню!$J$62:$DK$62,"нет такого",,-1)</f>
        <v>0</v>
      </c>
      <c r="E22" s="35">
        <f>SUMIF(Меню!$J$8:$DK$8,$C22,Меню!$J$28:$DK$28)/1000*$J$6</f>
        <v>0</v>
      </c>
      <c r="F22" s="35">
        <f>SUMIF(Меню!$J$8:$DK$8,$C22,Меню!$J$43:$DK$43)/1000*J$7</f>
        <v>0</v>
      </c>
      <c r="G22" s="35">
        <f>SUMIF(Меню!$J$8:$DK$8,$C22,Меню!$J$56:$DK$56)/1000*$J$8</f>
        <v>0</v>
      </c>
      <c r="H22" s="35">
        <f>SUMIF(Меню!$J$8:$DK$8,$C22,Меню!$J$61:$DK$61)/1000*$J$9</f>
        <v>0</v>
      </c>
      <c r="I22" s="36">
        <f t="shared" si="0"/>
        <v>0</v>
      </c>
      <c r="J22" s="33"/>
      <c r="K22" s="34"/>
    </row>
    <row r="23" spans="2:11" ht="15.75" x14ac:dyDescent="0.25">
      <c r="B23" s="64">
        <f t="shared" si="1"/>
        <v>11</v>
      </c>
      <c r="C23" s="32" t="str">
        <f>инфо!C12</f>
        <v>Макаронные изделия</v>
      </c>
      <c r="D23" s="33">
        <f>_xlfn.XLOOKUP($C23,Меню!$J$8:$DK$8,Меню!$J$62:$DK$62,"нет такого",,-1)</f>
        <v>70</v>
      </c>
      <c r="E23" s="35">
        <f>SUMIF(Меню!$J$8:$DK$8,$C23,Меню!$J$28:$DK$28)/1000*$J$6</f>
        <v>0</v>
      </c>
      <c r="F23" s="35">
        <f>SUMIF(Меню!$J$8:$DK$8,$C23,Меню!$J$43:$DK$43)/1000*J$7</f>
        <v>0</v>
      </c>
      <c r="G23" s="35">
        <f>SUMIF(Меню!$J$8:$DK$8,$C23,Меню!$J$56:$DK$56)/1000*$J$8</f>
        <v>8.5400000000000009</v>
      </c>
      <c r="H23" s="35">
        <f>SUMIF(Меню!$J$8:$DK$8,$C23,Меню!$J$61:$DK$61)/1000*$J$9</f>
        <v>0</v>
      </c>
      <c r="I23" s="36">
        <f t="shared" si="0"/>
        <v>8.5400000000000009</v>
      </c>
      <c r="J23" s="33"/>
      <c r="K23" s="34"/>
    </row>
    <row r="24" spans="2:11" ht="15.75" x14ac:dyDescent="0.25">
      <c r="B24" s="64">
        <f t="shared" si="1"/>
        <v>12</v>
      </c>
      <c r="C24" s="32" t="str">
        <f>инфо!C13</f>
        <v>Горошек, фасоль, кукуруза консервированные</v>
      </c>
      <c r="D24" s="33">
        <f>_xlfn.XLOOKUP($C24,Меню!$J$8:$DK$8,Меню!$J$62:$DK$62,"нет такого",,-1)</f>
        <v>20</v>
      </c>
      <c r="E24" s="35">
        <f>SUMIF(Меню!$J$8:$DK$8,$C24,Меню!$J$28:$DK$28)/1000*$J$6</f>
        <v>2.44</v>
      </c>
      <c r="F24" s="35">
        <f>SUMIF(Меню!$J$8:$DK$8,$C24,Меню!$J$43:$DK$43)/1000*J$7</f>
        <v>0</v>
      </c>
      <c r="G24" s="35">
        <f>SUMIF(Меню!$J$8:$DK$8,$C24,Меню!$J$56:$DK$56)/1000*$J$8</f>
        <v>0</v>
      </c>
      <c r="H24" s="35">
        <f>SUMIF(Меню!$J$8:$DK$8,$C24,Меню!$J$61:$DK$61)/1000*$J$9</f>
        <v>0</v>
      </c>
      <c r="I24" s="36">
        <f t="shared" si="0"/>
        <v>2.44</v>
      </c>
      <c r="J24" s="33"/>
      <c r="K24" s="34"/>
    </row>
    <row r="25" spans="2:11" ht="15.75" x14ac:dyDescent="0.25">
      <c r="B25" s="64">
        <f t="shared" si="1"/>
        <v>13</v>
      </c>
      <c r="C25" s="32" t="str">
        <f>инфо!C14</f>
        <v>Капуста свежая/кваш.</v>
      </c>
      <c r="D25" s="33">
        <f>_xlfn.XLOOKUP($C25,Меню!$J$8:$DK$8,Меню!$J$62:$DK$62,"нет такого",,-1)</f>
        <v>0</v>
      </c>
      <c r="E25" s="35">
        <f>SUMIF(Меню!$J$8:$DK$8,$C25,Меню!$J$28:$DK$28)/1000*$J$6</f>
        <v>0</v>
      </c>
      <c r="F25" s="35">
        <f>SUMIF(Меню!$J$8:$DK$8,$C25,Меню!$J$43:$DK$43)/1000*J$7</f>
        <v>15.860000000000001</v>
      </c>
      <c r="G25" s="35">
        <f>SUMIF(Меню!$J$8:$DK$8,$C25,Меню!$J$56:$DK$56)/1000*$J$8</f>
        <v>0</v>
      </c>
      <c r="H25" s="35">
        <f>SUMIF(Меню!$J$8:$DK$8,$C25,Меню!$J$61:$DK$61)/1000*$J$9</f>
        <v>0</v>
      </c>
      <c r="I25" s="35">
        <f t="shared" si="0"/>
        <v>15.860000000000001</v>
      </c>
      <c r="J25" s="33"/>
      <c r="K25" s="34"/>
    </row>
    <row r="26" spans="2:11" ht="15.75" x14ac:dyDescent="0.25">
      <c r="B26" s="64">
        <f t="shared" si="1"/>
        <v>14</v>
      </c>
      <c r="C26" s="32" t="str">
        <f>инфо!C15</f>
        <v>Картофель</v>
      </c>
      <c r="D26" s="33">
        <f>_xlfn.XLOOKUP($C26,Меню!$J$8:$DK$8,Меню!$J$62:$DK$62,"нет такого",,-1)</f>
        <v>220</v>
      </c>
      <c r="E26" s="35">
        <f>SUMIF(Меню!$J$8:$DK$8,$C26,Меню!$J$28:$DK$28)/1000*$J$6</f>
        <v>0</v>
      </c>
      <c r="F26" s="35">
        <f>SUMIF(Меню!$J$8:$DK$8,$C26,Меню!$J$43:$DK$43)/1000*J$7</f>
        <v>14.639999999999999</v>
      </c>
      <c r="G26" s="35">
        <f>SUMIF(Меню!$J$8:$DK$8,$C26,Меню!$J$56:$DK$56)/1000*$J$8</f>
        <v>12.200000000000001</v>
      </c>
      <c r="H26" s="35">
        <f>SUMIF(Меню!$J$8:$DK$8,$C26,Меню!$J$61:$DK$61)/1000*$J$9</f>
        <v>0</v>
      </c>
      <c r="I26" s="36">
        <f t="shared" si="0"/>
        <v>26.84</v>
      </c>
      <c r="J26" s="33"/>
      <c r="K26" s="34"/>
    </row>
    <row r="27" spans="2:11" ht="15.75" x14ac:dyDescent="0.25">
      <c r="B27" s="64">
        <f t="shared" si="1"/>
        <v>15</v>
      </c>
      <c r="C27" s="32" t="str">
        <f>инфо!C16</f>
        <v>Лук репчатый</v>
      </c>
      <c r="D27" s="33">
        <f>_xlfn.XLOOKUP($C27,Меню!$J$8:$DK$8,Меню!$J$62:$DK$62,"нет такого",,-1)</f>
        <v>55</v>
      </c>
      <c r="E27" s="35">
        <f>SUMIF(Меню!$J$8:$DK$8,$C27,Меню!$J$28:$DK$28)/1000*$J$6</f>
        <v>0</v>
      </c>
      <c r="F27" s="35">
        <f>SUMIF(Меню!$J$8:$DK$8,$C27,Меню!$J$43:$DK$43)/1000*J$7</f>
        <v>4.88</v>
      </c>
      <c r="G27" s="35">
        <f>SUMIF(Меню!$J$8:$DK$8,$C27,Меню!$J$56:$DK$56)/1000*$J$8</f>
        <v>1.8299999999999998</v>
      </c>
      <c r="H27" s="35">
        <f>SUMIF(Меню!$J$8:$DK$8,$C27,Меню!$J$61:$DK$61)/1000*$J$9</f>
        <v>0</v>
      </c>
      <c r="I27" s="36">
        <f>SUM(E27:H27)</f>
        <v>6.71</v>
      </c>
      <c r="J27" s="33"/>
      <c r="K27" s="34"/>
    </row>
    <row r="28" spans="2:11" ht="15.75" x14ac:dyDescent="0.25">
      <c r="B28" s="64">
        <f t="shared" si="1"/>
        <v>16</v>
      </c>
      <c r="C28" s="32" t="str">
        <f>инфо!C17</f>
        <v>Морковь</v>
      </c>
      <c r="D28" s="33">
        <f>_xlfn.XLOOKUP($C28,Меню!$J$8:$DK$8,Меню!$J$62:$DK$62,"нет такого",,-1)</f>
        <v>67</v>
      </c>
      <c r="E28" s="35">
        <f>SUMIF(Меню!$J$8:$DK$8,$C28,Меню!$J$28:$DK$28)/1000*$J$6</f>
        <v>0</v>
      </c>
      <c r="F28" s="35">
        <f>SUMIF(Меню!$J$8:$DK$8,$C28,Меню!$J$43:$DK$43)/1000*J$7</f>
        <v>6.1000000000000005</v>
      </c>
      <c r="G28" s="35">
        <f>SUMIF(Меню!$J$8:$DK$8,$C28,Меню!$J$56:$DK$56)/1000*$J$8</f>
        <v>2.0740000000000003</v>
      </c>
      <c r="H28" s="35">
        <f>SUMIF(Меню!$J$8:$DK$8,$C28,Меню!$J$61:$DK$61)/1000*$J$9</f>
        <v>0</v>
      </c>
      <c r="I28" s="36">
        <f>SUM(E28:H28)</f>
        <v>8.1740000000000013</v>
      </c>
      <c r="J28" s="33"/>
      <c r="K28" s="34"/>
    </row>
    <row r="29" spans="2:11" ht="15.75" x14ac:dyDescent="0.25">
      <c r="B29" s="64">
        <f t="shared" si="1"/>
        <v>17</v>
      </c>
      <c r="C29" s="32" t="str">
        <f>инфо!C18</f>
        <v>Огурцы свежие/соленые</v>
      </c>
      <c r="D29" s="33">
        <f>_xlfn.XLOOKUP($C29,Меню!$J$8:$DK$8,Меню!$J$62:$DK$62,"нет такого",,-1)</f>
        <v>0</v>
      </c>
      <c r="E29" s="35">
        <f>SUMIF(Меню!$J$8:$DK$8,$C29,Меню!$J$28:$DK$28)/1000*$J$6</f>
        <v>0</v>
      </c>
      <c r="F29" s="35">
        <f>SUMIF(Меню!$J$8:$DK$8,$C29,Меню!$J$43:$DK$43)/1000*J$7</f>
        <v>0</v>
      </c>
      <c r="G29" s="35">
        <f>SUMIF(Меню!$J$8:$DK$8,$C29,Меню!$J$56:$DK$56)/1000*$J$8</f>
        <v>0</v>
      </c>
      <c r="H29" s="35">
        <f>SUMIF(Меню!$J$8:$DK$8,$C29,Меню!$J$61:$DK$61)/1000*$J$9</f>
        <v>0</v>
      </c>
      <c r="I29" s="36">
        <f t="shared" si="0"/>
        <v>0</v>
      </c>
      <c r="J29" s="33"/>
      <c r="K29" s="34"/>
    </row>
    <row r="30" spans="2:11" ht="15.75" x14ac:dyDescent="0.25">
      <c r="B30" s="64">
        <f t="shared" si="1"/>
        <v>18</v>
      </c>
      <c r="C30" s="32" t="str">
        <f>инфо!C19</f>
        <v>Помидоры свежие/конс.</v>
      </c>
      <c r="D30" s="33">
        <f>_xlfn.XLOOKUP($C30,Меню!$J$8:$DK$8,Меню!$J$62:$DK$62,"нет такого",,-1)</f>
        <v>0</v>
      </c>
      <c r="E30" s="35">
        <f>SUMIF(Меню!$J$8:$DK$8,$C30,Меню!$J$28:$DK$28)/1000*$J$6</f>
        <v>0</v>
      </c>
      <c r="F30" s="35">
        <f>SUMIF(Меню!$J$8:$DK$8,$C30,Меню!$J$43:$DK$43)/1000*J$7</f>
        <v>0</v>
      </c>
      <c r="G30" s="35">
        <f>SUMIF(Меню!$J$8:$DK$8,$C30,Меню!$J$56:$DK$56)/1000*$J$8</f>
        <v>0</v>
      </c>
      <c r="H30" s="35">
        <f>SUMIF(Меню!$J$8:$DK$8,$C30,Меню!$J$61:$DK$61)/1000*$J$9</f>
        <v>0</v>
      </c>
      <c r="I30" s="36">
        <f t="shared" si="0"/>
        <v>0</v>
      </c>
      <c r="J30" s="33"/>
      <c r="K30" s="34"/>
    </row>
    <row r="31" spans="2:11" ht="15.75" x14ac:dyDescent="0.25">
      <c r="B31" s="64">
        <f t="shared" si="1"/>
        <v>19</v>
      </c>
      <c r="C31" s="32" t="str">
        <f>инфо!C23</f>
        <v>Свекла</v>
      </c>
      <c r="D31" s="33">
        <f>_xlfn.XLOOKUP($C31,Меню!$J$8:$DK$8,Меню!$J$62:$DK$62,"нет такого",,-1)</f>
        <v>0</v>
      </c>
      <c r="E31" s="35">
        <f>SUMIF(Меню!$J$8:$DK$8,$C31,Меню!$J$28:$DK$28)/1000*$J$6</f>
        <v>0</v>
      </c>
      <c r="F31" s="35">
        <f>SUMIF(Меню!$J$8:$DK$8,$C31,Меню!$J$43:$DK$43)/1000*J$7</f>
        <v>0</v>
      </c>
      <c r="G31" s="35">
        <f>SUMIF(Меню!$J$8:$DK$8,$C31,Меню!$J$56:$DK$56)/1000*$J$8</f>
        <v>0</v>
      </c>
      <c r="H31" s="35">
        <f>SUMIF(Меню!$J$8:$DK$8,$C31,Меню!$J$61:$DK$61)/1000*$J$9</f>
        <v>0</v>
      </c>
      <c r="I31" s="36">
        <f t="shared" si="0"/>
        <v>0</v>
      </c>
      <c r="J31" s="33"/>
      <c r="K31" s="34"/>
    </row>
    <row r="32" spans="2:11" ht="15.75" x14ac:dyDescent="0.25">
      <c r="B32" s="64">
        <f t="shared" si="1"/>
        <v>20</v>
      </c>
      <c r="C32" s="32" t="str">
        <f>инфо!C24</f>
        <v>Зелень</v>
      </c>
      <c r="D32" s="33">
        <f>_xlfn.XLOOKUP($C32,Меню!$J$8:$DK$8,Меню!$J$62:$DK$62,"нет такого",,-1)</f>
        <v>0</v>
      </c>
      <c r="E32" s="35">
        <f>SUMIF(Меню!$J$8:$DK$8,$C32,Меню!$J$28:$DK$28)/1000*$J$6</f>
        <v>0</v>
      </c>
      <c r="F32" s="35">
        <f>SUMIF(Меню!$J$8:$DK$8,$C32,Меню!$J$43:$DK$43)/1000*J$7</f>
        <v>0</v>
      </c>
      <c r="G32" s="35">
        <f>SUMIF(Меню!$J$8:$DK$8,$C32,Меню!$J$56:$DK$56)/1000*$J$8</f>
        <v>0</v>
      </c>
      <c r="H32" s="35">
        <f>SUMIF(Меню!$J$8:$DK$8,$C32,Меню!$J$61:$DK$61)/1000*$J$9</f>
        <v>0</v>
      </c>
      <c r="I32" s="35">
        <f t="shared" si="0"/>
        <v>0</v>
      </c>
      <c r="J32" s="33"/>
      <c r="K32" s="34"/>
    </row>
    <row r="33" spans="2:11" ht="15.75" x14ac:dyDescent="0.25">
      <c r="B33" s="64">
        <f t="shared" si="1"/>
        <v>21</v>
      </c>
      <c r="C33" s="32" t="str">
        <f>инфо!C25</f>
        <v xml:space="preserve">Консервы овощ. закусочные, лечо </v>
      </c>
      <c r="D33" s="33">
        <f>_xlfn.XLOOKUP($C33,Меню!$J$8:$DK$8,Меню!$J$62:$DK$62,"нет такого",,-1)</f>
        <v>37.5</v>
      </c>
      <c r="E33" s="35">
        <f>SUMIF(Меню!$J$8:$DK$8,$C33,Меню!$J$28:$DK$28)/1000*$J$6</f>
        <v>0</v>
      </c>
      <c r="F33" s="35">
        <f>SUMIF(Меню!$J$8:$DK$8,$C33,Меню!$J$43:$DK$43)/1000*J$7</f>
        <v>0</v>
      </c>
      <c r="G33" s="35">
        <f>SUMIF(Меню!$J$8:$DK$8,$C33,Меню!$J$56:$DK$56)/1000*$J$8</f>
        <v>4.5750000000000002</v>
      </c>
      <c r="H33" s="35">
        <f>SUMIF(Меню!$J$8:$DK$8,$C33,Меню!$J$61:$DK$61)/1000*$J$9</f>
        <v>0</v>
      </c>
      <c r="I33" s="36">
        <f t="shared" ref="I33:I38" si="2">SUM(E33:H33)</f>
        <v>4.5750000000000002</v>
      </c>
      <c r="J33" s="33"/>
      <c r="K33" s="34"/>
    </row>
    <row r="34" spans="2:11" ht="15.75" x14ac:dyDescent="0.25">
      <c r="B34" s="64">
        <f t="shared" si="1"/>
        <v>22</v>
      </c>
      <c r="C34" s="32" t="str">
        <f>инфо!C26</f>
        <v>Чеснок</v>
      </c>
      <c r="D34" s="33">
        <f>_xlfn.XLOOKUP($C34,Меню!$J$8:$DK$8,Меню!$J$62:$DK$62,"нет такого",,-1)</f>
        <v>2</v>
      </c>
      <c r="E34" s="35">
        <f>SUMIF(Меню!$J$8:$DK$8,$C34,Меню!$J$28:$DK$28)/1000*$J$6</f>
        <v>0</v>
      </c>
      <c r="F34" s="35">
        <f>SUMIF(Меню!$J$8:$DK$8,$C34,Меню!$J$43:$DK$43)/1000*J$7</f>
        <v>0.24399999999999999</v>
      </c>
      <c r="G34" s="35">
        <f>SUMIF(Меню!$J$8:$DK$8,$C34,Меню!$J$56:$DK$56)/1000*$J$8</f>
        <v>0</v>
      </c>
      <c r="H34" s="35">
        <f>SUMIF(Меню!$J$8:$DK$8,$C34,Меню!$J$61:$DK$61)/1000*$J$9</f>
        <v>0</v>
      </c>
      <c r="I34" s="36">
        <f t="shared" si="2"/>
        <v>0.24399999999999999</v>
      </c>
      <c r="J34" s="33"/>
      <c r="K34" s="34"/>
    </row>
    <row r="35" spans="2:11" ht="15.75" x14ac:dyDescent="0.25">
      <c r="B35" s="64">
        <f t="shared" si="1"/>
        <v>23</v>
      </c>
      <c r="C35" s="32" t="str">
        <f>инфо!C27</f>
        <v>Капуста свежая/кваш.</v>
      </c>
      <c r="D35" s="33">
        <f>_xlfn.XLOOKUP($C35,Меню!$J$8:$DK$8,Меню!$J$62:$DK$62,"нет такого",,-1)</f>
        <v>0</v>
      </c>
      <c r="E35" s="35">
        <f>SUMIF(Меню!$J$8:$DK$8,$C35,Меню!$J$28:$DK$28)/1000*$J$6</f>
        <v>0</v>
      </c>
      <c r="F35" s="35">
        <f>SUMIF(Меню!$J$8:$DK$8,$C35,Меню!$J$43:$DK$43)/1000*J$7</f>
        <v>15.860000000000001</v>
      </c>
      <c r="G35" s="35">
        <f>SUMIF(Меню!$J$8:$DK$8,$C35,Меню!$J$56:$DK$56)/1000*$J$8</f>
        <v>0</v>
      </c>
      <c r="H35" s="35">
        <f>SUMIF(Меню!$J$8:$DK$8,$C35,Меню!$J$61:$DK$61)/1000*$J$9</f>
        <v>0</v>
      </c>
      <c r="I35" s="36">
        <f t="shared" si="2"/>
        <v>15.860000000000001</v>
      </c>
      <c r="J35" s="33"/>
      <c r="K35" s="34"/>
    </row>
    <row r="36" spans="2:11" ht="15.75" x14ac:dyDescent="0.25">
      <c r="B36" s="64">
        <f t="shared" si="1"/>
        <v>24</v>
      </c>
      <c r="C36" s="32" t="str">
        <f>инфо!C33</f>
        <v>Овощи запас 2</v>
      </c>
      <c r="D36" s="33">
        <f>_xlfn.XLOOKUP($C36,Меню!$J$8:$DK$8,Меню!$J$62:$DK$62,"нет такого",,-1)</f>
        <v>0</v>
      </c>
      <c r="E36" s="35">
        <f>SUMIF(Меню!$J$8:$DK$8,$C36,Меню!$J$28:$DK$28)/1000*$J$6</f>
        <v>0</v>
      </c>
      <c r="F36" s="35">
        <f>SUMIF(Меню!$J$8:$DK$8,$C36,Меню!$J$43:$DK$43)/1000*J$7</f>
        <v>0</v>
      </c>
      <c r="G36" s="35">
        <f>SUMIF(Меню!$J$8:$DK$8,$C36,Меню!$J$56:$DK$56)/1000*$J$8</f>
        <v>0</v>
      </c>
      <c r="H36" s="35">
        <f>SUMIF(Меню!$J$8:$DK$8,$C36,Меню!$J$61:$DK$61)/1000*$J$9</f>
        <v>0</v>
      </c>
      <c r="I36" s="36">
        <f t="shared" si="2"/>
        <v>0</v>
      </c>
      <c r="J36" s="33"/>
      <c r="K36" s="34"/>
    </row>
    <row r="37" spans="2:11" ht="15.75" x14ac:dyDescent="0.25">
      <c r="B37" s="64">
        <f t="shared" si="1"/>
        <v>25</v>
      </c>
      <c r="C37" s="32" t="str">
        <f>инфо!C34</f>
        <v xml:space="preserve">Мука пшеничная   1 с </v>
      </c>
      <c r="D37" s="33">
        <f>_xlfn.XLOOKUP($C37,Меню!$J$8:$DK$8,Меню!$J$62:$DK$62,"нет такого",,-1)</f>
        <v>9</v>
      </c>
      <c r="E37" s="35">
        <f>SUMIF(Меню!$J$8:$DK$8,$C37,Меню!$J$28:$DK$28)/1000*$J$6</f>
        <v>0</v>
      </c>
      <c r="F37" s="35">
        <f>SUMIF(Меню!$J$8:$DK$8,$C37,Меню!$J$43:$DK$43)/1000*J$7</f>
        <v>0.61</v>
      </c>
      <c r="G37" s="35">
        <f>SUMIF(Меню!$J$8:$DK$8,$C37,Меню!$J$56:$DK$56)/1000*$J$8</f>
        <v>0.48799999999999999</v>
      </c>
      <c r="H37" s="35">
        <f>SUMIF(Меню!$J$8:$DK$8,$C37,Меню!$J$61:$DK$61)/1000*$J$9</f>
        <v>0</v>
      </c>
      <c r="I37" s="36">
        <f t="shared" si="2"/>
        <v>1.0979999999999999</v>
      </c>
      <c r="J37" s="33"/>
      <c r="K37" s="34"/>
    </row>
    <row r="38" spans="2:11" ht="15.75" x14ac:dyDescent="0.25">
      <c r="B38" s="64">
        <f t="shared" si="1"/>
        <v>26</v>
      </c>
      <c r="C38" s="32" t="str">
        <f>инфо!C36</f>
        <v>Хлеб дарницкий</v>
      </c>
      <c r="D38" s="33">
        <f>_xlfn.XLOOKUP($C38,Меню!$J$8:$DK$8,Меню!$J$62:$DK$62,"нет такого",,-1)</f>
        <v>100</v>
      </c>
      <c r="E38" s="35">
        <f>SUMIF(Меню!$J$8:$DK$8,$C38,Меню!$J$28:$DK$28)/1000*$J$6</f>
        <v>6.1000000000000005</v>
      </c>
      <c r="F38" s="35">
        <f>SUMIF(Меню!$J$8:$DK$8,$C38,Меню!$J$43:$DK$43)/1000*J$7</f>
        <v>6.1000000000000005</v>
      </c>
      <c r="G38" s="35">
        <f>SUMIF(Меню!$J$8:$DK$8,$C38,Меню!$J$56:$DK$56)/1000*$J$8</f>
        <v>0</v>
      </c>
      <c r="H38" s="35">
        <f>SUMIF(Меню!$J$8:$DK$8,$C38,Меню!$J$61:$DK$61)/1000*$J$9</f>
        <v>0</v>
      </c>
      <c r="I38" s="36">
        <f t="shared" si="2"/>
        <v>12.200000000000001</v>
      </c>
      <c r="J38" s="33"/>
      <c r="K38" s="34"/>
    </row>
    <row r="39" spans="2:11" ht="15.75" x14ac:dyDescent="0.25">
      <c r="B39" s="64">
        <f t="shared" si="1"/>
        <v>27</v>
      </c>
      <c r="C39" s="32" t="str">
        <f>инфо!C37</f>
        <v>Хлеб из муки пш. 1  сорта</v>
      </c>
      <c r="D39" s="33">
        <f>_xlfn.XLOOKUP($C39,Меню!$J$8:$DK$8,Меню!$J$62:$DK$62,"нет такого",,-1)</f>
        <v>200</v>
      </c>
      <c r="E39" s="35">
        <f>SUMIF(Меню!$J$8:$DK$8,$C39,Меню!$J$28:$DK$28)/1000*$J$6</f>
        <v>12.200000000000001</v>
      </c>
      <c r="F39" s="35">
        <f>SUMIF(Меню!$J$8:$DK$8,$C39,Меню!$J$43:$DK$43)/1000*J$7</f>
        <v>12.200000000000001</v>
      </c>
      <c r="G39" s="35">
        <f>SUMIF(Меню!$J$8:$DK$8,$C39,Меню!$J$56:$DK$56)/1000*$J$8</f>
        <v>0</v>
      </c>
      <c r="H39" s="35">
        <f>SUMIF(Меню!$J$8:$DK$8,$C39,Меню!$J$61:$DK$61)/1000*$J$9</f>
        <v>0</v>
      </c>
      <c r="I39" s="36">
        <f t="shared" si="0"/>
        <v>24.400000000000002</v>
      </c>
      <c r="J39" s="33" t="s">
        <v>123</v>
      </c>
      <c r="K39" s="34"/>
    </row>
    <row r="40" spans="2:11" ht="15.75" x14ac:dyDescent="0.25">
      <c r="B40" s="64">
        <f t="shared" si="1"/>
        <v>28</v>
      </c>
      <c r="C40" s="32" t="str">
        <f>инфо!C38</f>
        <v>Мучное 1</v>
      </c>
      <c r="D40" s="33">
        <f>_xlfn.XLOOKUP($C40,Меню!$J$8:$DK$8,Меню!$J$62:$DK$62,"нет такого",,-1)</f>
        <v>0</v>
      </c>
      <c r="E40" s="35">
        <f>SUMIF(Меню!$J$8:$DK$8,$C40,Меню!$J$28:$DK$28)/1000*$J$6</f>
        <v>0</v>
      </c>
      <c r="F40" s="35">
        <f>SUMIF(Меню!$J$8:$DK$8,$C40,Меню!$J$43:$DK$43)/1000*J$7</f>
        <v>0</v>
      </c>
      <c r="G40" s="35">
        <f>SUMIF(Меню!$J$8:$DK$8,$C40,Меню!$J$56:$DK$56)/1000*$J$8</f>
        <v>0</v>
      </c>
      <c r="H40" s="35">
        <f>SUMIF(Меню!$J$8:$DK$8,$C40,Меню!$J$61:$DK$61)/1000*$J$9</f>
        <v>0</v>
      </c>
      <c r="I40" s="36">
        <f t="shared" si="0"/>
        <v>0</v>
      </c>
      <c r="J40" s="33"/>
      <c r="K40" s="34"/>
    </row>
    <row r="41" spans="2:11" ht="15.75" x14ac:dyDescent="0.25">
      <c r="B41" s="64">
        <f t="shared" si="1"/>
        <v>29</v>
      </c>
      <c r="C41" s="32" t="str">
        <f>инфо!C39</f>
        <v>Молоко коровье</v>
      </c>
      <c r="D41" s="33">
        <f>_xlfn.XLOOKUP($C41,Меню!$J$8:$DK$8,Меню!$J$62:$DK$62,"нет такого",,-1)</f>
        <v>200</v>
      </c>
      <c r="E41" s="35">
        <f>SUMIF(Меню!$J$8:$DK$8,$C41,Меню!$J$28:$DK$28)/1000*$J$6</f>
        <v>24.400000000000002</v>
      </c>
      <c r="F41" s="35">
        <f>SUMIF(Меню!$J$8:$DK$8,$C41,Меню!$J$43:$DK$43)/1000*J$7</f>
        <v>0</v>
      </c>
      <c r="G41" s="35">
        <f>SUMIF(Меню!$J$8:$DK$8,$C41,Меню!$J$56:$DK$56)/1000*$J$8</f>
        <v>0</v>
      </c>
      <c r="H41" s="35">
        <f>SUMIF(Меню!$J$8:$DK$8,$C41,Меню!$J$61:$DK$61)/1000*$J$9</f>
        <v>0</v>
      </c>
      <c r="I41" s="36">
        <f t="shared" si="0"/>
        <v>24.400000000000002</v>
      </c>
      <c r="J41" s="33"/>
      <c r="K41" s="34"/>
    </row>
    <row r="42" spans="2:11" ht="15.75" x14ac:dyDescent="0.25">
      <c r="B42" s="64">
        <f t="shared" si="1"/>
        <v>30</v>
      </c>
      <c r="C42" s="32" t="str">
        <f>инфо!C40</f>
        <v>Кефир</v>
      </c>
      <c r="D42" s="33">
        <f>_xlfn.XLOOKUP($C42,Меню!$J$8:$DK$8,Меню!$J$62:$DK$62,"нет такого",,-1)</f>
        <v>0</v>
      </c>
      <c r="E42" s="35">
        <f>SUMIF(Меню!$J$8:$DK$8,$C42,Меню!$J$28:$DK$28)/1000*$J$6</f>
        <v>0</v>
      </c>
      <c r="F42" s="35">
        <f>SUMIF(Меню!$J$8:$DK$8,$C42,Меню!$J$43:$DK$43)/1000*J$7</f>
        <v>0</v>
      </c>
      <c r="G42" s="35">
        <f>SUMIF(Меню!$J$8:$DK$8,$C42,Меню!$J$56:$DK$56)/1000*$J$8</f>
        <v>0</v>
      </c>
      <c r="H42" s="35">
        <f>SUMIF(Меню!$J$8:$DK$8,$C42,Меню!$J$61:$DK$61)/1000*$J$9</f>
        <v>0</v>
      </c>
      <c r="I42" s="36">
        <f t="shared" si="0"/>
        <v>0</v>
      </c>
      <c r="J42" s="33"/>
      <c r="K42" s="34"/>
    </row>
    <row r="43" spans="2:11" ht="15.75" x14ac:dyDescent="0.25">
      <c r="B43" s="64">
        <f t="shared" si="1"/>
        <v>31</v>
      </c>
      <c r="C43" s="32" t="str">
        <f>инфо!C41</f>
        <v>Сметана</v>
      </c>
      <c r="D43" s="33">
        <f>_xlfn.XLOOKUP($C43,Меню!$J$8:$DK$8,Меню!$J$62:$DK$62,"нет такого",,-1)</f>
        <v>0</v>
      </c>
      <c r="E43" s="35">
        <f>SUMIF(Меню!$J$8:$DK$8,$C43,Меню!$J$28:$DK$28)/1000*$J$6</f>
        <v>0</v>
      </c>
      <c r="F43" s="35">
        <f>SUMIF(Меню!$J$8:$DK$8,$C43,Меню!$J$43:$DK$43)/1000*J$7</f>
        <v>0</v>
      </c>
      <c r="G43" s="35">
        <f>SUMIF(Меню!$J$8:$DK$8,$C43,Меню!$J$56:$DK$56)/1000*$J$8</f>
        <v>0</v>
      </c>
      <c r="H43" s="35">
        <f>SUMIF(Меню!$J$8:$DK$8,$C43,Меню!$J$61:$DK$61)/1000*$J$9</f>
        <v>0</v>
      </c>
      <c r="I43" s="36">
        <f t="shared" si="0"/>
        <v>0</v>
      </c>
      <c r="J43" s="33"/>
      <c r="K43" s="34"/>
    </row>
    <row r="44" spans="2:11" ht="15.75" x14ac:dyDescent="0.25">
      <c r="B44" s="64">
        <f t="shared" si="1"/>
        <v>32</v>
      </c>
      <c r="C44" s="32" t="str">
        <f>инфо!C44</f>
        <v xml:space="preserve">Молоко сгущ. </v>
      </c>
      <c r="D44" s="33">
        <f>_xlfn.XLOOKUP($C44,Меню!$J$8:$DK$8,Меню!$J$62:$DK$62,"нет такого",,-1)</f>
        <v>0</v>
      </c>
      <c r="E44" s="35">
        <f>SUMIF(Меню!$J$8:$DK$8,$C44,Меню!$J$28:$DK$28)/1000*$J$6</f>
        <v>0</v>
      </c>
      <c r="F44" s="35">
        <f>SUMIF(Меню!$J$8:$DK$8,$C44,Меню!$J$43:$DK$43)/1000*J$7</f>
        <v>0</v>
      </c>
      <c r="G44" s="35">
        <f>SUMIF(Меню!$J$8:$DK$8,$C44,Меню!$J$56:$DK$56)/1000*$J$8</f>
        <v>0</v>
      </c>
      <c r="H44" s="35">
        <f>SUMIF(Меню!$J$8:$DK$8,$C44,Меню!$J$61:$DK$61)/1000*$J$9</f>
        <v>0</v>
      </c>
      <c r="I44" s="36">
        <f>D44*H8/1000</f>
        <v>0</v>
      </c>
      <c r="J44" s="33"/>
      <c r="K44" s="34"/>
    </row>
    <row r="45" spans="2:11" ht="15.75" x14ac:dyDescent="0.25">
      <c r="B45" s="64">
        <f t="shared" si="1"/>
        <v>33</v>
      </c>
      <c r="C45" s="32" t="str">
        <f>инфо!C46</f>
        <v>Сыр плавленный</v>
      </c>
      <c r="D45" s="33">
        <f>_xlfn.XLOOKUP($C45,Меню!$J$8:$DK$8,Меню!$J$62:$DK$62,"нет такого",,-1)</f>
        <v>17.5</v>
      </c>
      <c r="E45" s="35">
        <f>SUMIF(Меню!$J$8:$DK$8,$C45,Меню!$J$28:$DK$28)/1000*$J$6</f>
        <v>0</v>
      </c>
      <c r="F45" s="35">
        <f>SUMIF(Меню!$J$8:$DK$8,$C45,Меню!$J$43:$DK$43)/1000*J$7</f>
        <v>2.1350000000000002</v>
      </c>
      <c r="G45" s="35">
        <f>SUMIF(Меню!$J$8:$DK$8,$C45,Меню!$J$56:$DK$56)/1000*$J$8</f>
        <v>0</v>
      </c>
      <c r="H45" s="35">
        <f>SUMIF(Меню!$J$8:$DK$8,$C45,Меню!$J$61:$DK$61)/1000*$J$9</f>
        <v>0</v>
      </c>
      <c r="I45" s="35">
        <f t="shared" si="0"/>
        <v>2.1350000000000002</v>
      </c>
      <c r="J45" s="33"/>
      <c r="K45" s="34"/>
    </row>
    <row r="46" spans="2:11" ht="15.75" x14ac:dyDescent="0.25">
      <c r="B46" s="64">
        <f t="shared" si="1"/>
        <v>34</v>
      </c>
      <c r="C46" s="32" t="str">
        <f>инфо!C47</f>
        <v>Яйцо</v>
      </c>
      <c r="D46" s="33">
        <f>_xlfn.XLOOKUP($C46,Меню!$J$8:$DK$8,Меню!$J$62:$DK$62,"нет такого",,-1)</f>
        <v>1</v>
      </c>
      <c r="E46" s="35">
        <f>SUMIF(Меню!$J$8:$DK$8,$C46,Меню!$J$28:$DK$28)/1000*$J$6</f>
        <v>0.122</v>
      </c>
      <c r="F46" s="35">
        <f>SUMIF(Меню!$J$8:$DK$8,$C46,Меню!$J$43:$DK$43)/1000*J$7</f>
        <v>0</v>
      </c>
      <c r="G46" s="35">
        <f>SUMIF(Меню!$J$8:$DK$8,$C46,Меню!$J$56:$DK$56)/1000*$J$8</f>
        <v>0</v>
      </c>
      <c r="H46" s="35">
        <f>SUMIF(Меню!$J$8:$DK$8,$C46,Меню!$J$61:$DK$61)/1000*$J$9</f>
        <v>0</v>
      </c>
      <c r="I46" s="35">
        <f t="shared" si="0"/>
        <v>0.122</v>
      </c>
      <c r="J46" s="33"/>
      <c r="K46" s="34"/>
    </row>
    <row r="47" spans="2:11" ht="15.75" x14ac:dyDescent="0.25">
      <c r="B47" s="64">
        <f t="shared" si="1"/>
        <v>35</v>
      </c>
      <c r="C47" s="32" t="str">
        <f>инфо!C48</f>
        <v>Разное 1</v>
      </c>
      <c r="D47" s="33">
        <f>_xlfn.XLOOKUP($C47,Меню!$J$8:$DK$8,Меню!$J$62:$DK$62,"нет такого",,-1)</f>
        <v>0</v>
      </c>
      <c r="E47" s="35">
        <f>SUMIF(Меню!$J$8:$DK$8,$C47,Меню!$J$28:$DK$28)/1000*$J$6</f>
        <v>0</v>
      </c>
      <c r="F47" s="35">
        <f>SUMIF(Меню!$J$8:$DK$8,$C47,Меню!$J$43:$DK$43)/1000*J$7</f>
        <v>0</v>
      </c>
      <c r="G47" s="35">
        <f>SUMIF(Меню!$J$8:$DK$8,$C47,Меню!$J$56:$DK$56)/1000*$J$8</f>
        <v>0</v>
      </c>
      <c r="H47" s="35">
        <f>SUMIF(Меню!$J$8:$DK$8,$C47,Меню!$J$61:$DK$61)/1000*$J$9</f>
        <v>0</v>
      </c>
      <c r="I47" s="35">
        <f t="shared" si="0"/>
        <v>0</v>
      </c>
      <c r="J47" s="33"/>
      <c r="K47" s="34"/>
    </row>
    <row r="48" spans="2:11" ht="15.75" x14ac:dyDescent="0.25">
      <c r="B48" s="64">
        <f t="shared" si="1"/>
        <v>36</v>
      </c>
      <c r="C48" s="32" t="str">
        <f>инфо!C49</f>
        <v>Разное 2</v>
      </c>
      <c r="D48" s="33">
        <f>_xlfn.XLOOKUP($C48,Меню!$J$8:$DK$8,Меню!$J$62:$DK$62,"нет такого",,-1)</f>
        <v>0</v>
      </c>
      <c r="E48" s="35">
        <f>SUMIF(Меню!$J$8:$DK$8,$C48,Меню!$J$28:$DK$28)/1000*$J$6</f>
        <v>0</v>
      </c>
      <c r="F48" s="35">
        <f>SUMIF(Меню!$J$8:$DK$8,$C48,Меню!$J$43:$DK$43)/1000*J$7</f>
        <v>0</v>
      </c>
      <c r="G48" s="35">
        <f>SUMIF(Меню!$J$8:$DK$8,$C48,Меню!$J$56:$DK$56)/1000*$J$8</f>
        <v>0</v>
      </c>
      <c r="H48" s="35">
        <f>SUMIF(Меню!$J$8:$DK$8,$C48,Меню!$J$61:$DK$61)/1000*$J$9</f>
        <v>0</v>
      </c>
      <c r="I48" s="35">
        <f t="shared" si="0"/>
        <v>0</v>
      </c>
      <c r="J48" s="33"/>
      <c r="K48" s="34"/>
    </row>
    <row r="49" spans="2:11" ht="15.75" x14ac:dyDescent="0.25">
      <c r="B49" s="64">
        <f t="shared" si="1"/>
        <v>37</v>
      </c>
      <c r="C49" s="32" t="str">
        <f>инфо!C50</f>
        <v>Масло коровье</v>
      </c>
      <c r="D49" s="33">
        <f>_xlfn.XLOOKUP($C49,Меню!$J$8:$DK$8,Меню!$J$62:$DK$62,"нет такого",,-1)</f>
        <v>0</v>
      </c>
      <c r="E49" s="35">
        <f>SUMIF(Меню!$J$8:$DK$8,$C49,Меню!$J$28:$DK$28)/1000*$J$6</f>
        <v>0</v>
      </c>
      <c r="F49" s="35">
        <f>SUMIF(Меню!$J$8:$DK$8,$C49,Меню!$J$43:$DK$43)/1000*J$7</f>
        <v>0</v>
      </c>
      <c r="G49" s="35">
        <f>SUMIF(Меню!$J$8:$DK$8,$C49,Меню!$J$56:$DK$56)/1000*$J$8</f>
        <v>0</v>
      </c>
      <c r="H49" s="35">
        <f>SUMIF(Меню!$J$8:$DK$8,$C49,Меню!$J$61:$DK$61)/1000*$J$9</f>
        <v>0</v>
      </c>
      <c r="I49" s="36">
        <f t="shared" si="0"/>
        <v>0</v>
      </c>
      <c r="J49" s="33"/>
      <c r="K49" s="34"/>
    </row>
    <row r="50" spans="2:11" ht="15.75" x14ac:dyDescent="0.25">
      <c r="B50" s="64">
        <f t="shared" si="1"/>
        <v>38</v>
      </c>
      <c r="C50" s="32" t="str">
        <f>инфо!C51</f>
        <v>Масло растительное</v>
      </c>
      <c r="D50" s="33">
        <f>_xlfn.XLOOKUP($C50,Меню!$J$8:$DK$8,Меню!$J$62:$DK$62,"нет такого",,-1)</f>
        <v>50</v>
      </c>
      <c r="E50" s="35">
        <f>SUMIF(Меню!$J$8:$DK$8,$C50,Меню!$J$28:$DK$28)/1000*$J$6</f>
        <v>2.44</v>
      </c>
      <c r="F50" s="35">
        <f>SUMIF(Меню!$J$8:$DK$8,$C50,Меню!$J$43:$DK$43)/1000*J$7</f>
        <v>1.8299999999999998</v>
      </c>
      <c r="G50" s="35">
        <f>SUMIF(Меню!$J$8:$DK$8,$C50,Меню!$J$56:$DK$56)/1000*$J$8</f>
        <v>1.8299999999999998</v>
      </c>
      <c r="H50" s="35">
        <f>SUMIF(Меню!$J$8:$DK$8,$C50,Меню!$J$61:$DK$61)/1000*$J$9</f>
        <v>0</v>
      </c>
      <c r="I50" s="35">
        <f t="shared" si="0"/>
        <v>6.1</v>
      </c>
      <c r="J50" s="33"/>
      <c r="K50" s="34"/>
    </row>
    <row r="51" spans="2:11" ht="15.75" x14ac:dyDescent="0.25">
      <c r="B51" s="64">
        <f t="shared" si="1"/>
        <v>39</v>
      </c>
      <c r="C51" s="32" t="str">
        <f>инфо!C52</f>
        <v>Сало-шпик</v>
      </c>
      <c r="D51" s="33">
        <f>_xlfn.XLOOKUP($C51,Меню!$J$8:$DK$8,Меню!$J$62:$DK$62,"нет такого",,-1)</f>
        <v>35</v>
      </c>
      <c r="E51" s="35">
        <f>SUMIF(Меню!$J$8:$DK$8,$C51,Меню!$J$28:$DK$28)/1000*$J$6</f>
        <v>0.61</v>
      </c>
      <c r="F51" s="35">
        <f>SUMIF(Меню!$J$8:$DK$8,$C51,Меню!$J$43:$DK$43)/1000*J$7</f>
        <v>0.61</v>
      </c>
      <c r="G51" s="35">
        <f>SUMIF(Меню!$J$8:$DK$8,$C51,Меню!$J$56:$DK$56)/1000*$J$8</f>
        <v>1.22</v>
      </c>
      <c r="H51" s="35">
        <f>SUMIF(Меню!$J$8:$DK$8,$C51,Меню!$J$61:$DK$61)/1000*$J$9</f>
        <v>1.8299999999999998</v>
      </c>
      <c r="I51" s="35">
        <f t="shared" si="0"/>
        <v>4.2699999999999996</v>
      </c>
      <c r="J51" s="33"/>
      <c r="K51" s="34"/>
    </row>
    <row r="52" spans="2:11" ht="15.75" x14ac:dyDescent="0.25">
      <c r="B52" s="64">
        <f t="shared" si="1"/>
        <v>40</v>
      </c>
      <c r="C52" s="32" t="str">
        <f>инфо!C53</f>
        <v>Жиры 1</v>
      </c>
      <c r="D52" s="33">
        <f>_xlfn.XLOOKUP($C52,Меню!$J$8:$DK$8,Меню!$J$62:$DK$62,"нет такого",,-1)</f>
        <v>20</v>
      </c>
      <c r="E52" s="35">
        <f>SUMIF(Меню!$J$8:$DK$8,$C52,Меню!$J$28:$DK$28)/1000*$J$6</f>
        <v>0</v>
      </c>
      <c r="F52" s="35">
        <f>SUMIF(Меню!$J$8:$DK$8,$C52,Меню!$J$43:$DK$43)/1000*J$7</f>
        <v>2.44</v>
      </c>
      <c r="G52" s="35">
        <f>SUMIF(Меню!$J$8:$DK$8,$C52,Меню!$J$56:$DK$56)/1000*$J$8</f>
        <v>0</v>
      </c>
      <c r="H52" s="35">
        <f>SUMIF(Меню!$J$8:$DK$8,$C52,Меню!$J$61:$DK$61)/1000*$J$9</f>
        <v>0</v>
      </c>
      <c r="I52" s="36">
        <f t="shared" si="0"/>
        <v>2.44</v>
      </c>
      <c r="J52" s="33"/>
      <c r="K52" s="34"/>
    </row>
    <row r="53" spans="2:11" ht="15.75" x14ac:dyDescent="0.25">
      <c r="B53" s="64">
        <f t="shared" si="1"/>
        <v>41</v>
      </c>
      <c r="C53" s="32" t="str">
        <f>инфо!C54</f>
        <v>Жиры 2</v>
      </c>
      <c r="D53" s="33">
        <f>_xlfn.XLOOKUP($C53,Меню!$J$8:$DK$8,Меню!$J$62:$DK$62,"нет такого",,-1)</f>
        <v>0</v>
      </c>
      <c r="E53" s="35">
        <f>SUMIF(Меню!$J$8:$DK$8,$C53,Меню!$J$28:$DK$28)/1000*$J$6</f>
        <v>0</v>
      </c>
      <c r="F53" s="35">
        <f>SUMIF(Меню!$J$8:$DK$8,$C53,Меню!$J$43:$DK$43)/1000*J$7</f>
        <v>0</v>
      </c>
      <c r="G53" s="35">
        <f>SUMIF(Меню!$J$8:$DK$8,$C53,Меню!$J$56:$DK$56)/1000*$J$8</f>
        <v>0</v>
      </c>
      <c r="H53" s="35">
        <f>SUMIF(Меню!$J$8:$DK$8,$C53,Меню!$J$61:$DK$61)/1000*$J$9</f>
        <v>0</v>
      </c>
      <c r="I53" s="36">
        <f t="shared" si="0"/>
        <v>0</v>
      </c>
      <c r="J53" s="33"/>
      <c r="K53" s="34"/>
    </row>
    <row r="54" spans="2:11" ht="15.75" x14ac:dyDescent="0.25">
      <c r="B54" s="64">
        <f t="shared" si="1"/>
        <v>42</v>
      </c>
      <c r="C54" s="32" t="str">
        <f>инфо!C55</f>
        <v>Жиры 3</v>
      </c>
      <c r="D54" s="33">
        <f>_xlfn.XLOOKUP($C54,Меню!$J$8:$DK$8,Меню!$J$62:$DK$62,"нет такого",,-1)</f>
        <v>0</v>
      </c>
      <c r="E54" s="35">
        <f>SUMIF(Меню!$J$8:$DK$8,$C54,Меню!$J$28:$DK$28)/1000*$J$6</f>
        <v>0</v>
      </c>
      <c r="F54" s="35">
        <f>SUMIF(Меню!$J$8:$DK$8,$C54,Меню!$J$43:$DK$43)/1000*J$7</f>
        <v>0</v>
      </c>
      <c r="G54" s="35">
        <f>SUMIF(Меню!$J$8:$DK$8,$C54,Меню!$J$56:$DK$56)/1000*$J$8</f>
        <v>0</v>
      </c>
      <c r="H54" s="35">
        <f>SUMIF(Меню!$J$8:$DK$8,$C54,Меню!$J$61:$DK$61)/1000*$J$9</f>
        <v>0</v>
      </c>
      <c r="I54" s="36">
        <v>0</v>
      </c>
      <c r="J54" s="33"/>
      <c r="K54" s="34"/>
    </row>
    <row r="55" spans="2:11" ht="15.75" x14ac:dyDescent="0.25">
      <c r="B55" s="64">
        <f t="shared" si="1"/>
        <v>43</v>
      </c>
      <c r="C55" s="32" t="str">
        <f>инфо!C56</f>
        <v>Говядина б/к ,печень</v>
      </c>
      <c r="D55" s="33">
        <f>_xlfn.XLOOKUP($C55,Меню!$J$8:$DK$8,Меню!$J$62:$DK$62,"нет такого",,-1)</f>
        <v>0</v>
      </c>
      <c r="E55" s="35">
        <f>SUMIF(Меню!$J$8:$DK$8,$C55,Меню!$J$28:$DK$28)/1000*$J$6</f>
        <v>0</v>
      </c>
      <c r="F55" s="35">
        <f>SUMIF(Меню!$J$8:$DK$8,$C55,Меню!$J$43:$DK$43)/1000*J$7</f>
        <v>0</v>
      </c>
      <c r="G55" s="35">
        <f>SUMIF(Меню!$J$8:$DK$8,$C55,Меню!$J$56:$DK$56)/1000*$J$8</f>
        <v>0</v>
      </c>
      <c r="H55" s="35">
        <f>SUMIF(Меню!$J$8:$DK$8,$C55,Меню!$J$61:$DK$61)/1000*$J$9</f>
        <v>0</v>
      </c>
      <c r="I55" s="36">
        <v>0</v>
      </c>
      <c r="J55" s="33"/>
      <c r="K55" s="34"/>
    </row>
    <row r="56" spans="2:11" ht="15.75" x14ac:dyDescent="0.25">
      <c r="B56" s="64">
        <f t="shared" si="1"/>
        <v>44</v>
      </c>
      <c r="C56" s="32" t="str">
        <f>инфо!C57</f>
        <v>Говядина на кости</v>
      </c>
      <c r="D56" s="33">
        <f>_xlfn.XLOOKUP($C56,Меню!$J$8:$DK$8,Меню!$J$62:$DK$62,"нет такого",,-1)</f>
        <v>20</v>
      </c>
      <c r="E56" s="35">
        <f>SUMIF(Меню!$J$8:$DK$8,$C56,Меню!$J$28:$DK$28)/1000*$J$6</f>
        <v>2.44</v>
      </c>
      <c r="F56" s="35">
        <f>SUMIF(Меню!$J$8:$DK$8,$C56,Меню!$J$43:$DK$43)/1000*J$7</f>
        <v>0</v>
      </c>
      <c r="G56" s="35">
        <f>SUMIF(Меню!$J$8:$DK$8,$C56,Меню!$J$56:$DK$56)/1000*$J$8</f>
        <v>0</v>
      </c>
      <c r="H56" s="35">
        <f>SUMIF(Меню!$J$8:$DK$8,$C56,Меню!$J$61:$DK$61)/1000*$J$9</f>
        <v>0</v>
      </c>
      <c r="I56" s="36">
        <v>0</v>
      </c>
      <c r="J56" s="33"/>
      <c r="K56" s="34"/>
    </row>
    <row r="57" spans="2:11" ht="15.75" x14ac:dyDescent="0.25">
      <c r="B57" s="64">
        <f t="shared" si="1"/>
        <v>45</v>
      </c>
      <c r="C57" s="32" t="str">
        <f>инфо!C58</f>
        <v>Мясо птицы</v>
      </c>
      <c r="D57" s="33">
        <f>_xlfn.XLOOKUP($C57,Меню!$J$8:$DK$8,Меню!$J$62:$DK$62,"нет такого",,-1)</f>
        <v>0</v>
      </c>
      <c r="E57" s="35">
        <f>SUMIF(Меню!$J$8:$DK$8,$C57,Меню!$J$28:$DK$28)/1000*$J$6</f>
        <v>0</v>
      </c>
      <c r="F57" s="35">
        <f>SUMIF(Меню!$J$8:$DK$8,$C57,Меню!$J$43:$DK$43)/1000*J$7</f>
        <v>0</v>
      </c>
      <c r="G57" s="35">
        <f>SUMIF(Меню!$J$8:$DK$8,$C57,Меню!$J$56:$DK$56)/1000*$J$8</f>
        <v>0</v>
      </c>
      <c r="H57" s="35">
        <f>SUMIF(Меню!$J$8:$DK$8,$C57,Меню!$J$61:$DK$61)/1000*$J$9</f>
        <v>0</v>
      </c>
      <c r="I57" s="36">
        <v>0</v>
      </c>
      <c r="J57" s="33"/>
      <c r="K57" s="34"/>
    </row>
    <row r="58" spans="2:11" ht="15.75" x14ac:dyDescent="0.25">
      <c r="B58" s="64">
        <f t="shared" si="1"/>
        <v>46</v>
      </c>
      <c r="C58" s="32" t="str">
        <f>инфо!C59</f>
        <v>Сардельки, сосиски</v>
      </c>
      <c r="D58" s="33">
        <f>_xlfn.XLOOKUP($C58,Меню!$J$8:$DK$8,Меню!$J$62:$DK$62,"нет такого",,-1)</f>
        <v>0</v>
      </c>
      <c r="E58" s="35">
        <f>SUMIF(Меню!$J$8:$DK$8,$C58,Меню!$J$28:$DK$28)/1000*$J$6</f>
        <v>0</v>
      </c>
      <c r="F58" s="35">
        <f>SUMIF(Меню!$J$8:$DK$8,$C58,Меню!$J$43:$DK$43)/1000*J$7</f>
        <v>0</v>
      </c>
      <c r="G58" s="35">
        <f>SUMIF(Меню!$J$8:$DK$8,$C58,Меню!$J$56:$DK$56)/1000*$J$8</f>
        <v>0</v>
      </c>
      <c r="H58" s="35">
        <f>SUMIF(Меню!$J$8:$DK$8,$C58,Меню!$J$61:$DK$61)/1000*$J$9</f>
        <v>0</v>
      </c>
      <c r="I58" s="36">
        <v>0</v>
      </c>
      <c r="J58" s="33"/>
      <c r="K58" s="34"/>
    </row>
    <row r="59" spans="2:11" ht="15.75" x14ac:dyDescent="0.25">
      <c r="B59" s="64">
        <f t="shared" si="1"/>
        <v>47</v>
      </c>
      <c r="C59" s="32" t="str">
        <f>инфо!C60</f>
        <v>Свинина б/к</v>
      </c>
      <c r="D59" s="33">
        <f>_xlfn.XLOOKUP($C59,Меню!$J$8:$DK$8,Меню!$J$62:$DK$62,"нет такого",,-1)</f>
        <v>120</v>
      </c>
      <c r="E59" s="35">
        <f>SUMIF(Меню!$J$8:$DK$8,$C59,Меню!$J$28:$DK$28)/1000*$J$6</f>
        <v>0</v>
      </c>
      <c r="F59" s="35">
        <f>SUMIF(Меню!$J$8:$DK$8,$C59,Меню!$J$43:$DK$43)/1000*J$7</f>
        <v>0</v>
      </c>
      <c r="G59" s="35">
        <f>SUMIF(Меню!$J$8:$DK$8,$C59,Меню!$J$56:$DK$56)/1000*$J$8</f>
        <v>14.639999999999999</v>
      </c>
      <c r="H59" s="35">
        <f>SUMIF(Меню!$J$8:$DK$8,$C59,Меню!$J$61:$DK$61)/1000*$J$9</f>
        <v>0</v>
      </c>
      <c r="I59" s="36">
        <f>SUM(E59:H59)</f>
        <v>14.639999999999999</v>
      </c>
      <c r="J59" s="33"/>
      <c r="K59" s="34"/>
    </row>
    <row r="60" spans="2:11" ht="15.75" x14ac:dyDescent="0.25">
      <c r="B60" s="64">
        <f t="shared" si="1"/>
        <v>48</v>
      </c>
      <c r="C60" s="32" t="str">
        <f>инфо!C61</f>
        <v>Свинина на кости</v>
      </c>
      <c r="D60" s="33">
        <f>_xlfn.XLOOKUP($C60,Меню!$J$8:$DK$8,Меню!$J$62:$DK$62,"нет такого",,-1)</f>
        <v>80</v>
      </c>
      <c r="E60" s="35">
        <f>SUMIF(Меню!$J$8:$DK$8,$C60,Меню!$J$28:$DK$28)/1000*$J$6</f>
        <v>9.76</v>
      </c>
      <c r="F60" s="35">
        <f>SUMIF(Меню!$J$8:$DK$8,$C60,Меню!$J$43:$DK$43)/1000*J$7</f>
        <v>0</v>
      </c>
      <c r="G60" s="35">
        <f>SUMIF(Меню!$J$8:$DK$8,$C60,Меню!$J$56:$DK$56)/1000*$J$8</f>
        <v>0</v>
      </c>
      <c r="H60" s="35">
        <f>SUMIF(Меню!$J$8:$DK$8,$C60,Меню!$J$61:$DK$61)/1000*$J$9</f>
        <v>0</v>
      </c>
      <c r="I60" s="36">
        <f t="shared" ref="I60:I65" si="3">SUM(E60:H60)</f>
        <v>9.76</v>
      </c>
      <c r="J60" s="33"/>
      <c r="K60" s="34"/>
    </row>
    <row r="61" spans="2:11" ht="15.75" x14ac:dyDescent="0.25">
      <c r="B61" s="64">
        <f t="shared" si="1"/>
        <v>49</v>
      </c>
      <c r="C61" s="32" t="str">
        <f>инфо!C62</f>
        <v>Колбаса с/к</v>
      </c>
      <c r="D61" s="33">
        <f>_xlfn.XLOOKUP($C61,Меню!$J$8:$DK$8,Меню!$J$62:$DK$62,"нет такого",,-1)</f>
        <v>112.5</v>
      </c>
      <c r="E61" s="35">
        <f>SUMIF(Меню!$J$8:$DK$8,$C61,Меню!$J$28:$DK$28)/1000*$J$6</f>
        <v>0</v>
      </c>
      <c r="F61" s="35">
        <f>SUMIF(Меню!$J$8:$DK$8,$C61,Меню!$J$43:$DK$43)/1000*J$7</f>
        <v>13.725</v>
      </c>
      <c r="G61" s="35">
        <f>SUMIF(Меню!$J$8:$DK$8,$C61,Меню!$J$56:$DK$56)/1000*$J$8</f>
        <v>0</v>
      </c>
      <c r="H61" s="35">
        <f>SUMIF(Меню!$J$8:$DK$8,$C61,Меню!$J$61:$DK$61)/1000*$J$9</f>
        <v>0</v>
      </c>
      <c r="I61" s="36">
        <f t="shared" si="3"/>
        <v>13.725</v>
      </c>
      <c r="J61" s="33"/>
      <c r="K61" s="34"/>
    </row>
    <row r="62" spans="2:11" ht="15.75" x14ac:dyDescent="0.25">
      <c r="B62" s="64">
        <f t="shared" si="1"/>
        <v>50</v>
      </c>
      <c r="C62" s="32" t="str">
        <f>инфо!C63</f>
        <v>Колбаса п/к</v>
      </c>
      <c r="D62" s="33">
        <f>_xlfn.XLOOKUP($C62,Меню!$J$8:$DK$8,Меню!$J$62:$DK$62,"нет такого",,-1)</f>
        <v>0</v>
      </c>
      <c r="E62" s="35">
        <f>SUMIF(Меню!$J$8:$DK$8,$C62,Меню!$J$28:$DK$28)/1000*$J$6</f>
        <v>0</v>
      </c>
      <c r="F62" s="35">
        <f>SUMIF(Меню!$J$8:$DK$8,$C62,Меню!$J$43:$DK$43)/1000*J$7</f>
        <v>0</v>
      </c>
      <c r="G62" s="35">
        <f>SUMIF(Меню!$J$8:$DK$8,$C62,Меню!$J$56:$DK$56)/1000*$J$8</f>
        <v>0</v>
      </c>
      <c r="H62" s="35">
        <f>SUMIF(Меню!$J$8:$DK$8,$C62,Меню!$J$61:$DK$61)/1000*$J$9</f>
        <v>0</v>
      </c>
      <c r="I62" s="36">
        <f t="shared" si="3"/>
        <v>0</v>
      </c>
      <c r="J62" s="33"/>
      <c r="K62" s="34"/>
    </row>
    <row r="63" spans="2:11" ht="15.75" x14ac:dyDescent="0.25">
      <c r="B63" s="64">
        <f t="shared" si="1"/>
        <v>51</v>
      </c>
      <c r="C63" s="32" t="str">
        <f>инфо!C66</f>
        <v xml:space="preserve">Рыба с/м </v>
      </c>
      <c r="D63" s="33">
        <f>_xlfn.XLOOKUP($C63,Меню!$J$8:$DK$8,Меню!$J$62:$DK$62,"нет такого",,-1)</f>
        <v>0</v>
      </c>
      <c r="E63" s="35">
        <f>SUMIF(Меню!$J$8:$DK$8,$C63,Меню!$J$28:$DK$28)/1000*$J$6</f>
        <v>0</v>
      </c>
      <c r="F63" s="35">
        <f>SUMIF(Меню!$J$8:$DK$8,$C63,Меню!$J$43:$DK$43)/1000*J$7</f>
        <v>0</v>
      </c>
      <c r="G63" s="35">
        <f>SUMIF(Меню!$J$8:$DK$8,$C63,Меню!$J$56:$DK$56)/1000*$J$8</f>
        <v>0</v>
      </c>
      <c r="H63" s="35">
        <f>SUMIF(Меню!$J$8:$DK$8,$C63,Меню!$J$61:$DK$61)/1000*$J$9</f>
        <v>0</v>
      </c>
      <c r="I63" s="36">
        <f t="shared" si="3"/>
        <v>0</v>
      </c>
      <c r="J63" s="33"/>
      <c r="K63" s="34"/>
    </row>
    <row r="64" spans="2:11" ht="15.75" x14ac:dyDescent="0.25">
      <c r="B64" s="64">
        <f t="shared" si="1"/>
        <v>52</v>
      </c>
      <c r="C64" s="32" t="str">
        <f>инфо!C67</f>
        <v>Мясо-рыба запас</v>
      </c>
      <c r="D64" s="33">
        <f>_xlfn.XLOOKUP($C64,Меню!$J$8:$DK$8,Меню!$J$62:$DK$62,"нет такого",,-1)</f>
        <v>0</v>
      </c>
      <c r="E64" s="35">
        <f>SUMIF(Меню!$J$8:$DK$8,$C64,Меню!$J$28:$DK$28)/1000*$J$6</f>
        <v>0</v>
      </c>
      <c r="F64" s="35">
        <f>SUMIF(Меню!$J$8:$DK$8,$C64,Меню!$J$43:$DK$43)/1000*J$7</f>
        <v>0</v>
      </c>
      <c r="G64" s="35">
        <f>SUMIF(Меню!$J$8:$DK$8,$C64,Меню!$J$56:$DK$56)/1000*$J$8</f>
        <v>0</v>
      </c>
      <c r="H64" s="35">
        <f>SUMIF(Меню!$J$8:$DK$8,$C64,Меню!$J$61:$DK$61)/1000*$J$9</f>
        <v>0</v>
      </c>
      <c r="I64" s="36">
        <f t="shared" si="3"/>
        <v>0</v>
      </c>
      <c r="J64" s="33"/>
      <c r="K64" s="34"/>
    </row>
    <row r="65" spans="2:11" ht="15.75" x14ac:dyDescent="0.25">
      <c r="B65" s="64">
        <f t="shared" si="1"/>
        <v>53</v>
      </c>
      <c r="C65" s="32" t="str">
        <f>инфо!C68</f>
        <v>Гексавит</v>
      </c>
      <c r="D65" s="33">
        <f>_xlfn.XLOOKUP($C65,Меню!$J$8:$DK$8,Меню!$J$62:$DK$62,"нет такого",,-1)</f>
        <v>0</v>
      </c>
      <c r="E65" s="35">
        <f>SUMIF(Меню!$J$8:$DK$8,$C65,Меню!$J$28:$DK$28)/1000*$J$6</f>
        <v>0</v>
      </c>
      <c r="F65" s="35">
        <f>SUMIF(Меню!$J$8:$DK$8,$C65,Меню!$J$43:$DK$43)/1000*J$7</f>
        <v>0</v>
      </c>
      <c r="G65" s="35">
        <f>SUMIF(Меню!$J$8:$DK$8,$C65,Меню!$J$56:$DK$56)/1000*$J$8</f>
        <v>0</v>
      </c>
      <c r="H65" s="35">
        <f>SUMIF(Меню!$J$8:$DK$8,$C65,Меню!$J$61:$DK$61)/1000*$J$9</f>
        <v>0</v>
      </c>
      <c r="I65" s="36">
        <f t="shared" si="3"/>
        <v>0</v>
      </c>
      <c r="J65" s="33"/>
      <c r="K65" s="34"/>
    </row>
    <row r="66" spans="2:11" ht="15.75" x14ac:dyDescent="0.25">
      <c r="B66" s="64">
        <f t="shared" si="1"/>
        <v>54</v>
      </c>
      <c r="C66" s="32" t="str">
        <f>инфо!C69</f>
        <v>Горчичный порошок</v>
      </c>
      <c r="D66" s="33">
        <f>_xlfn.XLOOKUP($C66,Меню!$J$8:$DK$8,Меню!$J$62:$DK$62,"нет такого",,-1)</f>
        <v>0.5</v>
      </c>
      <c r="E66" s="35">
        <f>SUMIF(Меню!$J$8:$DK$8,$C66,Меню!$J$28:$DK$28)/1000*$J$6</f>
        <v>0</v>
      </c>
      <c r="F66" s="35">
        <f>SUMIF(Меню!$J$8:$DK$8,$C66,Меню!$J$43:$DK$43)/1000*J$7</f>
        <v>6.0999999999999999E-2</v>
      </c>
      <c r="G66" s="35">
        <f>SUMIF(Меню!$J$8:$DK$8,$C66,Меню!$J$56:$DK$56)/1000*$J$8</f>
        <v>0</v>
      </c>
      <c r="H66" s="35">
        <f>SUMIF(Меню!$J$8:$DK$8,$C66,Меню!$J$61:$DK$61)/1000*$J$9</f>
        <v>0</v>
      </c>
      <c r="I66" s="36">
        <f>SUM(E66:H66)</f>
        <v>6.0999999999999999E-2</v>
      </c>
      <c r="J66" s="33"/>
      <c r="K66" s="34"/>
    </row>
    <row r="67" spans="2:11" ht="15.75" x14ac:dyDescent="0.25">
      <c r="B67" s="64">
        <f t="shared" si="1"/>
        <v>55</v>
      </c>
      <c r="C67" s="32" t="str">
        <f>инфо!C70</f>
        <v>Томат-паста</v>
      </c>
      <c r="D67" s="33">
        <f>_xlfn.XLOOKUP($C67,Меню!$J$8:$DK$8,Меню!$J$62:$DK$62,"нет такого",,-1)</f>
        <v>0</v>
      </c>
      <c r="E67" s="35">
        <f>SUMIF(Меню!$J$8:$DK$8,$C67,Меню!$J$28:$DK$28)/1000*$J$6</f>
        <v>0</v>
      </c>
      <c r="F67" s="35">
        <f>SUMIF(Меню!$J$8:$DK$8,$C67,Меню!$J$43:$DK$43)/1000*J$7</f>
        <v>0</v>
      </c>
      <c r="G67" s="35">
        <f>SUMIF(Меню!$J$8:$DK$8,$C67,Меню!$J$56:$DK$56)/1000*$J$8</f>
        <v>0</v>
      </c>
      <c r="H67" s="35">
        <f>SUMIF(Меню!$J$8:$DK$8,$C67,Меню!$J$61:$DK$61)/1000*$J$9</f>
        <v>0</v>
      </c>
      <c r="I67" s="36">
        <f t="shared" ref="I67:I105" si="4">SUM(E67:H67)</f>
        <v>0</v>
      </c>
      <c r="J67" s="33"/>
      <c r="K67" s="34"/>
    </row>
    <row r="68" spans="2:11" ht="15.75" x14ac:dyDescent="0.25">
      <c r="B68" s="64">
        <f t="shared" si="1"/>
        <v>56</v>
      </c>
      <c r="C68" s="32" t="str">
        <f>инфо!C71</f>
        <v>Уксус</v>
      </c>
      <c r="D68" s="33">
        <f>_xlfn.XLOOKUP($C68,Меню!$J$8:$DK$8,Меню!$J$62:$DK$62,"нет такого",,-1)</f>
        <v>0</v>
      </c>
      <c r="E68" s="35">
        <f>SUMIF(Меню!$J$8:$DK$8,$C68,Меню!$J$28:$DK$28)/1000*$J$6</f>
        <v>0</v>
      </c>
      <c r="F68" s="35">
        <f>SUMIF(Меню!$J$8:$DK$8,$C68,Меню!$J$43:$DK$43)/1000*J$7</f>
        <v>0</v>
      </c>
      <c r="G68" s="35">
        <f>SUMIF(Меню!$J$8:$DK$8,$C68,Меню!$J$56:$DK$56)/1000*$J$8</f>
        <v>0</v>
      </c>
      <c r="H68" s="35">
        <f>SUMIF(Меню!$J$8:$DK$8,$C68,Меню!$J$61:$DK$61)/1000*$J$9</f>
        <v>0</v>
      </c>
      <c r="I68" s="36">
        <f t="shared" si="4"/>
        <v>0</v>
      </c>
      <c r="J68" s="33"/>
      <c r="K68" s="34"/>
    </row>
    <row r="69" spans="2:11" ht="15.75" x14ac:dyDescent="0.25">
      <c r="B69" s="64">
        <f t="shared" si="1"/>
        <v>57</v>
      </c>
      <c r="C69" s="32" t="str">
        <f>инфо!C72</f>
        <v>Лавровый лист</v>
      </c>
      <c r="D69" s="33">
        <f>_xlfn.XLOOKUP($C69,Меню!$J$8:$DK$8,Меню!$J$62:$DK$62,"нет такого",,-1)</f>
        <v>0</v>
      </c>
      <c r="E69" s="35">
        <f>SUMIF(Меню!$J$8:$DK$8,$C69,Меню!$J$28:$DK$28)/1000*$J$6</f>
        <v>0</v>
      </c>
      <c r="F69" s="35">
        <f>SUMIF(Меню!$J$8:$DK$8,$C69,Меню!$J$43:$DK$43)/1000*J$7</f>
        <v>0</v>
      </c>
      <c r="G69" s="35">
        <f>SUMIF(Меню!$J$8:$DK$8,$C69,Меню!$J$56:$DK$56)/1000*$J$8</f>
        <v>0</v>
      </c>
      <c r="H69" s="35">
        <f>SUMIF(Меню!$J$8:$DK$8,$C69,Меню!$J$61:$DK$61)/1000*$J$9</f>
        <v>0</v>
      </c>
      <c r="I69" s="36">
        <f t="shared" si="4"/>
        <v>0</v>
      </c>
      <c r="J69" s="33"/>
      <c r="K69" s="34"/>
    </row>
    <row r="70" spans="2:11" ht="15.75" x14ac:dyDescent="0.25">
      <c r="B70" s="64">
        <f t="shared" si="1"/>
        <v>58</v>
      </c>
      <c r="C70" s="32" t="str">
        <f>инфо!C74</f>
        <v>Перец</v>
      </c>
      <c r="D70" s="33">
        <f>_xlfn.XLOOKUP($C70,Меню!$J$8:$DK$8,Меню!$J$62:$DK$62,"нет такого",,-1)</f>
        <v>0</v>
      </c>
      <c r="E70" s="35">
        <f>SUMIF(Меню!$J$8:$DK$8,$C70,Меню!$J$28:$DK$28)/1000*$J$6</f>
        <v>0</v>
      </c>
      <c r="F70" s="35">
        <f>SUMIF(Меню!$J$8:$DK$8,$C70,Меню!$J$43:$DK$43)/1000*J$7</f>
        <v>0</v>
      </c>
      <c r="G70" s="35">
        <f>SUMIF(Меню!$J$8:$DK$8,$C70,Меню!$J$56:$DK$56)/1000*$J$8</f>
        <v>0</v>
      </c>
      <c r="H70" s="35">
        <f>SUMIF(Меню!$J$8:$DK$8,$C70,Меню!$J$61:$DK$61)/1000*$J$9</f>
        <v>0</v>
      </c>
      <c r="I70" s="36">
        <f t="shared" si="4"/>
        <v>0</v>
      </c>
      <c r="J70" s="33"/>
      <c r="K70" s="34"/>
    </row>
    <row r="71" spans="2:11" ht="15.75" x14ac:dyDescent="0.25">
      <c r="B71" s="64">
        <f t="shared" si="1"/>
        <v>59</v>
      </c>
      <c r="C71" s="32" t="str">
        <f>инфо!C75</f>
        <v>Соль</v>
      </c>
      <c r="D71" s="33">
        <f>_xlfn.XLOOKUP($C71,Меню!$J$8:$DK$8,Меню!$J$62:$DK$62,"нет такого",,-1)</f>
        <v>0</v>
      </c>
      <c r="E71" s="35">
        <f>SUMIF(Меню!$J$8:$DK$8,$C71,Меню!$J$28:$DK$28)/1000*$J$6</f>
        <v>0</v>
      </c>
      <c r="F71" s="35">
        <f>SUMIF(Меню!$J$8:$DK$8,$C71,Меню!$J$43:$DK$43)/1000*J$7</f>
        <v>0</v>
      </c>
      <c r="G71" s="35">
        <f>SUMIF(Меню!$J$8:$DK$8,$C71,Меню!$J$56:$DK$56)/1000*$J$8</f>
        <v>0</v>
      </c>
      <c r="H71" s="35">
        <f>SUMIF(Меню!$J$8:$DK$8,$C71,Меню!$J$61:$DK$61)/1000*$J$9</f>
        <v>0</v>
      </c>
      <c r="I71" s="36">
        <f t="shared" si="4"/>
        <v>0</v>
      </c>
      <c r="J71" s="33"/>
      <c r="K71" s="34"/>
    </row>
    <row r="72" spans="2:11" ht="15.75" x14ac:dyDescent="0.25">
      <c r="B72" s="64">
        <f t="shared" si="1"/>
        <v>60</v>
      </c>
      <c r="C72" s="32" t="str">
        <f>инфо!C76</f>
        <v>Сахар</v>
      </c>
      <c r="D72" s="33">
        <f>_xlfn.XLOOKUP($C72,Меню!$J$8:$DK$8,Меню!$J$62:$DK$62,"нет такого",,-1)</f>
        <v>70</v>
      </c>
      <c r="E72" s="35">
        <f>SUMIF(Меню!$J$8:$DK$8,$C72,Меню!$J$28:$DK$28)/1000*$J$6</f>
        <v>3.0500000000000003</v>
      </c>
      <c r="F72" s="35">
        <f>SUMIF(Меню!$J$8:$DK$8,$C72,Меню!$J$43:$DK$43)/1000*J$7</f>
        <v>2.44</v>
      </c>
      <c r="G72" s="35">
        <f>SUMIF(Меню!$J$8:$DK$8,$C72,Меню!$J$56:$DK$56)/1000*$J$8</f>
        <v>0</v>
      </c>
      <c r="H72" s="35">
        <f>SUMIF(Меню!$J$8:$DK$8,$C72,Меню!$J$61:$DK$61)/1000*$J$9</f>
        <v>3.0500000000000003</v>
      </c>
      <c r="I72" s="36">
        <f t="shared" si="4"/>
        <v>8.5400000000000009</v>
      </c>
      <c r="J72" s="33"/>
      <c r="K72" s="34"/>
    </row>
    <row r="73" spans="2:11" ht="15.75" x14ac:dyDescent="0.25">
      <c r="B73" s="64">
        <f t="shared" si="1"/>
        <v>61</v>
      </c>
      <c r="C73" s="32" t="str">
        <f>инфо!C77</f>
        <v>Чай</v>
      </c>
      <c r="D73" s="33">
        <f>_xlfn.XLOOKUP($C73,Меню!$J$8:$DK$8,Меню!$J$62:$DK$62,"нет такого",,-1)</f>
        <v>1</v>
      </c>
      <c r="E73" s="35">
        <f>SUMIF(Меню!$J$8:$DK$8,$C73,Меню!$J$28:$DK$28)/1000*$J$6</f>
        <v>0</v>
      </c>
      <c r="F73" s="35">
        <f>SUMIF(Меню!$J$8:$DK$8,$C73,Меню!$J$43:$DK$43)/1000*J$7</f>
        <v>0</v>
      </c>
      <c r="G73" s="35">
        <f>SUMIF(Меню!$J$8:$DK$8,$C73,Меню!$J$56:$DK$56)/1000*$J$8</f>
        <v>0</v>
      </c>
      <c r="H73" s="35">
        <f>SUMIF(Меню!$J$8:$DK$8,$C73,Меню!$J$61:$DK$61)/1000*$J$9</f>
        <v>0.122</v>
      </c>
      <c r="I73" s="36">
        <f t="shared" si="4"/>
        <v>0.122</v>
      </c>
      <c r="J73" s="33"/>
      <c r="K73" s="34"/>
    </row>
    <row r="74" spans="2:11" ht="15.75" x14ac:dyDescent="0.25">
      <c r="B74" s="64">
        <f t="shared" si="1"/>
        <v>62</v>
      </c>
      <c r="C74" s="32" t="str">
        <f>инфо!C78</f>
        <v>Кофе растворимый</v>
      </c>
      <c r="D74" s="33">
        <f>_xlfn.XLOOKUP($C74,Меню!$J$8:$DK$8,Меню!$J$62:$DK$62,"нет такого",,-1)</f>
        <v>1.5</v>
      </c>
      <c r="E74" s="35">
        <f>SUMIF(Меню!$J$8:$DK$8,$C74,Меню!$J$28:$DK$28)/1000*$J$6</f>
        <v>0.183</v>
      </c>
      <c r="F74" s="35">
        <f>SUMIF(Меню!$J$8:$DK$8,$C74,Меню!$J$43:$DK$43)/1000*J$7</f>
        <v>0</v>
      </c>
      <c r="G74" s="35">
        <f>SUMIF(Меню!$J$8:$DK$8,$C74,Меню!$J$56:$DK$56)/1000*$J$8</f>
        <v>0</v>
      </c>
      <c r="H74" s="35">
        <f>SUMIF(Меню!$J$8:$DK$8,$C74,Меню!$J$61:$DK$61)/1000*$J$9</f>
        <v>0</v>
      </c>
      <c r="I74" s="36">
        <f t="shared" si="4"/>
        <v>0.183</v>
      </c>
      <c r="J74" s="33"/>
      <c r="K74" s="34"/>
    </row>
    <row r="75" spans="2:11" ht="15.75" x14ac:dyDescent="0.25">
      <c r="B75" s="64">
        <f t="shared" si="1"/>
        <v>63</v>
      </c>
      <c r="C75" s="32" t="str">
        <f>инфо!C79</f>
        <v>Сок п/я</v>
      </c>
      <c r="D75" s="33">
        <f>_xlfn.XLOOKUP($C75,Меню!$J$8:$DK$8,Меню!$J$62:$DK$62,"нет такого",,-1)</f>
        <v>200</v>
      </c>
      <c r="E75" s="35">
        <f>SUMIF(Меню!$J$8:$DK$8,$C75,Меню!$J$28:$DK$28)/1000*$J$6</f>
        <v>0</v>
      </c>
      <c r="F75" s="35">
        <f>SUMIF(Меню!$J$8:$DK$8,$C75,Меню!$J$43:$DK$43)/1000*J$7</f>
        <v>0</v>
      </c>
      <c r="G75" s="35">
        <f>SUMIF(Меню!$J$8:$DK$8,$C75,Меню!$J$56:$DK$56)/1000*$J$8</f>
        <v>24.400000000000002</v>
      </c>
      <c r="H75" s="35">
        <f>SUMIF(Меню!$J$8:$DK$8,$C75,Меню!$J$61:$DK$61)/1000*$J$9</f>
        <v>0</v>
      </c>
      <c r="I75" s="36">
        <f t="shared" si="4"/>
        <v>24.400000000000002</v>
      </c>
      <c r="J75" s="33"/>
      <c r="K75" s="34"/>
    </row>
    <row r="76" spans="2:11" ht="15.75" x14ac:dyDescent="0.25">
      <c r="B76" s="64">
        <f t="shared" si="1"/>
        <v>64</v>
      </c>
      <c r="C76" s="32" t="str">
        <f>инфо!C80</f>
        <v>Кофе БС</v>
      </c>
      <c r="D76" s="33">
        <f>_xlfn.XLOOKUP($C76,Меню!$J$8:$DK$8,Меню!$J$62:$DK$62,"нет такого",,-1)</f>
        <v>0</v>
      </c>
      <c r="E76" s="35">
        <f>SUMIF(Меню!$J$8:$DK$8,$C76,Меню!$J$28:$DK$28)/1000*$J$6</f>
        <v>0</v>
      </c>
      <c r="F76" s="35">
        <f>SUMIF(Меню!$J$8:$DK$8,$C76,Меню!$J$43:$DK$43)/1000*J$7</f>
        <v>0</v>
      </c>
      <c r="G76" s="35">
        <f>SUMIF(Меню!$J$8:$DK$8,$C76,Меню!$J$56:$DK$56)/1000*$J$8</f>
        <v>0</v>
      </c>
      <c r="H76" s="35">
        <f>SUMIF(Меню!$J$8:$DK$8,$C76,Меню!$J$61:$DK$61)/1000*$J$9</f>
        <v>0</v>
      </c>
      <c r="I76" s="36">
        <f t="shared" si="4"/>
        <v>0</v>
      </c>
      <c r="J76" s="33"/>
      <c r="K76" s="34"/>
    </row>
    <row r="77" spans="2:11" ht="15.75" x14ac:dyDescent="0.25">
      <c r="B77" s="64">
        <f t="shared" si="1"/>
        <v>65</v>
      </c>
      <c r="C77" s="32" t="str">
        <f>инфо!C81</f>
        <v>Курага</v>
      </c>
      <c r="D77" s="33">
        <f>_xlfn.XLOOKUP($C77,Меню!$J$8:$DK$8,Меню!$J$62:$DK$62,"нет такого",,-1)</f>
        <v>8</v>
      </c>
      <c r="E77" s="35">
        <f>SUMIF(Меню!$J$8:$DK$8,$C77,Меню!$J$28:$DK$28)/1000*$J$6</f>
        <v>0</v>
      </c>
      <c r="F77" s="35">
        <f>SUMIF(Меню!$J$8:$DK$8,$C77,Меню!$J$43:$DK$43)/1000*J$7</f>
        <v>0.97599999999999998</v>
      </c>
      <c r="G77" s="35">
        <f>SUMIF(Меню!$J$8:$DK$8,$C77,Меню!$J$56:$DK$56)/1000*$J$8</f>
        <v>0</v>
      </c>
      <c r="H77" s="35">
        <f>SUMIF(Меню!$J$8:$DK$8,$C77,Меню!$J$61:$DK$61)/1000*$J$9</f>
        <v>0</v>
      </c>
      <c r="I77" s="36">
        <f t="shared" ref="I77:I92" si="5">SUM(E77:H77)</f>
        <v>0.97599999999999998</v>
      </c>
      <c r="J77" s="33"/>
      <c r="K77" s="34"/>
    </row>
    <row r="78" spans="2:11" ht="15.75" x14ac:dyDescent="0.25">
      <c r="B78" s="64">
        <f t="shared" si="1"/>
        <v>66</v>
      </c>
      <c r="C78" s="32" t="str">
        <f>инфо!C82</f>
        <v>Изюм</v>
      </c>
      <c r="D78" s="33">
        <f>_xlfn.XLOOKUP($C78,Меню!$J$8:$DK$8,Меню!$J$62:$DK$62,"нет такого",,-1)</f>
        <v>8</v>
      </c>
      <c r="E78" s="35">
        <f>SUMIF(Меню!$J$8:$DK$8,$C78,Меню!$J$28:$DK$28)/1000*$J$6</f>
        <v>0</v>
      </c>
      <c r="F78" s="35">
        <f>SUMIF(Меню!$J$8:$DK$8,$C78,Меню!$J$43:$DK$43)/1000*J$7</f>
        <v>0.97599999999999998</v>
      </c>
      <c r="G78" s="35">
        <f>SUMIF(Меню!$J$8:$DK$8,$C78,Меню!$J$56:$DK$56)/1000*$J$8</f>
        <v>0</v>
      </c>
      <c r="H78" s="35">
        <f>SUMIF(Меню!$J$8:$DK$8,$C78,Меню!$J$61:$DK$61)/1000*$J$9</f>
        <v>0</v>
      </c>
      <c r="I78" s="36">
        <f t="shared" si="5"/>
        <v>0.97599999999999998</v>
      </c>
      <c r="J78" s="33"/>
      <c r="K78" s="34"/>
    </row>
    <row r="79" spans="2:11" ht="15.75" x14ac:dyDescent="0.25">
      <c r="B79" s="64">
        <f t="shared" si="1"/>
        <v>67</v>
      </c>
      <c r="C79" s="32" t="str">
        <f>инфо!C83</f>
        <v>Чернослив</v>
      </c>
      <c r="D79" s="33">
        <f>_xlfn.XLOOKUP($C79,Меню!$J$8:$DK$8,Меню!$J$62:$DK$62,"нет такого",,-1)</f>
        <v>4</v>
      </c>
      <c r="E79" s="35">
        <f>SUMIF(Меню!$J$8:$DK$8,$C79,Меню!$J$28:$DK$28)/1000*$J$6</f>
        <v>0</v>
      </c>
      <c r="F79" s="35">
        <f>SUMIF(Меню!$J$8:$DK$8,$C79,Меню!$J$43:$DK$43)/1000*J$7</f>
        <v>0.48799999999999999</v>
      </c>
      <c r="G79" s="35">
        <f>SUMIF(Меню!$J$8:$DK$8,$C79,Меню!$J$56:$DK$56)/1000*$J$8</f>
        <v>0</v>
      </c>
      <c r="H79" s="35">
        <f>SUMIF(Меню!$J$8:$DK$8,$C79,Меню!$J$61:$DK$61)/1000*$J$9</f>
        <v>0</v>
      </c>
      <c r="I79" s="36">
        <f t="shared" si="5"/>
        <v>0.48799999999999999</v>
      </c>
      <c r="J79" s="33"/>
      <c r="K79" s="34"/>
    </row>
    <row r="80" spans="2:11" ht="15.75" x14ac:dyDescent="0.25">
      <c r="B80" s="64">
        <f t="shared" ref="B80:B99" si="6">B79+1</f>
        <v>68</v>
      </c>
      <c r="C80" s="32" t="str">
        <f>инфо!C84</f>
        <v>Вода</v>
      </c>
      <c r="D80" s="33">
        <f>_xlfn.XLOOKUP($C80,Меню!$J$8:$DK$8,Меню!$J$62:$DK$62,"нет такого",,-1)</f>
        <v>0</v>
      </c>
      <c r="E80" s="35">
        <f>SUMIF(Меню!$J$8:$DK$8,$C80,Меню!$J$28:$DK$28)/1000*$J$6</f>
        <v>0</v>
      </c>
      <c r="F80" s="35">
        <f>SUMIF(Меню!$J$8:$DK$8,$C80,Меню!$J$43:$DK$43)/1000*J$7</f>
        <v>0</v>
      </c>
      <c r="G80" s="35">
        <f>SUMIF(Меню!$J$8:$DK$8,$C80,Меню!$J$56:$DK$56)/1000*$J$8</f>
        <v>0</v>
      </c>
      <c r="H80" s="35">
        <f>SUMIF(Меню!$J$8:$DK$8,$C80,Меню!$J$61:$DK$61)/1000*$J$9</f>
        <v>0</v>
      </c>
      <c r="I80" s="36">
        <f t="shared" si="5"/>
        <v>0</v>
      </c>
      <c r="J80" s="33"/>
      <c r="K80" s="34"/>
    </row>
    <row r="81" spans="2:11" ht="15.75" x14ac:dyDescent="0.25">
      <c r="B81" s="64">
        <f t="shared" si="6"/>
        <v>69</v>
      </c>
      <c r="C81" s="32" t="str">
        <f>инфо!C85</f>
        <v>Прочие 1</v>
      </c>
      <c r="D81" s="33">
        <f>_xlfn.XLOOKUP($C81,Меню!$J$8:$DK$8,Меню!$J$62:$DK$62,"нет такого",,-1)</f>
        <v>0</v>
      </c>
      <c r="E81" s="35">
        <f>SUMIF(Меню!$J$8:$DK$8,$C81,Меню!$J$28:$DK$28)/1000*$J$6</f>
        <v>0</v>
      </c>
      <c r="F81" s="35">
        <f>SUMIF(Меню!$J$8:$DK$8,$C81,Меню!$J$43:$DK$43)/1000*J$7</f>
        <v>0</v>
      </c>
      <c r="G81" s="35">
        <f>SUMIF(Меню!$J$8:$DK$8,$C81,Меню!$J$56:$DK$56)/1000*$J$8</f>
        <v>0</v>
      </c>
      <c r="H81" s="35">
        <f>SUMIF(Меню!$J$8:$DK$8,$C81,Меню!$J$61:$DK$61)/1000*$J$9</f>
        <v>0</v>
      </c>
      <c r="I81" s="36">
        <f t="shared" si="5"/>
        <v>0</v>
      </c>
      <c r="J81" s="33"/>
      <c r="K81" s="34"/>
    </row>
    <row r="82" spans="2:11" ht="15.75" x14ac:dyDescent="0.25">
      <c r="B82" s="64">
        <f t="shared" si="6"/>
        <v>70</v>
      </c>
      <c r="C82" s="32" t="str">
        <f>инфо!C86</f>
        <v>Апельсины</v>
      </c>
      <c r="D82" s="33">
        <f>_xlfn.XLOOKUP($C82,Меню!$J$8:$DK$8,Меню!$J$62:$DK$62,"нет такого",,-1)</f>
        <v>0</v>
      </c>
      <c r="E82" s="35">
        <f>SUMIF(Меню!$J$8:$DK$8,$C82,Меню!$J$28:$DK$28)/1000*$J$6</f>
        <v>0</v>
      </c>
      <c r="F82" s="35">
        <f>SUMIF(Меню!$J$8:$DK$8,$C82,Меню!$J$43:$DK$43)/1000*J$7</f>
        <v>0</v>
      </c>
      <c r="G82" s="35">
        <f>SUMIF(Меню!$J$8:$DK$8,$C82,Меню!$J$56:$DK$56)/1000*$J$8</f>
        <v>0</v>
      </c>
      <c r="H82" s="35">
        <f>SUMIF(Меню!$J$8:$DK$8,$C82,Меню!$J$61:$DK$61)/1000*$J$9</f>
        <v>0</v>
      </c>
      <c r="I82" s="36">
        <f t="shared" si="5"/>
        <v>0</v>
      </c>
      <c r="J82" s="33"/>
      <c r="K82" s="34"/>
    </row>
    <row r="83" spans="2:11" ht="15.75" x14ac:dyDescent="0.25">
      <c r="B83" s="64">
        <f t="shared" si="6"/>
        <v>71</v>
      </c>
      <c r="C83" s="32" t="str">
        <f>инфо!C87</f>
        <v>Вафли</v>
      </c>
      <c r="D83" s="33">
        <f>_xlfn.XLOOKUP($C83,Меню!$J$8:$DK$8,Меню!$J$62:$DK$62,"нет такого",,-1)</f>
        <v>0</v>
      </c>
      <c r="E83" s="35">
        <f>SUMIF(Меню!$J$8:$DK$8,$C83,Меню!$J$28:$DK$28)/1000*$J$6</f>
        <v>0</v>
      </c>
      <c r="F83" s="35">
        <f>SUMIF(Меню!$J$8:$DK$8,$C83,Меню!$J$43:$DK$43)/1000*J$7</f>
        <v>0</v>
      </c>
      <c r="G83" s="35">
        <f>SUMIF(Меню!$J$8:$DK$8,$C83,Меню!$J$56:$DK$56)/1000*$J$8</f>
        <v>0</v>
      </c>
      <c r="H83" s="35">
        <f>SUMIF(Меню!$J$8:$DK$8,$C83,Меню!$J$61:$DK$61)/1000*$J$9</f>
        <v>0</v>
      </c>
      <c r="I83" s="36">
        <f t="shared" si="5"/>
        <v>0</v>
      </c>
      <c r="J83" s="33"/>
      <c r="K83" s="34"/>
    </row>
    <row r="84" spans="2:11" ht="15.75" x14ac:dyDescent="0.25">
      <c r="B84" s="64">
        <f t="shared" si="6"/>
        <v>72</v>
      </c>
      <c r="C84" s="32" t="str">
        <f>инфо!C88</f>
        <v>Карамель</v>
      </c>
      <c r="D84" s="33">
        <f>_xlfn.XLOOKUP($C84,Меню!$J$8:$DK$8,Меню!$J$62:$DK$62,"нет такого",,-1)</f>
        <v>20</v>
      </c>
      <c r="E84" s="35">
        <f>SUMIF(Меню!$J$8:$DK$8,$C84,Меню!$J$28:$DK$28)/1000*$J$6</f>
        <v>0</v>
      </c>
      <c r="F84" s="35">
        <f>SUMIF(Меню!$J$8:$DK$8,$C84,Меню!$J$43:$DK$43)/1000*J$7</f>
        <v>2.44</v>
      </c>
      <c r="G84" s="35">
        <f>SUMIF(Меню!$J$8:$DK$8,$C84,Меню!$J$56:$DK$56)/1000*$J$8</f>
        <v>0</v>
      </c>
      <c r="H84" s="35">
        <f>SUMIF(Меню!$J$8:$DK$8,$C84,Меню!$J$61:$DK$61)/1000*$J$9</f>
        <v>0</v>
      </c>
      <c r="I84" s="36">
        <f t="shared" si="5"/>
        <v>2.44</v>
      </c>
      <c r="J84" s="33"/>
      <c r="K84" s="34"/>
    </row>
    <row r="85" spans="2:11" ht="15.75" x14ac:dyDescent="0.25">
      <c r="B85" s="64">
        <f t="shared" si="6"/>
        <v>73</v>
      </c>
      <c r="C85" s="32" t="str">
        <f>инфо!C89</f>
        <v>Конфеты шоколадные</v>
      </c>
      <c r="D85" s="33">
        <f>_xlfn.XLOOKUP($C85,Меню!$J$8:$DK$8,Меню!$J$62:$DK$62,"нет такого",,-1)</f>
        <v>0</v>
      </c>
      <c r="E85" s="35">
        <f>SUMIF(Меню!$J$8:$DK$8,$C85,Меню!$J$28:$DK$28)/1000*$J$6</f>
        <v>0</v>
      </c>
      <c r="F85" s="35">
        <f>SUMIF(Меню!$J$8:$DK$8,$C85,Меню!$J$43:$DK$43)/1000*J$7</f>
        <v>0</v>
      </c>
      <c r="G85" s="35">
        <f>SUMIF(Меню!$J$8:$DK$8,$C85,Меню!$J$56:$DK$56)/1000*$J$8</f>
        <v>0</v>
      </c>
      <c r="H85" s="35">
        <f>SUMIF(Меню!$J$8:$DK$8,$C85,Меню!$J$61:$DK$61)/1000*$J$9</f>
        <v>0</v>
      </c>
      <c r="I85" s="36">
        <f t="shared" si="5"/>
        <v>0</v>
      </c>
      <c r="J85" s="33"/>
      <c r="K85" s="34"/>
    </row>
    <row r="86" spans="2:11" ht="15.75" x14ac:dyDescent="0.25">
      <c r="B86" s="64">
        <f t="shared" si="6"/>
        <v>74</v>
      </c>
      <c r="C86" s="32" t="str">
        <f>инфо!C90</f>
        <v>Яблоки свежие</v>
      </c>
      <c r="D86" s="33">
        <f>_xlfn.XLOOKUP($C86,Меню!$J$8:$DK$8,Меню!$J$62:$DK$62,"нет такого",,-1)</f>
        <v>0</v>
      </c>
      <c r="E86" s="35">
        <f>SUMIF(Меню!$J$8:$DK$8,$C86,Меню!$J$28:$DK$28)/1000*$J$6</f>
        <v>0</v>
      </c>
      <c r="F86" s="35">
        <f>SUMIF(Меню!$J$8:$DK$8,$C86,Меню!$J$43:$DK$43)/1000*J$7</f>
        <v>0</v>
      </c>
      <c r="G86" s="35">
        <f>SUMIF(Меню!$J$8:$DK$8,$C86,Меню!$J$56:$DK$56)/1000*$J$8</f>
        <v>0</v>
      </c>
      <c r="H86" s="35">
        <f>SUMIF(Меню!$J$8:$DK$8,$C86,Меню!$J$61:$DK$61)/1000*$J$9</f>
        <v>0</v>
      </c>
      <c r="I86" s="36">
        <f t="shared" si="5"/>
        <v>0</v>
      </c>
      <c r="J86" s="33"/>
      <c r="K86" s="34"/>
    </row>
    <row r="87" spans="2:11" ht="15.75" x14ac:dyDescent="0.25">
      <c r="B87" s="64">
        <f t="shared" si="6"/>
        <v>75</v>
      </c>
      <c r="C87" s="32" t="str">
        <f>инфо!C91</f>
        <v>Печенье</v>
      </c>
      <c r="D87" s="33">
        <f>_xlfn.XLOOKUP($C87,Меню!$J$8:$DK$8,Меню!$J$62:$DK$62,"нет такого",,-1)</f>
        <v>60</v>
      </c>
      <c r="E87" s="35">
        <f>SUMIF(Меню!$J$8:$DK$8,$C87,Меню!$J$28:$DK$28)/1000*$J$6</f>
        <v>0</v>
      </c>
      <c r="F87" s="35">
        <f>SUMIF(Меню!$J$8:$DK$8,$C87,Меню!$J$43:$DK$43)/1000*J$7</f>
        <v>0</v>
      </c>
      <c r="G87" s="35">
        <f>SUMIF(Меню!$J$8:$DK$8,$C87,Меню!$J$56:$DK$56)/1000*$J$8</f>
        <v>0</v>
      </c>
      <c r="H87" s="35">
        <f>SUMIF(Меню!$J$8:$DK$8,$C87,Меню!$J$61:$DK$61)/1000*$J$9</f>
        <v>7.3199999999999994</v>
      </c>
      <c r="I87" s="36">
        <f t="shared" si="5"/>
        <v>7.3199999999999994</v>
      </c>
      <c r="J87" s="33"/>
      <c r="K87" s="34"/>
    </row>
    <row r="88" spans="2:11" ht="15.75" x14ac:dyDescent="0.25">
      <c r="B88" s="64">
        <f t="shared" si="6"/>
        <v>76</v>
      </c>
      <c r="C88" s="32" t="str">
        <f>инфо!C92</f>
        <v>Печенье БС</v>
      </c>
      <c r="D88" s="33">
        <f>_xlfn.XLOOKUP($C88,Меню!$J$8:$DK$8,Меню!$J$62:$DK$62,"нет такого",,-1)</f>
        <v>0</v>
      </c>
      <c r="E88" s="35">
        <f>SUMIF(Меню!$J$8:$DK$8,$C88,Меню!$J$28:$DK$28)/1000*$J$6</f>
        <v>0</v>
      </c>
      <c r="F88" s="35">
        <f>SUMIF(Меню!$J$8:$DK$8,$C88,Меню!$J$43:$DK$43)/1000*J$7</f>
        <v>0</v>
      </c>
      <c r="G88" s="35">
        <f>SUMIF(Меню!$J$8:$DK$8,$C88,Меню!$J$56:$DK$56)/1000*$J$8</f>
        <v>0</v>
      </c>
      <c r="H88" s="35">
        <f>SUMIF(Меню!$J$8:$DK$8,$C88,Меню!$J$61:$DK$61)/1000*$J$9</f>
        <v>0</v>
      </c>
      <c r="I88" s="36">
        <f t="shared" si="5"/>
        <v>0</v>
      </c>
      <c r="J88" s="33"/>
      <c r="K88" s="34"/>
    </row>
    <row r="89" spans="2:11" ht="15.75" x14ac:dyDescent="0.25">
      <c r="B89" s="64">
        <f t="shared" si="6"/>
        <v>77</v>
      </c>
      <c r="C89" s="32" t="str">
        <f>инфо!C93</f>
        <v>Пряники, печенье</v>
      </c>
      <c r="D89" s="33">
        <f>_xlfn.XLOOKUP($C89,Меню!$J$8:$DK$8,Меню!$J$62:$DK$62,"нет такого",,-1)</f>
        <v>0</v>
      </c>
      <c r="E89" s="35">
        <f>SUMIF(Меню!$J$8:$DK$8,$C89,Меню!$J$28:$DK$28)/1000*$J$6</f>
        <v>0</v>
      </c>
      <c r="F89" s="35">
        <f>SUMIF(Меню!$J$8:$DK$8,$C89,Меню!$J$43:$DK$43)/1000*J$7</f>
        <v>0</v>
      </c>
      <c r="G89" s="35">
        <f>SUMIF(Меню!$J$8:$DK$8,$C89,Меню!$J$56:$DK$56)/1000*$J$8</f>
        <v>0</v>
      </c>
      <c r="H89" s="35">
        <f>SUMIF(Меню!$J$8:$DK$8,$C89,Меню!$J$61:$DK$61)/1000*$J$9</f>
        <v>0</v>
      </c>
      <c r="I89" s="36">
        <f t="shared" si="5"/>
        <v>0</v>
      </c>
      <c r="J89" s="33"/>
      <c r="K89" s="34"/>
    </row>
    <row r="90" spans="2:11" ht="15.75" x14ac:dyDescent="0.25">
      <c r="B90" s="64">
        <f t="shared" si="6"/>
        <v>78</v>
      </c>
      <c r="C90" s="32" t="str">
        <f>инфо!C94</f>
        <v>Сок яблочный</v>
      </c>
      <c r="D90" s="33">
        <f>_xlfn.XLOOKUP($C90,Меню!$J$8:$DK$8,Меню!$J$62:$DK$62,"нет такого",,-1)</f>
        <v>0</v>
      </c>
      <c r="E90" s="35">
        <f>SUMIF(Меню!$J$8:$DK$8,$C90,Меню!$J$28:$DK$28)/1000*$J$6</f>
        <v>0</v>
      </c>
      <c r="F90" s="35">
        <f>SUMIF(Меню!$J$8:$DK$8,$C90,Меню!$J$43:$DK$43)/1000*J$7</f>
        <v>0</v>
      </c>
      <c r="G90" s="35">
        <f>SUMIF(Меню!$J$8:$DK$8,$C90,Меню!$J$56:$DK$56)/1000*$J$8</f>
        <v>0</v>
      </c>
      <c r="H90" s="35">
        <f>SUMIF(Меню!$J$8:$DK$8,$C90,Меню!$J$61:$DK$61)/1000*$J$9</f>
        <v>0</v>
      </c>
      <c r="I90" s="36">
        <f t="shared" si="5"/>
        <v>0</v>
      </c>
      <c r="J90" s="33"/>
      <c r="K90" s="34"/>
    </row>
    <row r="91" spans="2:11" ht="15.75" x14ac:dyDescent="0.25">
      <c r="B91" s="64">
        <f t="shared" si="6"/>
        <v>79</v>
      </c>
      <c r="C91" s="32" t="str">
        <f>инфо!C95</f>
        <v>Доп.продукт 1</v>
      </c>
      <c r="D91" s="33">
        <f>_xlfn.XLOOKUP($C91,Меню!$J$8:$DK$8,Меню!$J$62:$DK$62,"нет такого",,-1)</f>
        <v>0</v>
      </c>
      <c r="E91" s="35">
        <f>SUMIF(Меню!$J$8:$DK$8,$C91,Меню!$J$28:$DK$28)/1000*$J$6</f>
        <v>0</v>
      </c>
      <c r="F91" s="35">
        <f>SUMIF(Меню!$J$8:$DK$8,$C91,Меню!$J$43:$DK$43)/1000*J$7</f>
        <v>0</v>
      </c>
      <c r="G91" s="35">
        <f>SUMIF(Меню!$J$8:$DK$8,$C91,Меню!$J$56:$DK$56)/1000*$J$8</f>
        <v>0</v>
      </c>
      <c r="H91" s="35">
        <f>SUMIF(Меню!$J$8:$DK$8,$C91,Меню!$J$61:$DK$61)/1000*$J$9</f>
        <v>0</v>
      </c>
      <c r="I91" s="36">
        <f t="shared" si="5"/>
        <v>0</v>
      </c>
      <c r="J91" s="33"/>
      <c r="K91" s="34"/>
    </row>
    <row r="92" spans="2:11" ht="15.75" x14ac:dyDescent="0.25">
      <c r="B92" s="64">
        <f t="shared" si="6"/>
        <v>80</v>
      </c>
      <c r="C92" s="32" t="str">
        <f>инфо!C96</f>
        <v>Доп.продукт 2</v>
      </c>
      <c r="D92" s="33">
        <f>_xlfn.XLOOKUP($C92,Меню!$J$8:$DK$8,Меню!$J$62:$DK$62,"нет такого",,-1)</f>
        <v>0</v>
      </c>
      <c r="E92" s="35">
        <f>SUMIF(Меню!$J$8:$DK$8,$C92,Меню!$J$28:$DK$28)/1000*$J$6</f>
        <v>0</v>
      </c>
      <c r="F92" s="35">
        <f>SUMIF(Меню!$J$8:$DK$8,$C92,Меню!$J$43:$DK$43)/1000*J$7</f>
        <v>0</v>
      </c>
      <c r="G92" s="35">
        <f>SUMIF(Меню!$J$8:$DK$8,$C92,Меню!$J$56:$DK$56)/1000*$J$8</f>
        <v>0</v>
      </c>
      <c r="H92" s="35">
        <f>SUMIF(Меню!$J$8:$DK$8,$C92,Меню!$J$61:$DK$61)/1000*$J$9</f>
        <v>0</v>
      </c>
      <c r="I92" s="36">
        <f t="shared" si="5"/>
        <v>0</v>
      </c>
      <c r="J92" s="33"/>
      <c r="K92" s="34"/>
    </row>
    <row r="93" spans="2:11" ht="15.75" x14ac:dyDescent="0.25">
      <c r="B93" s="64">
        <f t="shared" si="6"/>
        <v>81</v>
      </c>
      <c r="C93" s="32" t="str">
        <f>инфо!C97</f>
        <v>Доп.продукт 3</v>
      </c>
      <c r="D93" s="33">
        <f>_xlfn.XLOOKUP($C93,Меню!$J$8:$DK$8,Меню!$J$62:$DK$62,"нет такого",,-1)</f>
        <v>0</v>
      </c>
      <c r="E93" s="35">
        <f>SUMIF(Меню!$J$8:$DK$8,$C93,Меню!$J$28:$DK$28)/1000*$J$6</f>
        <v>0</v>
      </c>
      <c r="F93" s="35">
        <f>SUMIF(Меню!$J$8:$DK$8,$C93,Меню!$J$43:$DK$43)/1000*J$7</f>
        <v>0</v>
      </c>
      <c r="G93" s="35">
        <f>SUMIF(Меню!$J$8:$DK$8,$C93,Меню!$J$56:$DK$56)/1000*$J$8</f>
        <v>0</v>
      </c>
      <c r="H93" s="35">
        <f>SUMIF(Меню!$J$8:$DK$8,$C93,Меню!$J$61:$DK$61)/1000*$J$9</f>
        <v>0</v>
      </c>
      <c r="I93" s="36">
        <f t="shared" ref="I93:I104" si="7">SUM(E93:H93)</f>
        <v>0</v>
      </c>
      <c r="J93" s="33"/>
      <c r="K93" s="34"/>
    </row>
    <row r="94" spans="2:11" ht="15.75" x14ac:dyDescent="0.25">
      <c r="B94" s="64">
        <f t="shared" si="6"/>
        <v>82</v>
      </c>
      <c r="C94" s="32" t="str">
        <f>инфо!C98</f>
        <v>Доп.продукт 4</v>
      </c>
      <c r="D94" s="33">
        <f>_xlfn.XLOOKUP($C94,Меню!$J$8:$DK$8,Меню!$J$62:$DK$62,"нет такого",,-1)</f>
        <v>0</v>
      </c>
      <c r="E94" s="35">
        <f>SUMIF(Меню!$J$8:$DK$8,$C94,Меню!$J$28:$DK$28)/1000*$J$6</f>
        <v>0</v>
      </c>
      <c r="F94" s="35">
        <f>SUMIF(Меню!$J$8:$DK$8,$C94,Меню!$J$43:$DK$43)/1000*J$7</f>
        <v>0</v>
      </c>
      <c r="G94" s="35">
        <f>SUMIF(Меню!$J$8:$DK$8,$C94,Меню!$J$56:$DK$56)/1000*$J$8</f>
        <v>0</v>
      </c>
      <c r="H94" s="35">
        <f>SUMIF(Меню!$J$8:$DK$8,$C94,Меню!$J$61:$DK$61)/1000*$J$9</f>
        <v>0</v>
      </c>
      <c r="I94" s="36">
        <f t="shared" si="7"/>
        <v>0</v>
      </c>
      <c r="J94" s="33"/>
      <c r="K94" s="34"/>
    </row>
    <row r="95" spans="2:11" ht="15.75" x14ac:dyDescent="0.25">
      <c r="B95" s="64">
        <f t="shared" si="6"/>
        <v>83</v>
      </c>
      <c r="C95" s="32" t="str">
        <f>инфо!C99</f>
        <v>Доп.продукт 5</v>
      </c>
      <c r="D95" s="33">
        <f>_xlfn.XLOOKUP($C95,Меню!$J$8:$DK$8,Меню!$J$62:$DK$62,"нет такого",,-1)</f>
        <v>0</v>
      </c>
      <c r="E95" s="35">
        <f>SUMIF(Меню!$J$8:$DK$8,$C95,Меню!$J$28:$DK$28)/1000*$J$6</f>
        <v>0</v>
      </c>
      <c r="F95" s="35">
        <f>SUMIF(Меню!$J$8:$DK$8,$C95,Меню!$J$43:$DK$43)/1000*J$7</f>
        <v>0</v>
      </c>
      <c r="G95" s="35">
        <f>SUMIF(Меню!$J$8:$DK$8,$C95,Меню!$J$56:$DK$56)/1000*$J$8</f>
        <v>0</v>
      </c>
      <c r="H95" s="35">
        <f>SUMIF(Меню!$J$8:$DK$8,$C95,Меню!$J$61:$DK$61)/1000*$J$9</f>
        <v>0</v>
      </c>
      <c r="I95" s="36">
        <f t="shared" si="7"/>
        <v>0</v>
      </c>
      <c r="J95" s="33"/>
      <c r="K95" s="34"/>
    </row>
    <row r="96" spans="2:11" ht="15.75" x14ac:dyDescent="0.25">
      <c r="B96" s="64">
        <f t="shared" si="6"/>
        <v>84</v>
      </c>
      <c r="C96" s="32" t="str">
        <f>инфо!C100</f>
        <v>Новый продукт</v>
      </c>
      <c r="D96" s="33">
        <f>_xlfn.XLOOKUP($C96,Меню!$J$8:$DK$8,Меню!$J$62:$DK$62,"нет такого",,-1)</f>
        <v>0</v>
      </c>
      <c r="E96" s="35">
        <f>SUMIF(Меню!$J$8:$DK$8,$C96,Меню!$J$28:$DK$28)/1000*$J$6</f>
        <v>0</v>
      </c>
      <c r="F96" s="35">
        <f>SUMIF(Меню!$J$8:$DK$8,$C96,Меню!$J$43:$DK$43)/1000*J$7</f>
        <v>0</v>
      </c>
      <c r="G96" s="35">
        <f>SUMIF(Меню!$J$8:$DK$8,$C96,Меню!$J$56:$DK$56)/1000*$J$8</f>
        <v>0</v>
      </c>
      <c r="H96" s="35">
        <f>SUMIF(Меню!$J$8:$DK$8,$C96,Меню!$J$61:$DK$61)/1000*$J$9</f>
        <v>0</v>
      </c>
      <c r="I96" s="36">
        <f t="shared" si="7"/>
        <v>0</v>
      </c>
      <c r="J96" s="33"/>
      <c r="K96" s="34"/>
    </row>
    <row r="97" spans="2:11" ht="15.75" x14ac:dyDescent="0.25">
      <c r="B97" s="64">
        <f t="shared" si="6"/>
        <v>85</v>
      </c>
      <c r="C97" s="32" t="str">
        <f>инфо!C101</f>
        <v>Новый продукт</v>
      </c>
      <c r="D97" s="33">
        <f>_xlfn.XLOOKUP($C97,Меню!$J$8:$DK$8,Меню!$J$62:$DK$62,"нет такого",,-1)</f>
        <v>0</v>
      </c>
      <c r="E97" s="35">
        <f>SUMIF(Меню!$J$8:$DK$8,$C97,Меню!$J$28:$DK$28)/1000*$J$6</f>
        <v>0</v>
      </c>
      <c r="F97" s="35">
        <f>SUMIF(Меню!$J$8:$DK$8,$C97,Меню!$J$43:$DK$43)/1000*J$7</f>
        <v>0</v>
      </c>
      <c r="G97" s="35">
        <f>SUMIF(Меню!$J$8:$DK$8,$C97,Меню!$J$56:$DK$56)/1000*$J$8</f>
        <v>0</v>
      </c>
      <c r="H97" s="35">
        <f>SUMIF(Меню!$J$8:$DK$8,$C97,Меню!$J$61:$DK$61)/1000*$J$9</f>
        <v>0</v>
      </c>
      <c r="I97" s="36">
        <f t="shared" si="7"/>
        <v>0</v>
      </c>
      <c r="J97" s="33"/>
      <c r="K97" s="34"/>
    </row>
    <row r="98" spans="2:11" ht="15.75" x14ac:dyDescent="0.25">
      <c r="B98" s="64">
        <f t="shared" si="6"/>
        <v>86</v>
      </c>
      <c r="C98" s="32" t="str">
        <f>инфо!C102</f>
        <v>Новый продукт</v>
      </c>
      <c r="D98" s="33">
        <f>_xlfn.XLOOKUP($C98,Меню!$J$8:$DK$8,Меню!$J$62:$DK$62,"нет такого",,-1)</f>
        <v>0</v>
      </c>
      <c r="E98" s="35">
        <f>SUMIF(Меню!$J$8:$DK$8,$C98,Меню!$J$28:$DK$28)/1000*$J$6</f>
        <v>0</v>
      </c>
      <c r="F98" s="35">
        <f>SUMIF(Меню!$J$8:$DK$8,$C98,Меню!$J$43:$DK$43)/1000*J$7</f>
        <v>0</v>
      </c>
      <c r="G98" s="35">
        <f>SUMIF(Меню!$J$8:$DK$8,$C98,Меню!$J$56:$DK$56)/1000*$J$8</f>
        <v>0</v>
      </c>
      <c r="H98" s="35">
        <f>SUMIF(Меню!$J$8:$DK$8,$C98,Меню!$J$61:$DK$61)/1000*$J$9</f>
        <v>0</v>
      </c>
      <c r="I98" s="36">
        <f t="shared" si="7"/>
        <v>0</v>
      </c>
      <c r="J98" s="33"/>
      <c r="K98" s="34"/>
    </row>
    <row r="99" spans="2:11" ht="15.75" x14ac:dyDescent="0.25">
      <c r="B99" s="64">
        <f t="shared" si="6"/>
        <v>87</v>
      </c>
      <c r="C99" s="32" t="str">
        <f>инфо!C103</f>
        <v>Новый продукт</v>
      </c>
      <c r="D99" s="33">
        <f>_xlfn.XLOOKUP($C99,Меню!$J$8:$DK$8,Меню!$J$62:$DK$62,"нет такого",,-1)</f>
        <v>0</v>
      </c>
      <c r="E99" s="35">
        <f>SUMIF(Меню!$J$8:$DK$8,$C99,Меню!$J$28:$DK$28)/1000*$J$6</f>
        <v>0</v>
      </c>
      <c r="F99" s="35">
        <f>SUMIF(Меню!$J$8:$DK$8,$C99,Меню!$J$43:$DK$43)/1000*J$7</f>
        <v>0</v>
      </c>
      <c r="G99" s="35">
        <f>SUMIF(Меню!$J$8:$DK$8,$C99,Меню!$J$56:$DK$56)/1000*$J$8</f>
        <v>0</v>
      </c>
      <c r="H99" s="35">
        <f>SUMIF(Меню!$J$8:$DK$8,$C99,Меню!$J$61:$DK$61)/1000*$J$9</f>
        <v>0</v>
      </c>
      <c r="I99" s="36">
        <f t="shared" si="7"/>
        <v>0</v>
      </c>
      <c r="J99" s="33"/>
      <c r="K99" s="34"/>
    </row>
    <row r="100" spans="2:11" ht="15.75" x14ac:dyDescent="0.25">
      <c r="B100" s="64">
        <f t="shared" ref="B100:B104" si="8">B99+1</f>
        <v>88</v>
      </c>
      <c r="C100" s="32" t="str">
        <f>инфо!C104</f>
        <v>Новый продукт</v>
      </c>
      <c r="D100" s="33">
        <f>_xlfn.XLOOKUP($C100,Меню!$J$8:$DK$8,Меню!$J$62:$DK$62,"нет такого",,-1)</f>
        <v>0</v>
      </c>
      <c r="E100" s="35">
        <f>SUMIF(Меню!$J$8:$DK$8,$C100,Меню!$J$28:$DK$28)/1000*$J$6</f>
        <v>0</v>
      </c>
      <c r="F100" s="35">
        <f>SUMIF(Меню!$J$8:$DK$8,$C100,Меню!$J$43:$DK$43)/1000*J$7</f>
        <v>0</v>
      </c>
      <c r="G100" s="35">
        <f>SUMIF(Меню!$J$8:$DK$8,$C100,Меню!$J$56:$DK$56)/1000*$J$8</f>
        <v>0</v>
      </c>
      <c r="H100" s="35">
        <f>SUMIF(Меню!$J$8:$DK$8,$C100,Меню!$J$61:$DK$61)/1000*$J$9</f>
        <v>0</v>
      </c>
      <c r="I100" s="36">
        <f t="shared" si="7"/>
        <v>0</v>
      </c>
      <c r="J100" s="33"/>
      <c r="K100" s="34"/>
    </row>
    <row r="101" spans="2:11" ht="15.75" x14ac:dyDescent="0.25">
      <c r="B101" s="64">
        <f t="shared" si="8"/>
        <v>89</v>
      </c>
      <c r="C101" s="32" t="str">
        <f>инфо!C105</f>
        <v>Новый продукт</v>
      </c>
      <c r="D101" s="33">
        <f>_xlfn.XLOOKUP($C101,Меню!$J$8:$DK$8,Меню!$J$62:$DK$62,"нет такого",,-1)</f>
        <v>0</v>
      </c>
      <c r="E101" s="35">
        <f>SUMIF(Меню!$J$8:$DK$8,$C101,Меню!$J$28:$DK$28)/1000*$J$6</f>
        <v>0</v>
      </c>
      <c r="F101" s="35">
        <f>SUMIF(Меню!$J$8:$DK$8,$C101,Меню!$J$43:$DK$43)/1000*J$7</f>
        <v>0</v>
      </c>
      <c r="G101" s="35">
        <f>SUMIF(Меню!$J$8:$DK$8,$C101,Меню!$J$56:$DK$56)/1000*$J$8</f>
        <v>0</v>
      </c>
      <c r="H101" s="35">
        <f>SUMIF(Меню!$J$8:$DK$8,$C101,Меню!$J$61:$DK$61)/1000*$J$9</f>
        <v>0</v>
      </c>
      <c r="I101" s="36">
        <f t="shared" si="7"/>
        <v>0</v>
      </c>
      <c r="J101" s="33"/>
      <c r="K101" s="34"/>
    </row>
    <row r="102" spans="2:11" ht="15.75" x14ac:dyDescent="0.25">
      <c r="B102" s="64">
        <f t="shared" si="8"/>
        <v>90</v>
      </c>
      <c r="C102" s="32" t="str">
        <f>инфо!C106</f>
        <v>Новый продукт</v>
      </c>
      <c r="D102" s="33">
        <f>_xlfn.XLOOKUP($C102,Меню!$J$8:$DK$8,Меню!$J$62:$DK$62,"нет такого",,-1)</f>
        <v>0</v>
      </c>
      <c r="E102" s="35">
        <f>SUMIF(Меню!$J$8:$DK$8,$C102,Меню!$J$28:$DK$28)/1000*$J$6</f>
        <v>0</v>
      </c>
      <c r="F102" s="35">
        <f>SUMIF(Меню!$J$8:$DK$8,$C102,Меню!$J$43:$DK$43)/1000*J$7</f>
        <v>0</v>
      </c>
      <c r="G102" s="35">
        <f>SUMIF(Меню!$J$8:$DK$8,$C102,Меню!$J$56:$DK$56)/1000*$J$8</f>
        <v>0</v>
      </c>
      <c r="H102" s="35">
        <f>SUMIF(Меню!$J$8:$DK$8,$C102,Меню!$J$61:$DK$61)/1000*$J$9</f>
        <v>0</v>
      </c>
      <c r="I102" s="36">
        <f t="shared" si="7"/>
        <v>0</v>
      </c>
      <c r="J102" s="33"/>
      <c r="K102" s="34"/>
    </row>
    <row r="103" spans="2:11" ht="15.75" x14ac:dyDescent="0.25">
      <c r="B103" s="64">
        <f t="shared" si="8"/>
        <v>91</v>
      </c>
      <c r="C103" s="32" t="str">
        <f>инфо!C107</f>
        <v>Новый продукт</v>
      </c>
      <c r="D103" s="33">
        <f>_xlfn.XLOOKUP($C103,Меню!$J$8:$DK$8,Меню!$J$62:$DK$62,"нет такого",,-1)</f>
        <v>0</v>
      </c>
      <c r="E103" s="35">
        <f>SUMIF(Меню!$J$8:$DK$8,$C103,Меню!$J$28:$DK$28)/1000*$J$6</f>
        <v>0</v>
      </c>
      <c r="F103" s="35">
        <f>SUMIF(Меню!$J$8:$DK$8,$C103,Меню!$J$43:$DK$43)/1000*J$7</f>
        <v>0</v>
      </c>
      <c r="G103" s="35">
        <f>SUMIF(Меню!$J$8:$DK$8,$C103,Меню!$J$56:$DK$56)/1000*$J$8</f>
        <v>0</v>
      </c>
      <c r="H103" s="35">
        <f>SUMIF(Меню!$J$8:$DK$8,$C103,Меню!$J$61:$DK$61)/1000*$J$9</f>
        <v>0</v>
      </c>
      <c r="I103" s="36">
        <f t="shared" si="7"/>
        <v>0</v>
      </c>
      <c r="J103" s="33"/>
      <c r="K103" s="34"/>
    </row>
    <row r="104" spans="2:11" ht="15.75" x14ac:dyDescent="0.25">
      <c r="B104" s="64">
        <f t="shared" si="8"/>
        <v>92</v>
      </c>
      <c r="C104" s="32" t="str">
        <f>инфо!C108</f>
        <v>Новый продукт</v>
      </c>
      <c r="D104" s="33">
        <f>_xlfn.XLOOKUP($C104,Меню!$J$8:$DK$8,Меню!$J$62:$DK$62,"нет такого",,-1)</f>
        <v>0</v>
      </c>
      <c r="E104" s="35">
        <f>SUMIF(Меню!$J$8:$DK$8,$C104,Меню!$J$28:$DK$28)/1000*$J$6</f>
        <v>0</v>
      </c>
      <c r="F104" s="35">
        <f>SUMIF(Меню!$J$8:$DK$8,$C104,Меню!$J$43:$DK$43)/1000*J$7</f>
        <v>0</v>
      </c>
      <c r="G104" s="35">
        <f>SUMIF(Меню!$J$8:$DK$8,$C104,Меню!$J$56:$DK$56)/1000*$J$8</f>
        <v>0</v>
      </c>
      <c r="H104" s="35">
        <f>SUMIF(Меню!$J$8:$DK$8,$C104,Меню!$J$61:$DK$61)/1000*$J$9</f>
        <v>0</v>
      </c>
      <c r="I104" s="36">
        <f t="shared" si="7"/>
        <v>0</v>
      </c>
      <c r="J104" s="33"/>
      <c r="K104" s="34"/>
    </row>
    <row r="105" spans="2:11" ht="15.75" x14ac:dyDescent="0.25">
      <c r="B105" s="64">
        <v>68</v>
      </c>
      <c r="C105" s="32" t="str">
        <f>Меню!DL6</f>
        <v>ОКГ</v>
      </c>
      <c r="D105" s="33">
        <f>Меню!DL28</f>
        <v>425</v>
      </c>
      <c r="E105" s="33"/>
      <c r="F105" s="33"/>
      <c r="G105" s="33"/>
      <c r="H105" s="33"/>
      <c r="I105" s="36">
        <f>SUM(D105)</f>
        <v>425</v>
      </c>
      <c r="J105" s="33"/>
      <c r="K105" s="34"/>
    </row>
    <row r="106" spans="2:11" ht="15.75" x14ac:dyDescent="0.25">
      <c r="B106" s="64">
        <v>69</v>
      </c>
      <c r="C106" s="32" t="s">
        <v>166</v>
      </c>
      <c r="D106" s="33">
        <v>5.4000000000000003E-3</v>
      </c>
      <c r="E106" s="33"/>
      <c r="F106" s="33"/>
      <c r="G106" s="33"/>
      <c r="H106" s="33"/>
      <c r="I106" s="36">
        <f>SUM(D106)</f>
        <v>5.4000000000000003E-3</v>
      </c>
      <c r="J106" s="33"/>
      <c r="K106" s="34"/>
    </row>
    <row r="107" spans="2:11" ht="15.75" x14ac:dyDescent="0.25">
      <c r="B107" s="64">
        <v>70</v>
      </c>
      <c r="C107" s="32" t="s">
        <v>167</v>
      </c>
      <c r="D107" s="33">
        <v>1.75E-3</v>
      </c>
      <c r="E107" s="33"/>
      <c r="F107" s="33"/>
      <c r="G107" s="33"/>
      <c r="H107" s="33"/>
      <c r="I107" s="36">
        <f>SUM(D107)</f>
        <v>1.75E-3</v>
      </c>
      <c r="J107" s="33"/>
      <c r="K107" s="34"/>
    </row>
    <row r="108" spans="2:11" ht="15.75" thickBot="1" x14ac:dyDescent="0.3">
      <c r="B108" s="199" t="s">
        <v>276</v>
      </c>
      <c r="C108" s="65"/>
      <c r="D108" s="65">
        <f>COUNTIF(I13:I107,"&gt;0")</f>
        <v>38</v>
      </c>
      <c r="E108" s="65"/>
      <c r="F108" s="65"/>
      <c r="G108" s="65"/>
      <c r="H108" s="65"/>
      <c r="I108" s="65"/>
      <c r="J108" s="65"/>
      <c r="K108" s="66"/>
    </row>
    <row r="109" spans="2:11" x14ac:dyDescent="0.25">
      <c r="B109" s="37"/>
      <c r="C109" s="27"/>
      <c r="D109" s="38"/>
      <c r="E109" s="38"/>
      <c r="F109" s="38"/>
      <c r="G109" s="38"/>
      <c r="H109" s="38"/>
      <c r="I109" s="63"/>
      <c r="J109" s="37"/>
      <c r="K109" s="38"/>
    </row>
    <row r="110" spans="2:11" x14ac:dyDescent="0.25">
      <c r="B110" s="37"/>
      <c r="C110" s="758"/>
      <c r="D110" s="758"/>
      <c r="E110" s="758"/>
      <c r="F110" s="758"/>
      <c r="G110" s="758"/>
      <c r="H110" s="758"/>
      <c r="I110" s="758"/>
      <c r="J110" s="40"/>
      <c r="K110" s="38"/>
    </row>
    <row r="111" spans="2:11" x14ac:dyDescent="0.25">
      <c r="B111" s="38"/>
      <c r="C111" s="27"/>
      <c r="D111" s="38"/>
      <c r="E111" s="38"/>
      <c r="F111" s="38"/>
      <c r="G111" s="38"/>
      <c r="H111" s="38"/>
      <c r="I111" s="41"/>
      <c r="J111" s="38"/>
      <c r="K111" s="38"/>
    </row>
    <row r="112" spans="2:11" x14ac:dyDescent="0.25">
      <c r="B112" s="38"/>
      <c r="C112" s="27" t="s">
        <v>252</v>
      </c>
      <c r="D112" s="40"/>
      <c r="E112" s="27" t="s">
        <v>253</v>
      </c>
      <c r="F112" s="40"/>
      <c r="G112" s="40"/>
      <c r="H112" s="40"/>
      <c r="I112" s="40"/>
      <c r="J112" s="38"/>
      <c r="K112" s="38"/>
    </row>
    <row r="113" spans="2:11" x14ac:dyDescent="0.25">
      <c r="B113" s="38"/>
      <c r="C113" s="42"/>
      <c r="D113" s="37"/>
      <c r="E113" s="43"/>
      <c r="F113" s="43"/>
      <c r="G113" s="43"/>
      <c r="H113" s="43"/>
      <c r="I113" s="44"/>
      <c r="J113" s="43"/>
      <c r="K113" s="43"/>
    </row>
    <row r="114" spans="2:11" x14ac:dyDescent="0.25">
      <c r="B114" s="37"/>
      <c r="C114" s="45"/>
      <c r="D114" s="46"/>
      <c r="E114" s="88" t="s">
        <v>168</v>
      </c>
      <c r="F114" s="48"/>
      <c r="G114" s="47"/>
      <c r="H114" s="49" t="s">
        <v>169</v>
      </c>
      <c r="I114" s="48"/>
      <c r="J114" s="47" t="s">
        <v>170</v>
      </c>
      <c r="K114" s="48"/>
    </row>
    <row r="115" spans="2:11" ht="15.75" x14ac:dyDescent="0.25">
      <c r="B115" s="50"/>
      <c r="C115" s="51" t="s">
        <v>250</v>
      </c>
      <c r="D115" s="151" t="s">
        <v>248</v>
      </c>
      <c r="E115" s="52"/>
      <c r="F115" s="53"/>
      <c r="G115" s="52"/>
      <c r="H115" s="54"/>
      <c r="I115" s="55"/>
      <c r="J115" s="54"/>
      <c r="K115" s="53"/>
    </row>
    <row r="116" spans="2:11" ht="15.75" x14ac:dyDescent="0.25">
      <c r="B116" s="50"/>
      <c r="C116" s="51" t="s">
        <v>251</v>
      </c>
      <c r="D116" s="151" t="s">
        <v>249</v>
      </c>
      <c r="E116" s="52"/>
      <c r="F116" s="53"/>
      <c r="G116" s="52"/>
      <c r="H116" s="54"/>
      <c r="I116" s="55"/>
      <c r="J116" s="54"/>
      <c r="K116" s="53"/>
    </row>
    <row r="117" spans="2:11" x14ac:dyDescent="0.25">
      <c r="B117" s="50"/>
      <c r="C117" s="56" t="s">
        <v>171</v>
      </c>
      <c r="D117" s="57"/>
      <c r="E117" s="58"/>
      <c r="F117" s="57"/>
      <c r="G117" s="58"/>
      <c r="H117" s="39"/>
      <c r="I117" s="59"/>
      <c r="J117" s="39"/>
      <c r="K117" s="57"/>
    </row>
    <row r="118" spans="2:11" x14ac:dyDescent="0.25">
      <c r="B118" s="50"/>
      <c r="C118" s="60" t="s">
        <v>172</v>
      </c>
      <c r="D118" s="46"/>
      <c r="E118" s="61"/>
      <c r="F118" s="46"/>
      <c r="G118" s="61"/>
      <c r="H118" s="43"/>
      <c r="I118" s="62"/>
      <c r="J118" s="43"/>
      <c r="K118" s="46"/>
    </row>
  </sheetData>
  <mergeCells count="10">
    <mergeCell ref="C110:I110"/>
    <mergeCell ref="D11:D12"/>
    <mergeCell ref="I11:I12"/>
    <mergeCell ref="J11:J12"/>
    <mergeCell ref="H7:H8"/>
    <mergeCell ref="K11:K12"/>
    <mergeCell ref="C11:C12"/>
    <mergeCell ref="B11:B12"/>
    <mergeCell ref="E11:H11"/>
    <mergeCell ref="E4:F4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инфо!$K$1:$K$20</xm:f>
          </x14:formula1>
          <xm:sqref>D115:D116</xm:sqref>
        </x14:dataValidation>
        <x14:dataValidation type="list" allowBlank="1" showInputMessage="1" showErrorMessage="1" xr:uid="{00000000-0002-0000-0300-000001000000}">
          <x14:formula1>
            <xm:f>инфо!$K$2:$K$20</xm:f>
          </x14:formula1>
          <xm:sqref>E112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D29BD-FD05-45C6-A1C3-6E72983CC34D}">
  <sheetPr codeName="Лист9">
    <pageSetUpPr fitToPage="1"/>
  </sheetPr>
  <dimension ref="B1:K118"/>
  <sheetViews>
    <sheetView showGridLines="0" zoomScale="90" zoomScaleNormal="90" workbookViewId="0">
      <pane ySplit="12" topLeftCell="A13" activePane="bottomLeft" state="frozen"/>
      <selection pane="bottomLeft" activeCell="I23" sqref="I23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97"/>
      <c r="C1" s="98"/>
      <c r="D1" s="97"/>
      <c r="E1" s="97"/>
      <c r="F1" s="97"/>
      <c r="G1" s="97"/>
      <c r="H1" s="97"/>
      <c r="I1" s="99"/>
      <c r="J1" s="23"/>
      <c r="K1" s="114" t="s">
        <v>156</v>
      </c>
    </row>
    <row r="2" spans="2:11" ht="15.75" x14ac:dyDescent="0.25">
      <c r="B2" s="100"/>
      <c r="C2" s="101"/>
      <c r="D2" s="100"/>
      <c r="E2" s="102" t="s">
        <v>215</v>
      </c>
      <c r="F2" s="100"/>
      <c r="G2" s="103">
        <v>305</v>
      </c>
      <c r="H2" s="104"/>
      <c r="I2" s="105"/>
      <c r="J2" s="24"/>
      <c r="K2" s="23"/>
    </row>
    <row r="3" spans="2:11" ht="15.75" x14ac:dyDescent="0.25">
      <c r="B3" s="106"/>
      <c r="C3" s="96"/>
      <c r="D3" s="107"/>
      <c r="E3" s="107" t="s">
        <v>216</v>
      </c>
      <c r="F3" s="107"/>
      <c r="G3" s="108"/>
      <c r="H3" s="108"/>
      <c r="I3" s="107"/>
      <c r="J3" s="26"/>
      <c r="K3" s="23"/>
    </row>
    <row r="4" spans="2:11" ht="15.75" x14ac:dyDescent="0.25">
      <c r="B4" s="106"/>
      <c r="C4" s="109"/>
      <c r="D4" s="110"/>
      <c r="E4" s="757">
        <f>Меню!C63</f>
        <v>45118</v>
      </c>
      <c r="F4" s="757"/>
      <c r="G4" s="111" t="s">
        <v>277</v>
      </c>
      <c r="H4" s="96"/>
      <c r="I4" s="99"/>
      <c r="J4" s="23"/>
      <c r="K4" s="23"/>
    </row>
    <row r="5" spans="2:11" ht="23.25" customHeight="1" x14ac:dyDescent="0.25">
      <c r="B5" s="106"/>
      <c r="C5" s="96"/>
      <c r="D5" s="96"/>
      <c r="E5" s="97"/>
      <c r="F5" s="97"/>
      <c r="G5" s="97"/>
      <c r="H5" s="112"/>
      <c r="I5" s="113"/>
      <c r="J5" s="90" t="s">
        <v>10</v>
      </c>
      <c r="K5" s="91" t="s">
        <v>157</v>
      </c>
    </row>
    <row r="6" spans="2:11" ht="17.25" customHeight="1" thickBot="1" x14ac:dyDescent="0.3">
      <c r="B6" s="25"/>
      <c r="E6" s="23"/>
      <c r="F6" s="23"/>
      <c r="G6" s="23"/>
      <c r="H6" s="89"/>
      <c r="I6" s="92" t="s">
        <v>12</v>
      </c>
      <c r="J6" s="95">
        <f>Обложка!F22</f>
        <v>128</v>
      </c>
      <c r="K6" s="95">
        <f>Обложка!G22</f>
        <v>23</v>
      </c>
    </row>
    <row r="7" spans="2:11" ht="17.25" customHeight="1" x14ac:dyDescent="0.25">
      <c r="B7" s="25"/>
      <c r="D7" s="23"/>
      <c r="E7" s="23"/>
      <c r="F7" s="23"/>
      <c r="G7" s="23"/>
      <c r="H7" s="765" t="s">
        <v>158</v>
      </c>
      <c r="I7" s="93" t="s">
        <v>13</v>
      </c>
      <c r="J7" s="95">
        <f>Обложка!F23</f>
        <v>122</v>
      </c>
      <c r="K7" s="95">
        <f>Обложка!G23</f>
        <v>22</v>
      </c>
    </row>
    <row r="8" spans="2:11" ht="17.25" customHeight="1" x14ac:dyDescent="0.25">
      <c r="B8" s="25"/>
      <c r="D8" s="23"/>
      <c r="E8" s="23"/>
      <c r="F8" s="23"/>
      <c r="G8" s="23"/>
      <c r="H8" s="766"/>
      <c r="I8" s="94" t="s">
        <v>165</v>
      </c>
      <c r="J8" s="95">
        <f>Обложка!F25</f>
        <v>130</v>
      </c>
      <c r="K8" s="95">
        <f>Обложка!G24</f>
        <v>22</v>
      </c>
    </row>
    <row r="9" spans="2:11" ht="27" customHeight="1" thickBot="1" x14ac:dyDescent="0.3">
      <c r="B9" s="25"/>
      <c r="C9" s="202" t="s">
        <v>279</v>
      </c>
      <c r="D9" s="23"/>
      <c r="E9" s="23"/>
      <c r="F9" s="23"/>
      <c r="G9" s="23"/>
      <c r="H9" s="119">
        <f>J6*0.25+J7*0.4+J8*0.35</f>
        <v>126.30000000000001</v>
      </c>
      <c r="I9" s="94" t="s">
        <v>217</v>
      </c>
      <c r="J9" s="95">
        <f>Обложка!F26</f>
        <v>127.5</v>
      </c>
      <c r="K9" s="95">
        <f>Обложка!G25</f>
        <v>22</v>
      </c>
    </row>
    <row r="10" spans="2:11" ht="15.75" thickBot="1" x14ac:dyDescent="0.3">
      <c r="B10" s="29"/>
      <c r="C10" s="30"/>
      <c r="D10" s="29"/>
      <c r="E10" s="29"/>
      <c r="F10" s="123"/>
      <c r="G10" s="29"/>
      <c r="H10" s="29"/>
      <c r="I10" s="31"/>
      <c r="J10" s="29"/>
      <c r="K10" s="28"/>
    </row>
    <row r="11" spans="2:11" ht="30" customHeight="1" x14ac:dyDescent="0.25">
      <c r="B11" s="752" t="s">
        <v>159</v>
      </c>
      <c r="C11" s="750" t="s">
        <v>160</v>
      </c>
      <c r="D11" s="759" t="s">
        <v>463</v>
      </c>
      <c r="E11" s="754" t="s">
        <v>161</v>
      </c>
      <c r="F11" s="755"/>
      <c r="G11" s="755"/>
      <c r="H11" s="756"/>
      <c r="I11" s="761" t="s">
        <v>162</v>
      </c>
      <c r="J11" s="763" t="s">
        <v>163</v>
      </c>
      <c r="K11" s="748" t="s">
        <v>164</v>
      </c>
    </row>
    <row r="12" spans="2:11" ht="26.25" thickBot="1" x14ac:dyDescent="0.3">
      <c r="B12" s="753"/>
      <c r="C12" s="751"/>
      <c r="D12" s="760"/>
      <c r="E12" s="200" t="s">
        <v>133</v>
      </c>
      <c r="F12" s="200" t="s">
        <v>134</v>
      </c>
      <c r="G12" s="201" t="s">
        <v>139</v>
      </c>
      <c r="H12" s="67" t="s">
        <v>192</v>
      </c>
      <c r="I12" s="762"/>
      <c r="J12" s="764"/>
      <c r="K12" s="749"/>
    </row>
    <row r="13" spans="2:11" ht="15.75" x14ac:dyDescent="0.25">
      <c r="B13" s="690">
        <v>1</v>
      </c>
      <c r="C13" s="691" t="str">
        <f>инфо!C2</f>
        <v>Горох</v>
      </c>
      <c r="D13" s="692">
        <f>_xlfn.XLOOKUP($C13,Меню!$J$8:$DK$8,Меню!$J$107:$DK$107,"нет такого",,-1)</f>
        <v>85</v>
      </c>
      <c r="E13" s="693">
        <f>SUMIF(Меню!$J$8:$DK$8,$C13,Меню!$J$73:$DK$73)/1000*$J$6</f>
        <v>0</v>
      </c>
      <c r="F13" s="693">
        <f>SUMIF(Меню!$J$8:$DK$8,$C13,Меню!$J$88:$DK$88)/1000*J$7</f>
        <v>0</v>
      </c>
      <c r="G13" s="693">
        <f>SUMIF(Меню!$J$8:$DK$8,$C13,Меню!$J$101:$DK$101)/1000*$J$8</f>
        <v>11.05</v>
      </c>
      <c r="H13" s="693">
        <f>SUMIF(Меню!$J$8:$DK$8,$C13,Меню!$J$106:$DK$106)/1000*$J$9</f>
        <v>0</v>
      </c>
      <c r="I13" s="694">
        <f>SUM(E13:H13)</f>
        <v>11.05</v>
      </c>
      <c r="J13" s="692"/>
      <c r="K13" s="695"/>
    </row>
    <row r="14" spans="2:11" ht="15.75" x14ac:dyDescent="0.25">
      <c r="B14" s="64">
        <f>B13+1</f>
        <v>2</v>
      </c>
      <c r="C14" s="32" t="str">
        <f>инфо!C3</f>
        <v>Гречневая</v>
      </c>
      <c r="D14" s="1040">
        <f>_xlfn.XLOOKUP($C14,Меню!$J$8:$DK$8,Меню!$J$107:$DK$107,"нет такого",,-1)</f>
        <v>15</v>
      </c>
      <c r="E14" s="1041">
        <f>SUMIF(Меню!$J$8:$DK$8,$C14,Меню!$J$73:$DK$73)/1000*$J$6</f>
        <v>0</v>
      </c>
      <c r="F14" s="1041">
        <f>SUMIF(Меню!$J$8:$DK$8,$C14,Меню!$J$88:$DK$88)/1000*J$7</f>
        <v>0</v>
      </c>
      <c r="G14" s="1041">
        <f>SUMIF(Меню!$J$8:$DK$8,$C14,Меню!$J$101:$DK$101)/1000*$J$8</f>
        <v>1.95</v>
      </c>
      <c r="H14" s="1041">
        <f>SUMIF(Меню!$J$8:$DK$8,$C14,Меню!$J$106:$DK$106)/1000*$J$9</f>
        <v>0</v>
      </c>
      <c r="I14" s="36">
        <f t="shared" ref="I14:I53" si="0">SUM(E14:H14)</f>
        <v>1.95</v>
      </c>
      <c r="J14" s="33"/>
      <c r="K14" s="34"/>
    </row>
    <row r="15" spans="2:11" ht="15.75" x14ac:dyDescent="0.25">
      <c r="B15" s="64">
        <f t="shared" ref="B15:B78" si="1">B14+1</f>
        <v>3</v>
      </c>
      <c r="C15" s="32" t="str">
        <f>инфо!C4</f>
        <v>Манная</v>
      </c>
      <c r="D15" s="33">
        <f>_xlfn.XLOOKUP($C15,Меню!$J$8:$DK$8,Меню!$J$107:$DK$107,"нет такого",,-1)</f>
        <v>0</v>
      </c>
      <c r="E15" s="35">
        <f>SUMIF(Меню!$J$8:$DK$8,$C15,Меню!$J$73:$DK$73)/1000*$J$6</f>
        <v>0</v>
      </c>
      <c r="F15" s="35">
        <f>SUMIF(Меню!$J$8:$DK$8,$C15,Меню!$J$88:$DK$88)/1000*J$7</f>
        <v>0</v>
      </c>
      <c r="G15" s="35">
        <f>SUMIF(Меню!$J$8:$DK$8,$C15,Меню!$J$101:$DK$101)/1000*$J$8</f>
        <v>0</v>
      </c>
      <c r="H15" s="35">
        <f>SUMIF(Меню!$J$8:$DK$8,$C15,Меню!$J$106:$DK$106)/1000*$J$9</f>
        <v>0</v>
      </c>
      <c r="I15" s="36">
        <f t="shared" si="0"/>
        <v>0</v>
      </c>
      <c r="J15" s="33"/>
      <c r="K15" s="34"/>
    </row>
    <row r="16" spans="2:11" ht="15.75" x14ac:dyDescent="0.25">
      <c r="B16" s="64">
        <f t="shared" si="1"/>
        <v>4</v>
      </c>
      <c r="C16" s="32" t="str">
        <f>инфо!C5</f>
        <v>Овсяная</v>
      </c>
      <c r="D16" s="33">
        <f>_xlfn.XLOOKUP($C16,Меню!$J$8:$DK$8,Меню!$J$107:$DK$107,"нет такого",,-1)</f>
        <v>0</v>
      </c>
      <c r="E16" s="35">
        <f>SUMIF(Меню!$J$8:$DK$8,$C16,Меню!$J$73:$DK$73)/1000*$J$6</f>
        <v>0</v>
      </c>
      <c r="F16" s="35">
        <f>SUMIF(Меню!$J$8:$DK$8,$C16,Меню!$J$88:$DK$88)/1000*J$7</f>
        <v>0</v>
      </c>
      <c r="G16" s="35">
        <f>SUMIF(Меню!$J$8:$DK$8,$C16,Меню!$J$101:$DK$101)/1000*$J$8</f>
        <v>0</v>
      </c>
      <c r="H16" s="35">
        <f>SUMIF(Меню!$J$8:$DK$8,$C16,Меню!$J$106:$DK$106)/1000*$J$9</f>
        <v>0</v>
      </c>
      <c r="I16" s="35">
        <f t="shared" si="0"/>
        <v>0</v>
      </c>
      <c r="J16" s="33"/>
      <c r="K16" s="34"/>
    </row>
    <row r="17" spans="2:11" ht="15.75" x14ac:dyDescent="0.25">
      <c r="B17" s="64">
        <f t="shared" si="1"/>
        <v>5</v>
      </c>
      <c r="C17" s="32" t="str">
        <f>инфо!C6</f>
        <v>Перловая</v>
      </c>
      <c r="D17" s="33">
        <f>_xlfn.XLOOKUP($C17,Меню!$J$8:$DK$8,Меню!$J$107:$DK$107,"нет такого",,-1)</f>
        <v>0</v>
      </c>
      <c r="E17" s="35">
        <f>SUMIF(Меню!$J$8:$DK$8,$C17,Меню!$J$73:$DK$73)/1000*$J$6</f>
        <v>0</v>
      </c>
      <c r="F17" s="35">
        <f>SUMIF(Меню!$J$8:$DK$8,$C17,Меню!$J$88:$DK$88)/1000*J$7</f>
        <v>0</v>
      </c>
      <c r="G17" s="35">
        <f>SUMIF(Меню!$J$8:$DK$8,$C17,Меню!$J$101:$DK$101)/1000*$J$8</f>
        <v>0</v>
      </c>
      <c r="H17" s="35">
        <f>SUMIF(Меню!$J$8:$DK$8,$C17,Меню!$J$106:$DK$106)/1000*$J$9</f>
        <v>0</v>
      </c>
      <c r="I17" s="35">
        <f t="shared" si="0"/>
        <v>0</v>
      </c>
      <c r="J17" s="33"/>
      <c r="K17" s="34"/>
    </row>
    <row r="18" spans="2:11" ht="15.75" x14ac:dyDescent="0.25">
      <c r="B18" s="64">
        <f t="shared" si="1"/>
        <v>6</v>
      </c>
      <c r="C18" s="32" t="str">
        <f>инфо!C7</f>
        <v>Пшено</v>
      </c>
      <c r="D18" s="33">
        <f>_xlfn.XLOOKUP($C18,Меню!$J$8:$DK$8,Меню!$J$107:$DK$107,"нет такого",,-1)</f>
        <v>82</v>
      </c>
      <c r="E18" s="35">
        <f>SUMIF(Меню!$J$8:$DK$8,$C18,Меню!$J$73:$DK$73)/1000*$J$6</f>
        <v>10.496</v>
      </c>
      <c r="F18" s="35">
        <f>SUMIF(Меню!$J$8:$DK$8,$C18,Меню!$J$88:$DK$88)/1000*J$7</f>
        <v>0</v>
      </c>
      <c r="G18" s="35">
        <f>SUMIF(Меню!$J$8:$DK$8,$C18,Меню!$J$101:$DK$101)/1000*$J$8</f>
        <v>0</v>
      </c>
      <c r="H18" s="35">
        <f>SUMIF(Меню!$J$8:$DK$8,$C18,Меню!$J$106:$DK$106)/1000*$J$9</f>
        <v>0</v>
      </c>
      <c r="I18" s="36">
        <f t="shared" si="0"/>
        <v>10.496</v>
      </c>
      <c r="J18" s="33"/>
      <c r="K18" s="34"/>
    </row>
    <row r="19" spans="2:11" ht="15.75" x14ac:dyDescent="0.25">
      <c r="B19" s="64">
        <f t="shared" si="1"/>
        <v>7</v>
      </c>
      <c r="C19" s="32" t="str">
        <f>инфо!C8</f>
        <v>Рис</v>
      </c>
      <c r="D19" s="33">
        <f>_xlfn.XLOOKUP($C19,Меню!$J$8:$DK$8,Меню!$J$107:$DK$107,"нет такого",,-1)</f>
        <v>75</v>
      </c>
      <c r="E19" s="35">
        <f>SUMIF(Меню!$J$8:$DK$8,$C19,Меню!$J$73:$DK$73)/1000*$J$6</f>
        <v>0</v>
      </c>
      <c r="F19" s="35">
        <f>SUMIF(Меню!$J$8:$DK$8,$C19,Меню!$J$88:$DK$88)/1000*J$7</f>
        <v>9.15</v>
      </c>
      <c r="G19" s="35">
        <f>SUMIF(Меню!$J$8:$DK$8,$C19,Меню!$J$101:$DK$101)/1000*$J$8</f>
        <v>0</v>
      </c>
      <c r="H19" s="35">
        <f>SUMIF(Меню!$J$8:$DK$8,$C19,Меню!$J$106:$DK$106)/1000*$J$9</f>
        <v>0</v>
      </c>
      <c r="I19" s="36">
        <f t="shared" si="0"/>
        <v>9.15</v>
      </c>
      <c r="J19" s="33"/>
      <c r="K19" s="34" t="s">
        <v>123</v>
      </c>
    </row>
    <row r="20" spans="2:11" ht="15.75" x14ac:dyDescent="0.25">
      <c r="B20" s="64">
        <f t="shared" si="1"/>
        <v>8</v>
      </c>
      <c r="C20" s="32" t="str">
        <f>инфо!C9</f>
        <v>Ячневая</v>
      </c>
      <c r="D20" s="33">
        <f>_xlfn.XLOOKUP($C20,Меню!$J$8:$DK$8,Меню!$J$107:$DK$107,"нет такого",,-1)</f>
        <v>0</v>
      </c>
      <c r="E20" s="35">
        <f>SUMIF(Меню!$J$8:$DK$8,$C20,Меню!$J$73:$DK$73)/1000*$J$6</f>
        <v>0</v>
      </c>
      <c r="F20" s="35">
        <f>SUMIF(Меню!$J$8:$DK$8,$C20,Меню!$J$88:$DK$88)/1000*J$7</f>
        <v>0</v>
      </c>
      <c r="G20" s="35">
        <f>SUMIF(Меню!$J$8:$DK$8,$C20,Меню!$J$101:$DK$101)/1000*$J$8</f>
        <v>0</v>
      </c>
      <c r="H20" s="35">
        <f>SUMIF(Меню!$J$8:$DK$8,$C20,Меню!$J$106:$DK$106)/1000*$J$9</f>
        <v>0</v>
      </c>
      <c r="I20" s="36">
        <f t="shared" si="0"/>
        <v>0</v>
      </c>
      <c r="J20" s="33"/>
      <c r="K20" s="34"/>
    </row>
    <row r="21" spans="2:11" ht="15.75" x14ac:dyDescent="0.25">
      <c r="B21" s="64">
        <f t="shared" si="1"/>
        <v>9</v>
      </c>
      <c r="C21" s="32" t="str">
        <f>инфо!C10</f>
        <v>Фасоль</v>
      </c>
      <c r="D21" s="33">
        <f>_xlfn.XLOOKUP($C21,Меню!$J$8:$DK$8,Меню!$J$107:$DK$107,"нет такого",,-1)</f>
        <v>0</v>
      </c>
      <c r="E21" s="35">
        <f>SUMIF(Меню!$J$8:$DK$8,$C21,Меню!$J$73:$DK$73)/1000*$J$6</f>
        <v>0</v>
      </c>
      <c r="F21" s="35">
        <f>SUMIF(Меню!$J$8:$DK$8,$C21,Меню!$J$88:$DK$88)/1000*J$7</f>
        <v>0</v>
      </c>
      <c r="G21" s="35">
        <f>SUMIF(Меню!$J$8:$DK$8,$C21,Меню!$J$101:$DK$101)/1000*$J$8</f>
        <v>0</v>
      </c>
      <c r="H21" s="35">
        <f>SUMIF(Меню!$J$8:$DK$8,$C21,Меню!$J$106:$DK$106)/1000*$J$9</f>
        <v>0</v>
      </c>
      <c r="I21" s="36">
        <f t="shared" si="0"/>
        <v>0</v>
      </c>
      <c r="J21" s="33"/>
      <c r="K21" s="34"/>
    </row>
    <row r="22" spans="2:11" ht="15.75" x14ac:dyDescent="0.25">
      <c r="B22" s="64">
        <f t="shared" si="1"/>
        <v>10</v>
      </c>
      <c r="C22" s="32" t="str">
        <f>инфо!C11</f>
        <v>Крупа 1</v>
      </c>
      <c r="D22" s="33">
        <f>_xlfn.XLOOKUP($C22,Меню!$J$8:$DK$8,Меню!$J$107:$DK$107,"нет такого",,-1)</f>
        <v>0</v>
      </c>
      <c r="E22" s="35">
        <f>SUMIF(Меню!$J$8:$DK$8,$C22,Меню!$J$73:$DK$73)/1000*$J$6</f>
        <v>0</v>
      </c>
      <c r="F22" s="35">
        <f>SUMIF(Меню!$J$8:$DK$8,$C22,Меню!$J$88:$DK$88)/1000*J$7</f>
        <v>0</v>
      </c>
      <c r="G22" s="35">
        <f>SUMIF(Меню!$J$8:$DK$8,$C22,Меню!$J$101:$DK$101)/1000*$J$8</f>
        <v>0</v>
      </c>
      <c r="H22" s="35">
        <f>SUMIF(Меню!$J$8:$DK$8,$C22,Меню!$J$106:$DK$106)/1000*$J$9</f>
        <v>0</v>
      </c>
      <c r="I22" s="36">
        <f t="shared" si="0"/>
        <v>0</v>
      </c>
      <c r="J22" s="33"/>
      <c r="K22" s="34"/>
    </row>
    <row r="23" spans="2:11" ht="15.75" x14ac:dyDescent="0.25">
      <c r="B23" s="64">
        <f t="shared" si="1"/>
        <v>11</v>
      </c>
      <c r="C23" s="32" t="str">
        <f>инфо!C12</f>
        <v>Макаронные изделия</v>
      </c>
      <c r="D23" s="33">
        <f>_xlfn.XLOOKUP($C23,Меню!$J$8:$DK$8,Меню!$J$107:$DK$107,"нет такого",,-1)</f>
        <v>0</v>
      </c>
      <c r="E23" s="35">
        <f>SUMIF(Меню!$J$8:$DK$8,$C23,Меню!$J$73:$DK$73)/1000*$J$6</f>
        <v>0</v>
      </c>
      <c r="F23" s="35">
        <f>SUMIF(Меню!$J$8:$DK$8,$C23,Меню!$J$88:$DK$88)/1000*J$7</f>
        <v>0</v>
      </c>
      <c r="G23" s="35">
        <f>SUMIF(Меню!$J$8:$DK$8,$C23,Меню!$J$101:$DK$101)/1000*$J$8</f>
        <v>0</v>
      </c>
      <c r="H23" s="35">
        <f>SUMIF(Меню!$J$8:$DK$8,$C23,Меню!$J$106:$DK$106)/1000*$J$9</f>
        <v>0</v>
      </c>
      <c r="I23" s="36">
        <f t="shared" si="0"/>
        <v>0</v>
      </c>
      <c r="J23" s="33"/>
      <c r="K23" s="34"/>
    </row>
    <row r="24" spans="2:11" ht="15.75" x14ac:dyDescent="0.25">
      <c r="B24" s="64">
        <f t="shared" si="1"/>
        <v>12</v>
      </c>
      <c r="C24" s="32" t="str">
        <f>инфо!C13</f>
        <v>Горошек, фасоль, кукуруза консервированные</v>
      </c>
      <c r="D24" s="33">
        <f>_xlfn.XLOOKUP($C24,Меню!$J$8:$DK$8,Меню!$J$107:$DK$107,"нет такого",,-1)</f>
        <v>20</v>
      </c>
      <c r="E24" s="35">
        <f>SUMIF(Меню!$J$8:$DK$8,$C24,Меню!$J$73:$DK$73)/1000*$J$6</f>
        <v>2.56</v>
      </c>
      <c r="F24" s="35">
        <f>SUMIF(Меню!$J$8:$DK$8,$C24,Меню!$J$88:$DK$88)/1000*J$7</f>
        <v>0</v>
      </c>
      <c r="G24" s="35">
        <f>SUMIF(Меню!$J$8:$DK$8,$C24,Меню!$J$101:$DK$101)/1000*$J$8</f>
        <v>0</v>
      </c>
      <c r="H24" s="35">
        <f>SUMIF(Меню!$J$8:$DK$8,$C24,Меню!$J$106:$DK$106)/1000*$J$9</f>
        <v>0</v>
      </c>
      <c r="I24" s="36">
        <f t="shared" si="0"/>
        <v>2.56</v>
      </c>
      <c r="J24" s="33"/>
      <c r="K24" s="34"/>
    </row>
    <row r="25" spans="2:11" ht="15.75" x14ac:dyDescent="0.25">
      <c r="B25" s="64">
        <f t="shared" si="1"/>
        <v>13</v>
      </c>
      <c r="C25" s="32" t="str">
        <f>инфо!C14</f>
        <v>Капуста свежая/кваш.</v>
      </c>
      <c r="D25" s="33">
        <f>_xlfn.XLOOKUP($C25,Меню!$J$8:$DK$8,Меню!$J$107:$DK$107,"нет такого",,-1)</f>
        <v>0</v>
      </c>
      <c r="E25" s="35">
        <f>SUMIF(Меню!$J$8:$DK$8,$C25,Меню!$J$73:$DK$73)/1000*$J$6</f>
        <v>0</v>
      </c>
      <c r="F25" s="35">
        <f>SUMIF(Меню!$J$8:$DK$8,$C25,Меню!$J$88:$DK$88)/1000*J$7</f>
        <v>0</v>
      </c>
      <c r="G25" s="35">
        <f>SUMIF(Меню!$J$8:$DK$8,$C25,Меню!$J$101:$DK$101)/1000*$J$8</f>
        <v>0</v>
      </c>
      <c r="H25" s="35">
        <f>SUMIF(Меню!$J$8:$DK$8,$C25,Меню!$J$106:$DK$106)/1000*$J$9</f>
        <v>0</v>
      </c>
      <c r="I25" s="35">
        <f t="shared" si="0"/>
        <v>0</v>
      </c>
      <c r="J25" s="33"/>
      <c r="K25" s="34"/>
    </row>
    <row r="26" spans="2:11" ht="15.75" x14ac:dyDescent="0.25">
      <c r="B26" s="64">
        <f t="shared" si="1"/>
        <v>14</v>
      </c>
      <c r="C26" s="32" t="str">
        <f>инфо!C15</f>
        <v>Картофель</v>
      </c>
      <c r="D26" s="33">
        <f>_xlfn.XLOOKUP($C26,Меню!$J$8:$DK$8,Меню!$J$107:$DK$107,"нет такого",,-1)</f>
        <v>399</v>
      </c>
      <c r="E26" s="35">
        <f>SUMIF(Меню!$J$8:$DK$8,$C26,Меню!$J$73:$DK$73)/1000*$J$6</f>
        <v>0</v>
      </c>
      <c r="F26" s="35">
        <f>SUMIF(Меню!$J$8:$DK$8,$C26,Меню!$J$88:$DK$88)/1000*J$7</f>
        <v>27.327999999999999</v>
      </c>
      <c r="G26" s="35">
        <f>SUMIF(Меню!$J$8:$DK$8,$C26,Меню!$J$101:$DK$101)/1000*$J$8</f>
        <v>22.75</v>
      </c>
      <c r="H26" s="35">
        <f>SUMIF(Меню!$J$8:$DK$8,$C26,Меню!$J$106:$DK$106)/1000*$J$9</f>
        <v>0</v>
      </c>
      <c r="I26" s="36">
        <f t="shared" si="0"/>
        <v>50.078000000000003</v>
      </c>
      <c r="J26" s="33"/>
      <c r="K26" s="34"/>
    </row>
    <row r="27" spans="2:11" ht="15.75" x14ac:dyDescent="0.25">
      <c r="B27" s="64">
        <f t="shared" si="1"/>
        <v>15</v>
      </c>
      <c r="C27" s="32" t="str">
        <f>инфо!C16</f>
        <v>Лук репчатый</v>
      </c>
      <c r="D27" s="33">
        <f>_xlfn.XLOOKUP($C27,Меню!$J$8:$DK$8,Меню!$J$107:$DK$107,"нет такого",,-1)</f>
        <v>31</v>
      </c>
      <c r="E27" s="35">
        <f>SUMIF(Меню!$J$8:$DK$8,$C27,Меню!$J$73:$DK$73)/1000*$J$6</f>
        <v>0</v>
      </c>
      <c r="F27" s="35">
        <f>SUMIF(Меню!$J$8:$DK$8,$C27,Меню!$J$88:$DK$88)/1000*J$7</f>
        <v>2.5620000000000003</v>
      </c>
      <c r="G27" s="35">
        <f>SUMIF(Меню!$J$8:$DK$8,$C27,Меню!$J$101:$DK$101)/1000*$J$8</f>
        <v>1.3</v>
      </c>
      <c r="H27" s="35">
        <f>SUMIF(Меню!$J$8:$DK$8,$C27,Меню!$J$106:$DK$106)/1000*$J$9</f>
        <v>0</v>
      </c>
      <c r="I27" s="36">
        <f>SUM(E27:H27)</f>
        <v>3.8620000000000001</v>
      </c>
      <c r="J27" s="33"/>
      <c r="K27" s="34"/>
    </row>
    <row r="28" spans="2:11" ht="15.75" x14ac:dyDescent="0.25">
      <c r="B28" s="64">
        <f t="shared" si="1"/>
        <v>16</v>
      </c>
      <c r="C28" s="32" t="str">
        <f>инфо!C17</f>
        <v>Морковь</v>
      </c>
      <c r="D28" s="33">
        <f>_xlfn.XLOOKUP($C28,Меню!$J$8:$DK$8,Меню!$J$107:$DK$107,"нет такого",,-1)</f>
        <v>46</v>
      </c>
      <c r="E28" s="35">
        <f>SUMIF(Меню!$J$8:$DK$8,$C28,Меню!$J$73:$DK$73)/1000*$J$6</f>
        <v>0</v>
      </c>
      <c r="F28" s="35">
        <f>SUMIF(Меню!$J$8:$DK$8,$C28,Меню!$J$88:$DK$88)/1000*J$7</f>
        <v>3.782</v>
      </c>
      <c r="G28" s="35">
        <f>SUMIF(Меню!$J$8:$DK$8,$C28,Меню!$J$101:$DK$101)/1000*$J$8</f>
        <v>1.95</v>
      </c>
      <c r="H28" s="35">
        <f>SUMIF(Меню!$J$8:$DK$8,$C28,Меню!$J$106:$DK$106)/1000*$J$9</f>
        <v>0</v>
      </c>
      <c r="I28" s="36">
        <f>SUM(E28:H28)</f>
        <v>5.7320000000000002</v>
      </c>
      <c r="J28" s="33"/>
      <c r="K28" s="34"/>
    </row>
    <row r="29" spans="2:11" ht="15.75" x14ac:dyDescent="0.25">
      <c r="B29" s="64">
        <f t="shared" si="1"/>
        <v>17</v>
      </c>
      <c r="C29" s="32" t="str">
        <f>инфо!C18</f>
        <v>Огурцы свежие/соленые</v>
      </c>
      <c r="D29" s="33">
        <f>_xlfn.XLOOKUP($C29,Меню!$J$8:$DK$8,Меню!$J$107:$DK$107,"нет такого",,-1)</f>
        <v>0</v>
      </c>
      <c r="E29" s="35">
        <f>SUMIF(Меню!$J$8:$DK$8,$C29,Меню!$J$73:$DK$73)/1000*$J$6</f>
        <v>0</v>
      </c>
      <c r="F29" s="35">
        <f>SUMIF(Меню!$J$8:$DK$8,$C29,Меню!$J$88:$DK$88)/1000*J$7</f>
        <v>0</v>
      </c>
      <c r="G29" s="35">
        <f>SUMIF(Меню!$J$8:$DK$8,$C29,Меню!$J$101:$DK$101)/1000*$J$8</f>
        <v>0</v>
      </c>
      <c r="H29" s="35">
        <f>SUMIF(Меню!$J$8:$DK$8,$C29,Меню!$J$106:$DK$106)/1000*$J$9</f>
        <v>0</v>
      </c>
      <c r="I29" s="36">
        <f t="shared" si="0"/>
        <v>0</v>
      </c>
      <c r="J29" s="33"/>
      <c r="K29" s="34"/>
    </row>
    <row r="30" spans="2:11" ht="15.75" x14ac:dyDescent="0.25">
      <c r="B30" s="64">
        <f t="shared" si="1"/>
        <v>18</v>
      </c>
      <c r="C30" s="32" t="str">
        <f>инфо!C19</f>
        <v>Помидоры свежие/конс.</v>
      </c>
      <c r="D30" s="33">
        <f>_xlfn.XLOOKUP($C30,Меню!$J$8:$DK$8,Меню!$J$107:$DK$107,"нет такого",,-1)</f>
        <v>70</v>
      </c>
      <c r="E30" s="35">
        <f>SUMIF(Меню!$J$8:$DK$8,$C30,Меню!$J$73:$DK$73)/1000*$J$6</f>
        <v>0</v>
      </c>
      <c r="F30" s="35">
        <f>SUMIF(Меню!$J$8:$DK$8,$C30,Меню!$J$88:$DK$88)/1000*J$7</f>
        <v>8.5400000000000009</v>
      </c>
      <c r="G30" s="35">
        <f>SUMIF(Меню!$J$8:$DK$8,$C30,Меню!$J$101:$DK$101)/1000*$J$8</f>
        <v>0</v>
      </c>
      <c r="H30" s="35">
        <f>SUMIF(Меню!$J$8:$DK$8,$C30,Меню!$J$106:$DK$106)/1000*$J$9</f>
        <v>0</v>
      </c>
      <c r="I30" s="36">
        <f t="shared" si="0"/>
        <v>8.5400000000000009</v>
      </c>
      <c r="J30" s="33"/>
      <c r="K30" s="34"/>
    </row>
    <row r="31" spans="2:11" ht="15.75" x14ac:dyDescent="0.25">
      <c r="B31" s="64">
        <f t="shared" si="1"/>
        <v>19</v>
      </c>
      <c r="C31" s="32" t="str">
        <f>инфо!C23</f>
        <v>Свекла</v>
      </c>
      <c r="D31" s="33">
        <f>_xlfn.XLOOKUP($C31,Меню!$J$8:$DK$8,Меню!$J$107:$DK$107,"нет такого",,-1)</f>
        <v>0</v>
      </c>
      <c r="E31" s="35">
        <f>SUMIF(Меню!$J$8:$DK$8,$C31,Меню!$J$73:$DK$73)/1000*$J$6</f>
        <v>0</v>
      </c>
      <c r="F31" s="35">
        <f>SUMIF(Меню!$J$8:$DK$8,$C31,Меню!$J$88:$DK$88)/1000*J$7</f>
        <v>0</v>
      </c>
      <c r="G31" s="35">
        <f>SUMIF(Меню!$J$8:$DK$8,$C31,Меню!$J$101:$DK$101)/1000*$J$8</f>
        <v>0</v>
      </c>
      <c r="H31" s="35">
        <f>SUMIF(Меню!$J$8:$DK$8,$C31,Меню!$J$106:$DK$106)/1000*$J$9</f>
        <v>0</v>
      </c>
      <c r="I31" s="36">
        <f t="shared" si="0"/>
        <v>0</v>
      </c>
      <c r="J31" s="33"/>
      <c r="K31" s="34"/>
    </row>
    <row r="32" spans="2:11" ht="15.75" x14ac:dyDescent="0.25">
      <c r="B32" s="64">
        <f t="shared" si="1"/>
        <v>20</v>
      </c>
      <c r="C32" s="32" t="str">
        <f>инфо!C24</f>
        <v>Зелень</v>
      </c>
      <c r="D32" s="33">
        <f>_xlfn.XLOOKUP($C32,Меню!$J$8:$DK$8,Меню!$J$107:$DK$107,"нет такого",,-1)</f>
        <v>0</v>
      </c>
      <c r="E32" s="35">
        <f>SUMIF(Меню!$J$8:$DK$8,$C32,Меню!$J$73:$DK$73)/1000*$J$6</f>
        <v>0</v>
      </c>
      <c r="F32" s="35">
        <f>SUMIF(Меню!$J$8:$DK$8,$C32,Меню!$J$88:$DK$88)/1000*J$7</f>
        <v>0</v>
      </c>
      <c r="G32" s="35">
        <f>SUMIF(Меню!$J$8:$DK$8,$C32,Меню!$J$101:$DK$101)/1000*$J$8</f>
        <v>0</v>
      </c>
      <c r="H32" s="35">
        <f>SUMIF(Меню!$J$8:$DK$8,$C32,Меню!$J$106:$DK$106)/1000*$J$9</f>
        <v>0</v>
      </c>
      <c r="I32" s="35">
        <f t="shared" si="0"/>
        <v>0</v>
      </c>
      <c r="J32" s="33"/>
      <c r="K32" s="34"/>
    </row>
    <row r="33" spans="2:11" ht="15.75" x14ac:dyDescent="0.25">
      <c r="B33" s="64">
        <f t="shared" si="1"/>
        <v>21</v>
      </c>
      <c r="C33" s="32" t="str">
        <f>инфо!C25</f>
        <v xml:space="preserve">Консервы овощ. закусочные, лечо </v>
      </c>
      <c r="D33" s="33">
        <f>_xlfn.XLOOKUP($C33,Меню!$J$8:$DK$8,Меню!$J$107:$DK$107,"нет такого",,-1)</f>
        <v>0</v>
      </c>
      <c r="E33" s="35">
        <f>SUMIF(Меню!$J$8:$DK$8,$C33,Меню!$J$73:$DK$73)/1000*$J$6</f>
        <v>0</v>
      </c>
      <c r="F33" s="35">
        <f>SUMIF(Меню!$J$8:$DK$8,$C33,Меню!$J$88:$DK$88)/1000*J$7</f>
        <v>0</v>
      </c>
      <c r="G33" s="35">
        <f>SUMIF(Меню!$J$8:$DK$8,$C33,Меню!$J$101:$DK$101)/1000*$J$8</f>
        <v>0</v>
      </c>
      <c r="H33" s="35">
        <f>SUMIF(Меню!$J$8:$DK$8,$C33,Меню!$J$106:$DK$106)/1000*$J$9</f>
        <v>0</v>
      </c>
      <c r="I33" s="36">
        <f t="shared" ref="I33:I38" si="2">SUM(E33:H33)</f>
        <v>0</v>
      </c>
      <c r="J33" s="33"/>
      <c r="K33" s="34"/>
    </row>
    <row r="34" spans="2:11" ht="15.75" x14ac:dyDescent="0.25">
      <c r="B34" s="64">
        <f t="shared" si="1"/>
        <v>22</v>
      </c>
      <c r="C34" s="32" t="str">
        <f>инфо!C26</f>
        <v>Чеснок</v>
      </c>
      <c r="D34" s="33">
        <f>_xlfn.XLOOKUP($C34,Меню!$J$8:$DK$8,Меню!$J$107:$DK$107,"нет такого",,-1)</f>
        <v>2</v>
      </c>
      <c r="E34" s="35">
        <f>SUMIF(Меню!$J$8:$DK$8,$C34,Меню!$J$73:$DK$73)/1000*$J$6</f>
        <v>0</v>
      </c>
      <c r="F34" s="35">
        <f>SUMIF(Меню!$J$8:$DK$8,$C34,Меню!$J$88:$DK$88)/1000*J$7</f>
        <v>0.24399999999999999</v>
      </c>
      <c r="G34" s="35">
        <f>SUMIF(Меню!$J$8:$DK$8,$C34,Меню!$J$101:$DK$101)/1000*$J$8</f>
        <v>0</v>
      </c>
      <c r="H34" s="35">
        <f>SUMIF(Меню!$J$8:$DK$8,$C34,Меню!$J$106:$DK$106)/1000*$J$9</f>
        <v>0</v>
      </c>
      <c r="I34" s="36">
        <f t="shared" si="2"/>
        <v>0.24399999999999999</v>
      </c>
      <c r="J34" s="33"/>
      <c r="K34" s="34"/>
    </row>
    <row r="35" spans="2:11" ht="15.75" x14ac:dyDescent="0.25">
      <c r="B35" s="64">
        <f t="shared" si="1"/>
        <v>23</v>
      </c>
      <c r="C35" s="32" t="str">
        <f>инфо!C27</f>
        <v>Капуста свежая/кваш.</v>
      </c>
      <c r="D35" s="33">
        <f>_xlfn.XLOOKUP($C35,Меню!$J$8:$DK$8,Меню!$J$107:$DK$107,"нет такого",,-1)</f>
        <v>0</v>
      </c>
      <c r="E35" s="35">
        <f>SUMIF(Меню!$J$8:$DK$8,$C35,Меню!$J$73:$DK$73)/1000*$J$6</f>
        <v>0</v>
      </c>
      <c r="F35" s="35">
        <f>SUMIF(Меню!$J$8:$DK$8,$C35,Меню!$J$88:$DK$88)/1000*J$7</f>
        <v>0</v>
      </c>
      <c r="G35" s="35">
        <f>SUMIF(Меню!$J$8:$DK$8,$C35,Меню!$J$101:$DK$101)/1000*$J$8</f>
        <v>0</v>
      </c>
      <c r="H35" s="35">
        <f>SUMIF(Меню!$J$8:$DK$8,$C35,Меню!$J$106:$DK$106)/1000*$J$9</f>
        <v>0</v>
      </c>
      <c r="I35" s="36">
        <f t="shared" si="2"/>
        <v>0</v>
      </c>
      <c r="J35" s="33"/>
      <c r="K35" s="34"/>
    </row>
    <row r="36" spans="2:11" ht="15.75" x14ac:dyDescent="0.25">
      <c r="B36" s="64">
        <f t="shared" si="1"/>
        <v>24</v>
      </c>
      <c r="C36" s="32" t="str">
        <f>инфо!C33</f>
        <v>Овощи запас 2</v>
      </c>
      <c r="D36" s="33">
        <f>_xlfn.XLOOKUP($C36,Меню!$J$8:$DK$8,Меню!$J$107:$DK$107,"нет такого",,-1)</f>
        <v>0</v>
      </c>
      <c r="E36" s="35">
        <f>SUMIF(Меню!$J$8:$DK$8,$C36,Меню!$J$73:$DK$73)/1000*$J$6</f>
        <v>0</v>
      </c>
      <c r="F36" s="35">
        <f>SUMIF(Меню!$J$8:$DK$8,$C36,Меню!$J$88:$DK$88)/1000*J$7</f>
        <v>0</v>
      </c>
      <c r="G36" s="35">
        <f>SUMIF(Меню!$J$8:$DK$8,$C36,Меню!$J$101:$DK$101)/1000*$J$8</f>
        <v>0</v>
      </c>
      <c r="H36" s="35">
        <f>SUMIF(Меню!$J$8:$DK$8,$C36,Меню!$J$106:$DK$106)/1000*$J$9</f>
        <v>0</v>
      </c>
      <c r="I36" s="36">
        <f t="shared" si="2"/>
        <v>0</v>
      </c>
      <c r="J36" s="33"/>
      <c r="K36" s="34"/>
    </row>
    <row r="37" spans="2:11" ht="15.75" x14ac:dyDescent="0.25">
      <c r="B37" s="64">
        <f t="shared" si="1"/>
        <v>25</v>
      </c>
      <c r="C37" s="32" t="str">
        <f>инфо!C34</f>
        <v xml:space="preserve">Мука пшеничная   1 с </v>
      </c>
      <c r="D37" s="33">
        <f>_xlfn.XLOOKUP($C37,Меню!$J$8:$DK$8,Меню!$J$107:$DK$107,"нет такого",,-1)</f>
        <v>56</v>
      </c>
      <c r="E37" s="35">
        <f>SUMIF(Меню!$J$8:$DK$8,$C37,Меню!$J$73:$DK$73)/1000*$J$6</f>
        <v>0</v>
      </c>
      <c r="F37" s="35">
        <f>SUMIF(Меню!$J$8:$DK$8,$C37,Меню!$J$88:$DK$88)/1000*J$7</f>
        <v>0</v>
      </c>
      <c r="G37" s="35">
        <f>SUMIF(Меню!$J$8:$DK$8,$C37,Меню!$J$101:$DK$101)/1000*$J$8</f>
        <v>7.28</v>
      </c>
      <c r="H37" s="35">
        <f>SUMIF(Меню!$J$8:$DK$8,$C37,Меню!$J$106:$DK$106)/1000*$J$9</f>
        <v>0</v>
      </c>
      <c r="I37" s="36">
        <f t="shared" si="2"/>
        <v>7.28</v>
      </c>
      <c r="J37" s="33"/>
      <c r="K37" s="34"/>
    </row>
    <row r="38" spans="2:11" ht="15.75" x14ac:dyDescent="0.25">
      <c r="B38" s="64">
        <f t="shared" si="1"/>
        <v>26</v>
      </c>
      <c r="C38" s="32" t="str">
        <f>инфо!C36</f>
        <v>Хлеб дарницкий</v>
      </c>
      <c r="D38" s="33">
        <f>_xlfn.XLOOKUP($C38,Меню!$J$8:$DK$8,Меню!$J$107:$DK$107,"нет такого",,-1)</f>
        <v>200</v>
      </c>
      <c r="E38" s="35">
        <f>SUMIF(Меню!$J$8:$DK$8,$C38,Меню!$J$73:$DK$73)/1000*$J$6</f>
        <v>6.4</v>
      </c>
      <c r="F38" s="35">
        <f>SUMIF(Меню!$J$8:$DK$8,$C38,Меню!$J$88:$DK$88)/1000*J$7</f>
        <v>6.1000000000000005</v>
      </c>
      <c r="G38" s="35">
        <f>SUMIF(Меню!$J$8:$DK$8,$C38,Меню!$J$101:$DK$101)/1000*$J$8</f>
        <v>13</v>
      </c>
      <c r="H38" s="35">
        <f>SUMIF(Меню!$J$8:$DK$8,$C38,Меню!$J$106:$DK$106)/1000*$J$9</f>
        <v>0</v>
      </c>
      <c r="I38" s="36">
        <f t="shared" si="2"/>
        <v>25.5</v>
      </c>
      <c r="J38" s="33"/>
      <c r="K38" s="34"/>
    </row>
    <row r="39" spans="2:11" ht="15.75" x14ac:dyDescent="0.25">
      <c r="B39" s="64">
        <f t="shared" si="1"/>
        <v>27</v>
      </c>
      <c r="C39" s="32" t="str">
        <f>инфо!C37</f>
        <v>Хлеб из муки пш. 1  сорта</v>
      </c>
      <c r="D39" s="33">
        <f>_xlfn.XLOOKUP($C39,Меню!$J$8:$DK$8,Меню!$J$107:$DK$107,"нет такого",,-1)</f>
        <v>200</v>
      </c>
      <c r="E39" s="35">
        <f>SUMIF(Меню!$J$8:$DK$8,$C39,Меню!$J$73:$DK$73)/1000*$J$6</f>
        <v>12.8</v>
      </c>
      <c r="F39" s="35">
        <f>SUMIF(Меню!$J$8:$DK$8,$C39,Меню!$J$88:$DK$88)/1000*J$7</f>
        <v>12.200000000000001</v>
      </c>
      <c r="G39" s="35">
        <f>SUMIF(Меню!$J$8:$DK$8,$C39,Меню!$J$101:$DK$101)/1000*$J$8</f>
        <v>0</v>
      </c>
      <c r="H39" s="35">
        <f>SUMIF(Меню!$J$8:$DK$8,$C39,Меню!$J$106:$DK$106)/1000*$J$9</f>
        <v>0</v>
      </c>
      <c r="I39" s="36">
        <f t="shared" si="0"/>
        <v>25</v>
      </c>
      <c r="J39" s="33" t="s">
        <v>123</v>
      </c>
      <c r="K39" s="34"/>
    </row>
    <row r="40" spans="2:11" ht="15.75" x14ac:dyDescent="0.25">
      <c r="B40" s="64">
        <f t="shared" si="1"/>
        <v>28</v>
      </c>
      <c r="C40" s="32" t="str">
        <f>инфо!C38</f>
        <v>Мучное 1</v>
      </c>
      <c r="D40" s="33">
        <f>_xlfn.XLOOKUP($C40,Меню!$J$8:$DK$8,Меню!$J$107:$DK$107,"нет такого",,-1)</f>
        <v>0</v>
      </c>
      <c r="E40" s="35">
        <f>SUMIF(Меню!$J$8:$DK$8,$C40,Меню!$J$73:$DK$73)/1000*$J$6</f>
        <v>0</v>
      </c>
      <c r="F40" s="35">
        <f>SUMIF(Меню!$J$8:$DK$8,$C40,Меню!$J$88:$DK$88)/1000*J$7</f>
        <v>0</v>
      </c>
      <c r="G40" s="35">
        <f>SUMIF(Меню!$J$8:$DK$8,$C40,Меню!$J$101:$DK$101)/1000*$J$8</f>
        <v>0</v>
      </c>
      <c r="H40" s="35">
        <f>SUMIF(Меню!$J$8:$DK$8,$C40,Меню!$J$106:$DK$106)/1000*$J$9</f>
        <v>0</v>
      </c>
      <c r="I40" s="36">
        <f t="shared" si="0"/>
        <v>0</v>
      </c>
      <c r="J40" s="33"/>
      <c r="K40" s="34"/>
    </row>
    <row r="41" spans="2:11" ht="15.75" x14ac:dyDescent="0.25">
      <c r="B41" s="64">
        <f t="shared" si="1"/>
        <v>29</v>
      </c>
      <c r="C41" s="32" t="str">
        <f>инфо!C39</f>
        <v>Молоко коровье</v>
      </c>
      <c r="D41" s="33">
        <f>_xlfn.XLOOKUP($C41,Меню!$J$8:$DK$8,Меню!$J$107:$DK$107,"нет такого",,-1)</f>
        <v>200</v>
      </c>
      <c r="E41" s="35">
        <f>SUMIF(Меню!$J$8:$DK$8,$C41,Меню!$J$73:$DK$73)/1000*$J$6</f>
        <v>25.6</v>
      </c>
      <c r="F41" s="35">
        <f>SUMIF(Меню!$J$8:$DK$8,$C41,Меню!$J$88:$DK$88)/1000*J$7</f>
        <v>0</v>
      </c>
      <c r="G41" s="35">
        <f>SUMIF(Меню!$J$8:$DK$8,$C41,Меню!$J$101:$DK$101)/1000*$J$8</f>
        <v>0</v>
      </c>
      <c r="H41" s="35">
        <f>SUMIF(Меню!$J$8:$DK$8,$C41,Меню!$J$106:$DK$106)/1000*$J$9</f>
        <v>0</v>
      </c>
      <c r="I41" s="36">
        <f t="shared" si="0"/>
        <v>25.6</v>
      </c>
      <c r="J41" s="33"/>
      <c r="K41" s="34"/>
    </row>
    <row r="42" spans="2:11" ht="15.75" x14ac:dyDescent="0.25">
      <c r="B42" s="64">
        <f t="shared" si="1"/>
        <v>30</v>
      </c>
      <c r="C42" s="32" t="str">
        <f>инфо!C40</f>
        <v>Кефир</v>
      </c>
      <c r="D42" s="33">
        <f>_xlfn.XLOOKUP($C42,Меню!$J$8:$DK$8,Меню!$J$107:$DK$107,"нет такого",,-1)</f>
        <v>0</v>
      </c>
      <c r="E42" s="35">
        <f>SUMIF(Меню!$J$8:$DK$8,$C42,Меню!$J$73:$DK$73)/1000*$J$6</f>
        <v>0</v>
      </c>
      <c r="F42" s="35">
        <f>SUMIF(Меню!$J$8:$DK$8,$C42,Меню!$J$88:$DK$88)/1000*J$7</f>
        <v>0</v>
      </c>
      <c r="G42" s="35">
        <f>SUMIF(Меню!$J$8:$DK$8,$C42,Меню!$J$101:$DK$101)/1000*$J$8</f>
        <v>0</v>
      </c>
      <c r="H42" s="35">
        <f>SUMIF(Меню!$J$8:$DK$8,$C42,Меню!$J$106:$DK$106)/1000*$J$9</f>
        <v>0</v>
      </c>
      <c r="I42" s="36">
        <f t="shared" si="0"/>
        <v>0</v>
      </c>
      <c r="J42" s="33"/>
      <c r="K42" s="34"/>
    </row>
    <row r="43" spans="2:11" ht="15.75" x14ac:dyDescent="0.25">
      <c r="B43" s="64">
        <f t="shared" si="1"/>
        <v>31</v>
      </c>
      <c r="C43" s="32" t="str">
        <f>инфо!C41</f>
        <v>Сметана</v>
      </c>
      <c r="D43" s="33">
        <f>_xlfn.XLOOKUP($C43,Меню!$J$8:$DK$8,Меню!$J$107:$DK$107,"нет такого",,-1)</f>
        <v>0</v>
      </c>
      <c r="E43" s="35">
        <f>SUMIF(Меню!$J$8:$DK$8,$C43,Меню!$J$73:$DK$73)/1000*$J$6</f>
        <v>0</v>
      </c>
      <c r="F43" s="35">
        <f>SUMIF(Меню!$J$8:$DK$8,$C43,Меню!$J$88:$DK$88)/1000*J$7</f>
        <v>0</v>
      </c>
      <c r="G43" s="35">
        <f>SUMIF(Меню!$J$8:$DK$8,$C43,Меню!$J$101:$DK$101)/1000*$J$8</f>
        <v>0</v>
      </c>
      <c r="H43" s="35">
        <f>SUMIF(Меню!$J$8:$DK$8,$C43,Меню!$J$106:$DK$106)/1000*$J$9</f>
        <v>0</v>
      </c>
      <c r="I43" s="36">
        <f t="shared" si="0"/>
        <v>0</v>
      </c>
      <c r="J43" s="33"/>
      <c r="K43" s="34"/>
    </row>
    <row r="44" spans="2:11" ht="15.75" x14ac:dyDescent="0.25">
      <c r="B44" s="64">
        <f t="shared" si="1"/>
        <v>32</v>
      </c>
      <c r="C44" s="32" t="str">
        <f>инфо!C44</f>
        <v xml:space="preserve">Молоко сгущ. </v>
      </c>
      <c r="D44" s="33">
        <f>_xlfn.XLOOKUP($C44,Меню!$J$8:$DK$8,Меню!$J$107:$DK$107,"нет такого",,-1)</f>
        <v>0</v>
      </c>
      <c r="E44" s="35">
        <f>SUMIF(Меню!$J$8:$DK$8,$C44,Меню!$J$73:$DK$73)/1000*$J$6</f>
        <v>0</v>
      </c>
      <c r="F44" s="35">
        <f>SUMIF(Меню!$J$8:$DK$8,$C44,Меню!$J$88:$DK$88)/1000*J$7</f>
        <v>0</v>
      </c>
      <c r="G44" s="35">
        <f>SUMIF(Меню!$J$8:$DK$8,$C44,Меню!$J$101:$DK$101)/1000*$J$8</f>
        <v>0</v>
      </c>
      <c r="H44" s="35">
        <f>SUMIF(Меню!$J$8:$DK$8,$C44,Меню!$J$106:$DK$106)/1000*$J$9</f>
        <v>0</v>
      </c>
      <c r="I44" s="36">
        <f>D44*H8/1000</f>
        <v>0</v>
      </c>
      <c r="J44" s="33"/>
      <c r="K44" s="34"/>
    </row>
    <row r="45" spans="2:11" ht="15.75" x14ac:dyDescent="0.25">
      <c r="B45" s="64">
        <f t="shared" si="1"/>
        <v>33</v>
      </c>
      <c r="C45" s="32" t="str">
        <f>инфо!C46</f>
        <v>Сыр плавленный</v>
      </c>
      <c r="D45" s="33">
        <f>_xlfn.XLOOKUP($C45,Меню!$J$8:$DK$8,Меню!$J$107:$DK$107,"нет такого",,-1)</f>
        <v>17.5</v>
      </c>
      <c r="E45" s="35">
        <f>SUMIF(Меню!$J$8:$DK$8,$C45,Меню!$J$73:$DK$73)/1000*$J$6</f>
        <v>2.2400000000000002</v>
      </c>
      <c r="F45" s="35">
        <f>SUMIF(Меню!$J$8:$DK$8,$C45,Меню!$J$88:$DK$88)/1000*J$7</f>
        <v>0</v>
      </c>
      <c r="G45" s="35">
        <f>SUMIF(Меню!$J$8:$DK$8,$C45,Меню!$J$101:$DK$101)/1000*$J$8</f>
        <v>0</v>
      </c>
      <c r="H45" s="35">
        <f>SUMIF(Меню!$J$8:$DK$8,$C45,Меню!$J$106:$DK$106)/1000*$J$9</f>
        <v>0</v>
      </c>
      <c r="I45" s="35">
        <f t="shared" si="0"/>
        <v>2.2400000000000002</v>
      </c>
      <c r="J45" s="33"/>
      <c r="K45" s="34"/>
    </row>
    <row r="46" spans="2:11" ht="15.75" x14ac:dyDescent="0.25">
      <c r="B46" s="64">
        <f t="shared" si="1"/>
        <v>34</v>
      </c>
      <c r="C46" s="32" t="str">
        <f>инфо!C47</f>
        <v>Яйцо</v>
      </c>
      <c r="D46" s="33">
        <f>_xlfn.XLOOKUP($C46,Меню!$J$8:$DK$8,Меню!$J$107:$DK$107,"нет такого",,-1)</f>
        <v>1</v>
      </c>
      <c r="E46" s="35">
        <f>SUMIF(Меню!$J$8:$DK$8,$C46,Меню!$J$73:$DK$73)/1000*$J$6</f>
        <v>0.128</v>
      </c>
      <c r="F46" s="35">
        <f>SUMIF(Меню!$J$8:$DK$8,$C46,Меню!$J$88:$DK$88)/1000*J$7</f>
        <v>0</v>
      </c>
      <c r="G46" s="35">
        <f>SUMIF(Меню!$J$8:$DK$8,$C46,Меню!$J$101:$DK$101)/1000*$J$8</f>
        <v>0</v>
      </c>
      <c r="H46" s="35">
        <f>SUMIF(Меню!$J$8:$DK$8,$C46,Меню!$J$106:$DK$106)/1000*$J$9</f>
        <v>0</v>
      </c>
      <c r="I46" s="35">
        <f t="shared" si="0"/>
        <v>0.128</v>
      </c>
      <c r="J46" s="33"/>
      <c r="K46" s="34"/>
    </row>
    <row r="47" spans="2:11" ht="15.75" x14ac:dyDescent="0.25">
      <c r="B47" s="64">
        <f t="shared" si="1"/>
        <v>35</v>
      </c>
      <c r="C47" s="32" t="str">
        <f>инфо!C48</f>
        <v>Разное 1</v>
      </c>
      <c r="D47" s="33">
        <f>_xlfn.XLOOKUP($C47,Меню!$J$8:$DK$8,Меню!$J$107:$DK$107,"нет такого",,-1)</f>
        <v>0</v>
      </c>
      <c r="E47" s="35">
        <f>SUMIF(Меню!$J$8:$DK$8,$C47,Меню!$J$73:$DK$73)/1000*$J$6</f>
        <v>0</v>
      </c>
      <c r="F47" s="35">
        <f>SUMIF(Меню!$J$8:$DK$8,$C47,Меню!$J$88:$DK$88)/1000*J$7</f>
        <v>0</v>
      </c>
      <c r="G47" s="35">
        <f>SUMIF(Меню!$J$8:$DK$8,$C47,Меню!$J$101:$DK$101)/1000*$J$8</f>
        <v>0</v>
      </c>
      <c r="H47" s="35">
        <f>SUMIF(Меню!$J$8:$DK$8,$C47,Меню!$J$106:$DK$106)/1000*$J$9</f>
        <v>0</v>
      </c>
      <c r="I47" s="35">
        <f t="shared" si="0"/>
        <v>0</v>
      </c>
      <c r="J47" s="33"/>
      <c r="K47" s="34"/>
    </row>
    <row r="48" spans="2:11" ht="15.75" x14ac:dyDescent="0.25">
      <c r="B48" s="64">
        <f t="shared" si="1"/>
        <v>36</v>
      </c>
      <c r="C48" s="32" t="str">
        <f>инфо!C49</f>
        <v>Разное 2</v>
      </c>
      <c r="D48" s="33">
        <f>_xlfn.XLOOKUP($C48,Меню!$J$8:$DK$8,Меню!$J$107:$DK$107,"нет такого",,-1)</f>
        <v>0</v>
      </c>
      <c r="E48" s="35">
        <f>SUMIF(Меню!$J$8:$DK$8,$C48,Меню!$J$73:$DK$73)/1000*$J$6</f>
        <v>0</v>
      </c>
      <c r="F48" s="35">
        <f>SUMIF(Меню!$J$8:$DK$8,$C48,Меню!$J$88:$DK$88)/1000*J$7</f>
        <v>0</v>
      </c>
      <c r="G48" s="35">
        <f>SUMIF(Меню!$J$8:$DK$8,$C48,Меню!$J$101:$DK$101)/1000*$J$8</f>
        <v>0</v>
      </c>
      <c r="H48" s="35">
        <f>SUMIF(Меню!$J$8:$DK$8,$C48,Меню!$J$106:$DK$106)/1000*$J$9</f>
        <v>0</v>
      </c>
      <c r="I48" s="35">
        <f t="shared" si="0"/>
        <v>0</v>
      </c>
      <c r="J48" s="33"/>
      <c r="K48" s="34"/>
    </row>
    <row r="49" spans="2:11" ht="15.75" x14ac:dyDescent="0.25">
      <c r="B49" s="64">
        <f t="shared" si="1"/>
        <v>37</v>
      </c>
      <c r="C49" s="32" t="str">
        <f>инфо!C50</f>
        <v>Масло коровье</v>
      </c>
      <c r="D49" s="33">
        <f>_xlfn.XLOOKUP($C49,Меню!$J$8:$DK$8,Меню!$J$107:$DK$107,"нет такого",,-1)</f>
        <v>15</v>
      </c>
      <c r="E49" s="35">
        <f>SUMIF(Меню!$J$8:$DK$8,$C49,Меню!$J$73:$DK$73)/1000*$J$6</f>
        <v>0</v>
      </c>
      <c r="F49" s="35">
        <f>SUMIF(Меню!$J$8:$DK$8,$C49,Меню!$J$88:$DK$88)/1000*J$7</f>
        <v>1.8299999999999998</v>
      </c>
      <c r="G49" s="35">
        <f>SUMIF(Меню!$J$8:$DK$8,$C49,Меню!$J$101:$DK$101)/1000*$J$8</f>
        <v>0</v>
      </c>
      <c r="H49" s="35">
        <f>SUMIF(Меню!$J$8:$DK$8,$C49,Меню!$J$106:$DK$106)/1000*$J$9</f>
        <v>0</v>
      </c>
      <c r="I49" s="36">
        <f t="shared" si="0"/>
        <v>1.8299999999999998</v>
      </c>
      <c r="J49" s="33"/>
      <c r="K49" s="34"/>
    </row>
    <row r="50" spans="2:11" ht="15.75" x14ac:dyDescent="0.25">
      <c r="B50" s="64">
        <f t="shared" si="1"/>
        <v>38</v>
      </c>
      <c r="C50" s="32" t="str">
        <f>инфо!C51</f>
        <v>Масло растительное</v>
      </c>
      <c r="D50" s="33">
        <f>_xlfn.XLOOKUP($C50,Меню!$J$8:$DK$8,Меню!$J$107:$DK$107,"нет такого",,-1)</f>
        <v>15</v>
      </c>
      <c r="E50" s="35">
        <f>SUMIF(Меню!$J$8:$DK$8,$C50,Меню!$J$73:$DK$73)/1000*$J$6</f>
        <v>0</v>
      </c>
      <c r="F50" s="35">
        <f>SUMIF(Меню!$J$8:$DK$8,$C50,Меню!$J$88:$DK$88)/1000*J$7</f>
        <v>0</v>
      </c>
      <c r="G50" s="35">
        <f>SUMIF(Меню!$J$8:$DK$8,$C50,Меню!$J$101:$DK$101)/1000*$J$8</f>
        <v>1.95</v>
      </c>
      <c r="H50" s="35">
        <f>SUMIF(Меню!$J$8:$DK$8,$C50,Меню!$J$106:$DK$106)/1000*$J$9</f>
        <v>0</v>
      </c>
      <c r="I50" s="35">
        <f t="shared" si="0"/>
        <v>1.95</v>
      </c>
      <c r="J50" s="33"/>
      <c r="K50" s="34"/>
    </row>
    <row r="51" spans="2:11" ht="15.75" x14ac:dyDescent="0.25">
      <c r="B51" s="64">
        <f t="shared" si="1"/>
        <v>39</v>
      </c>
      <c r="C51" s="32" t="str">
        <f>инфо!C52</f>
        <v>Сало-шпик</v>
      </c>
      <c r="D51" s="33">
        <f>_xlfn.XLOOKUP($C51,Меню!$J$8:$DK$8,Меню!$J$107:$DK$107,"нет такого",,-1)</f>
        <v>31</v>
      </c>
      <c r="E51" s="35">
        <f>SUMIF(Меню!$J$8:$DK$8,$C51,Меню!$J$73:$DK$73)/1000*$J$6</f>
        <v>0.64</v>
      </c>
      <c r="F51" s="35">
        <f>SUMIF(Меню!$J$8:$DK$8,$C51,Меню!$J$88:$DK$88)/1000*J$7</f>
        <v>1.952</v>
      </c>
      <c r="G51" s="35">
        <f>SUMIF(Меню!$J$8:$DK$8,$C51,Меню!$J$101:$DK$101)/1000*$J$8</f>
        <v>1.3</v>
      </c>
      <c r="H51" s="35">
        <f>SUMIF(Меню!$J$8:$DK$8,$C51,Меню!$J$106:$DK$106)/1000*$J$9</f>
        <v>0</v>
      </c>
      <c r="I51" s="35">
        <f t="shared" si="0"/>
        <v>3.8920000000000003</v>
      </c>
      <c r="J51" s="33"/>
      <c r="K51" s="34"/>
    </row>
    <row r="52" spans="2:11" ht="15.75" x14ac:dyDescent="0.25">
      <c r="B52" s="64">
        <f t="shared" si="1"/>
        <v>40</v>
      </c>
      <c r="C52" s="32" t="str">
        <f>инфо!C53</f>
        <v>Жиры 1</v>
      </c>
      <c r="D52" s="33">
        <f>_xlfn.XLOOKUP($C52,Меню!$J$8:$DK$8,Меню!$J$107:$DK$107,"нет такого",,-1)</f>
        <v>0</v>
      </c>
      <c r="E52" s="35">
        <f>SUMIF(Меню!$J$8:$DK$8,$C52,Меню!$J$73:$DK$73)/1000*$J$6</f>
        <v>0</v>
      </c>
      <c r="F52" s="35">
        <f>SUMIF(Меню!$J$8:$DK$8,$C52,Меню!$J$88:$DK$88)/1000*J$7</f>
        <v>0</v>
      </c>
      <c r="G52" s="35">
        <f>SUMIF(Меню!$J$8:$DK$8,$C52,Меню!$J$101:$DK$101)/1000*$J$8</f>
        <v>0</v>
      </c>
      <c r="H52" s="35">
        <f>SUMIF(Меню!$J$8:$DK$8,$C52,Меню!$J$106:$DK$106)/1000*$J$9</f>
        <v>0</v>
      </c>
      <c r="I52" s="36">
        <f t="shared" si="0"/>
        <v>0</v>
      </c>
      <c r="J52" s="33"/>
      <c r="K52" s="34"/>
    </row>
    <row r="53" spans="2:11" ht="15.75" x14ac:dyDescent="0.25">
      <c r="B53" s="64">
        <f t="shared" si="1"/>
        <v>41</v>
      </c>
      <c r="C53" s="32" t="str">
        <f>инфо!C54</f>
        <v>Жиры 2</v>
      </c>
      <c r="D53" s="33">
        <f>_xlfn.XLOOKUP($C53,Меню!$J$8:$DK$8,Меню!$J$107:$DK$107,"нет такого",,-1)</f>
        <v>0</v>
      </c>
      <c r="E53" s="35">
        <f>SUMIF(Меню!$J$8:$DK$8,$C53,Меню!$J$73:$DK$73)/1000*$J$6</f>
        <v>0</v>
      </c>
      <c r="F53" s="35">
        <f>SUMIF(Меню!$J$8:$DK$8,$C53,Меню!$J$88:$DK$88)/1000*J$7</f>
        <v>0</v>
      </c>
      <c r="G53" s="35">
        <f>SUMIF(Меню!$J$8:$DK$8,$C53,Меню!$J$101:$DK$101)/1000*$J$8</f>
        <v>0</v>
      </c>
      <c r="H53" s="35">
        <f>SUMIF(Меню!$J$8:$DK$8,$C53,Меню!$J$106:$DK$106)/1000*$J$9</f>
        <v>0</v>
      </c>
      <c r="I53" s="36">
        <f t="shared" si="0"/>
        <v>0</v>
      </c>
      <c r="J53" s="33"/>
      <c r="K53" s="34"/>
    </row>
    <row r="54" spans="2:11" ht="15.75" x14ac:dyDescent="0.25">
      <c r="B54" s="64">
        <f t="shared" si="1"/>
        <v>42</v>
      </c>
      <c r="C54" s="32" t="str">
        <f>инфо!C55</f>
        <v>Жиры 3</v>
      </c>
      <c r="D54" s="33">
        <f>_xlfn.XLOOKUP($C54,Меню!$J$8:$DK$8,Меню!$J$107:$DK$107,"нет такого",,-1)</f>
        <v>0</v>
      </c>
      <c r="E54" s="35">
        <f>SUMIF(Меню!$J$8:$DK$8,$C54,Меню!$J$73:$DK$73)/1000*$J$6</f>
        <v>0</v>
      </c>
      <c r="F54" s="35">
        <f>SUMIF(Меню!$J$8:$DK$8,$C54,Меню!$J$88:$DK$88)/1000*J$7</f>
        <v>0</v>
      </c>
      <c r="G54" s="35">
        <f>SUMIF(Меню!$J$8:$DK$8,$C54,Меню!$J$101:$DK$101)/1000*$J$8</f>
        <v>0</v>
      </c>
      <c r="H54" s="35">
        <f>SUMIF(Меню!$J$8:$DK$8,$C54,Меню!$J$106:$DK$106)/1000*$J$9</f>
        <v>0</v>
      </c>
      <c r="I54" s="36">
        <v>0</v>
      </c>
      <c r="J54" s="33"/>
      <c r="K54" s="34"/>
    </row>
    <row r="55" spans="2:11" ht="15.75" x14ac:dyDescent="0.25">
      <c r="B55" s="64">
        <f t="shared" si="1"/>
        <v>43</v>
      </c>
      <c r="C55" s="32" t="str">
        <f>инфо!C56</f>
        <v>Говядина б/к ,печень</v>
      </c>
      <c r="D55" s="33">
        <f>_xlfn.XLOOKUP($C55,Меню!$J$8:$DK$8,Меню!$J$107:$DK$107,"нет такого",,-1)</f>
        <v>0</v>
      </c>
      <c r="E55" s="35">
        <f>SUMIF(Меню!$J$8:$DK$8,$C55,Меню!$J$73:$DK$73)/1000*$J$6</f>
        <v>0</v>
      </c>
      <c r="F55" s="35">
        <f>SUMIF(Меню!$J$8:$DK$8,$C55,Меню!$J$88:$DK$88)/1000*J$7</f>
        <v>0</v>
      </c>
      <c r="G55" s="35">
        <f>SUMIF(Меню!$J$8:$DK$8,$C55,Меню!$J$101:$DK$101)/1000*$J$8</f>
        <v>0</v>
      </c>
      <c r="H55" s="35">
        <f>SUMIF(Меню!$J$8:$DK$8,$C55,Меню!$J$106:$DK$106)/1000*$J$9</f>
        <v>0</v>
      </c>
      <c r="I55" s="36">
        <v>0</v>
      </c>
      <c r="J55" s="33"/>
      <c r="K55" s="34"/>
    </row>
    <row r="56" spans="2:11" ht="15.75" x14ac:dyDescent="0.25">
      <c r="B56" s="64">
        <f t="shared" si="1"/>
        <v>44</v>
      </c>
      <c r="C56" s="32" t="str">
        <f>инфо!C57</f>
        <v>Говядина на кости</v>
      </c>
      <c r="D56" s="33">
        <f>_xlfn.XLOOKUP($C56,Меню!$J$8:$DK$8,Меню!$J$107:$DK$107,"нет такого",,-1)</f>
        <v>40</v>
      </c>
      <c r="E56" s="35">
        <f>SUMIF(Меню!$J$8:$DK$8,$C56,Меню!$J$73:$DK$73)/1000*$J$6</f>
        <v>5.12</v>
      </c>
      <c r="F56" s="35">
        <f>SUMIF(Меню!$J$8:$DK$8,$C56,Меню!$J$88:$DK$88)/1000*J$7</f>
        <v>0</v>
      </c>
      <c r="G56" s="35">
        <f>SUMIF(Меню!$J$8:$DK$8,$C56,Меню!$J$101:$DK$101)/1000*$J$8</f>
        <v>0</v>
      </c>
      <c r="H56" s="35">
        <f>SUMIF(Меню!$J$8:$DK$8,$C56,Меню!$J$106:$DK$106)/1000*$J$9</f>
        <v>0</v>
      </c>
      <c r="I56" s="36">
        <v>0</v>
      </c>
      <c r="J56" s="33"/>
      <c r="K56" s="34"/>
    </row>
    <row r="57" spans="2:11" ht="15.75" x14ac:dyDescent="0.25">
      <c r="B57" s="64">
        <f t="shared" si="1"/>
        <v>45</v>
      </c>
      <c r="C57" s="32" t="str">
        <f>инфо!C58</f>
        <v>Мясо птицы</v>
      </c>
      <c r="D57" s="33">
        <f>_xlfn.XLOOKUP($C57,Меню!$J$8:$DK$8,Меню!$J$107:$DK$107,"нет такого",,-1)</f>
        <v>0</v>
      </c>
      <c r="E57" s="35">
        <f>SUMIF(Меню!$J$8:$DK$8,$C57,Меню!$J$73:$DK$73)/1000*$J$6</f>
        <v>0</v>
      </c>
      <c r="F57" s="35">
        <f>SUMIF(Меню!$J$8:$DK$8,$C57,Меню!$J$88:$DK$88)/1000*J$7</f>
        <v>0</v>
      </c>
      <c r="G57" s="35">
        <f>SUMIF(Меню!$J$8:$DK$8,$C57,Меню!$J$101:$DK$101)/1000*$J$8</f>
        <v>0</v>
      </c>
      <c r="H57" s="35">
        <f>SUMIF(Меню!$J$8:$DK$8,$C57,Меню!$J$106:$DK$106)/1000*$J$9</f>
        <v>0</v>
      </c>
      <c r="I57" s="36">
        <v>0</v>
      </c>
      <c r="J57" s="33"/>
      <c r="K57" s="34"/>
    </row>
    <row r="58" spans="2:11" ht="15.75" x14ac:dyDescent="0.25">
      <c r="B58" s="64">
        <f t="shared" si="1"/>
        <v>46</v>
      </c>
      <c r="C58" s="32" t="str">
        <f>инфо!C59</f>
        <v>Сардельки, сосиски</v>
      </c>
      <c r="D58" s="33">
        <f>_xlfn.XLOOKUP($C58,Меню!$J$8:$DK$8,Меню!$J$107:$DK$107,"нет такого",,-1)</f>
        <v>150</v>
      </c>
      <c r="E58" s="35">
        <f>SUMIF(Меню!$J$8:$DK$8,$C58,Меню!$J$73:$DK$73)/1000*$J$6</f>
        <v>0</v>
      </c>
      <c r="F58" s="35">
        <f>SUMIF(Меню!$J$8:$DK$8,$C58,Меню!$J$88:$DK$88)/1000*J$7</f>
        <v>18.3</v>
      </c>
      <c r="G58" s="35">
        <f>SUMIF(Меню!$J$8:$DK$8,$C58,Меню!$J$101:$DK$101)/1000*$J$8</f>
        <v>0</v>
      </c>
      <c r="H58" s="35">
        <f>SUMIF(Меню!$J$8:$DK$8,$C58,Меню!$J$106:$DK$106)/1000*$J$9</f>
        <v>0</v>
      </c>
      <c r="I58" s="36">
        <v>0</v>
      </c>
      <c r="J58" s="33"/>
      <c r="K58" s="34"/>
    </row>
    <row r="59" spans="2:11" ht="15.75" x14ac:dyDescent="0.25">
      <c r="B59" s="64">
        <f t="shared" si="1"/>
        <v>47</v>
      </c>
      <c r="C59" s="32" t="str">
        <f>инфо!C60</f>
        <v>Свинина б/к</v>
      </c>
      <c r="D59" s="33">
        <f>_xlfn.XLOOKUP($C59,Меню!$J$8:$DK$8,Меню!$J$107:$DK$107,"нет такого",,-1)</f>
        <v>120</v>
      </c>
      <c r="E59" s="35">
        <f>SUMIF(Меню!$J$8:$DK$8,$C59,Меню!$J$73:$DK$73)/1000*$J$6</f>
        <v>0</v>
      </c>
      <c r="F59" s="35">
        <f>SUMIF(Меню!$J$8:$DK$8,$C59,Меню!$J$88:$DK$88)/1000*J$7</f>
        <v>0</v>
      </c>
      <c r="G59" s="35">
        <f>SUMIF(Меню!$J$8:$DK$8,$C59,Меню!$J$101:$DK$101)/1000*$J$8</f>
        <v>15.6</v>
      </c>
      <c r="H59" s="35">
        <f>SUMIF(Меню!$J$8:$DK$8,$C59,Меню!$J$106:$DK$106)/1000*$J$9</f>
        <v>0</v>
      </c>
      <c r="I59" s="36">
        <f>SUM(E59:H59)</f>
        <v>15.6</v>
      </c>
      <c r="J59" s="33"/>
      <c r="K59" s="34"/>
    </row>
    <row r="60" spans="2:11" ht="15.75" x14ac:dyDescent="0.25">
      <c r="B60" s="64">
        <f t="shared" si="1"/>
        <v>48</v>
      </c>
      <c r="C60" s="32" t="str">
        <f>инфо!C61</f>
        <v>Свинина на кости</v>
      </c>
      <c r="D60" s="33">
        <f>_xlfn.XLOOKUP($C60,Меню!$J$8:$DK$8,Меню!$J$107:$DK$107,"нет такого",,-1)</f>
        <v>100</v>
      </c>
      <c r="E60" s="35">
        <f>SUMIF(Меню!$J$8:$DK$8,$C60,Меню!$J$73:$DK$73)/1000*$J$6</f>
        <v>12.8</v>
      </c>
      <c r="F60" s="35">
        <f>SUMIF(Меню!$J$8:$DK$8,$C60,Меню!$J$88:$DK$88)/1000*J$7</f>
        <v>0</v>
      </c>
      <c r="G60" s="35">
        <f>SUMIF(Меню!$J$8:$DK$8,$C60,Меню!$J$101:$DK$101)/1000*$J$8</f>
        <v>0</v>
      </c>
      <c r="H60" s="35">
        <f>SUMIF(Меню!$J$8:$DK$8,$C60,Меню!$J$106:$DK$106)/1000*$J$9</f>
        <v>0</v>
      </c>
      <c r="I60" s="36">
        <f t="shared" ref="I60:I65" si="3">SUM(E60:H60)</f>
        <v>12.8</v>
      </c>
      <c r="J60" s="33"/>
      <c r="K60" s="34"/>
    </row>
    <row r="61" spans="2:11" ht="15.75" x14ac:dyDescent="0.25">
      <c r="B61" s="64">
        <f t="shared" si="1"/>
        <v>49</v>
      </c>
      <c r="C61" s="32" t="str">
        <f>инфо!C62</f>
        <v>Колбаса с/к</v>
      </c>
      <c r="D61" s="33">
        <f>_xlfn.XLOOKUP($C61,Меню!$J$8:$DK$8,Меню!$J$107:$DK$107,"нет такого",,-1)</f>
        <v>0</v>
      </c>
      <c r="E61" s="35">
        <f>SUMIF(Меню!$J$8:$DK$8,$C61,Меню!$J$73:$DK$73)/1000*$J$6</f>
        <v>0</v>
      </c>
      <c r="F61" s="35">
        <f>SUMIF(Меню!$J$8:$DK$8,$C61,Меню!$J$88:$DK$88)/1000*J$7</f>
        <v>0</v>
      </c>
      <c r="G61" s="35">
        <f>SUMIF(Меню!$J$8:$DK$8,$C61,Меню!$J$101:$DK$101)/1000*$J$8</f>
        <v>0</v>
      </c>
      <c r="H61" s="35">
        <f>SUMIF(Меню!$J$8:$DK$8,$C61,Меню!$J$106:$DK$106)/1000*$J$9</f>
        <v>0</v>
      </c>
      <c r="I61" s="36">
        <f t="shared" si="3"/>
        <v>0</v>
      </c>
      <c r="J61" s="33"/>
      <c r="K61" s="34"/>
    </row>
    <row r="62" spans="2:11" ht="15.75" x14ac:dyDescent="0.25">
      <c r="B62" s="64">
        <f t="shared" si="1"/>
        <v>50</v>
      </c>
      <c r="C62" s="32" t="str">
        <f>инфо!C63</f>
        <v>Колбаса п/к</v>
      </c>
      <c r="D62" s="33">
        <f>_xlfn.XLOOKUP($C62,Меню!$J$8:$DK$8,Меню!$J$107:$DK$107,"нет такого",,-1)</f>
        <v>0</v>
      </c>
      <c r="E62" s="35">
        <f>SUMIF(Меню!$J$8:$DK$8,$C62,Меню!$J$73:$DK$73)/1000*$J$6</f>
        <v>0</v>
      </c>
      <c r="F62" s="35">
        <f>SUMIF(Меню!$J$8:$DK$8,$C62,Меню!$J$88:$DK$88)/1000*J$7</f>
        <v>0</v>
      </c>
      <c r="G62" s="35">
        <f>SUMIF(Меню!$J$8:$DK$8,$C62,Меню!$J$101:$DK$101)/1000*$J$8</f>
        <v>0</v>
      </c>
      <c r="H62" s="35">
        <f>SUMIF(Меню!$J$8:$DK$8,$C62,Меню!$J$106:$DK$106)/1000*$J$9</f>
        <v>0</v>
      </c>
      <c r="I62" s="36">
        <f t="shared" si="3"/>
        <v>0</v>
      </c>
      <c r="J62" s="33"/>
      <c r="K62" s="34"/>
    </row>
    <row r="63" spans="2:11" ht="15.75" x14ac:dyDescent="0.25">
      <c r="B63" s="64">
        <f t="shared" si="1"/>
        <v>51</v>
      </c>
      <c r="C63" s="32" t="str">
        <f>инфо!C66</f>
        <v xml:space="preserve">Рыба с/м </v>
      </c>
      <c r="D63" s="33">
        <f>_xlfn.XLOOKUP($C63,Меню!$J$8:$DK$8,Меню!$J$107:$DK$107,"нет такого",,-1)</f>
        <v>0</v>
      </c>
      <c r="E63" s="35">
        <f>SUMIF(Меню!$J$8:$DK$8,$C63,Меню!$J$73:$DK$73)/1000*$J$6</f>
        <v>0</v>
      </c>
      <c r="F63" s="35">
        <f>SUMIF(Меню!$J$8:$DK$8,$C63,Меню!$J$88:$DK$88)/1000*J$7</f>
        <v>0</v>
      </c>
      <c r="G63" s="35">
        <f>SUMIF(Меню!$J$8:$DK$8,$C63,Меню!$J$101:$DK$101)/1000*$J$8</f>
        <v>0</v>
      </c>
      <c r="H63" s="35">
        <f>SUMIF(Меню!$J$8:$DK$8,$C63,Меню!$J$106:$DK$106)/1000*$J$9</f>
        <v>0</v>
      </c>
      <c r="I63" s="36">
        <f t="shared" si="3"/>
        <v>0</v>
      </c>
      <c r="J63" s="33"/>
      <c r="K63" s="34"/>
    </row>
    <row r="64" spans="2:11" ht="15.75" x14ac:dyDescent="0.25">
      <c r="B64" s="64">
        <f t="shared" si="1"/>
        <v>52</v>
      </c>
      <c r="C64" s="32" t="str">
        <f>инфо!C67</f>
        <v>Мясо-рыба запас</v>
      </c>
      <c r="D64" s="33">
        <f>_xlfn.XLOOKUP($C64,Меню!$J$8:$DK$8,Меню!$J$107:$DK$107,"нет такого",,-1)</f>
        <v>0</v>
      </c>
      <c r="E64" s="35">
        <f>SUMIF(Меню!$J$8:$DK$8,$C64,Меню!$J$73:$DK$73)/1000*$J$6</f>
        <v>0</v>
      </c>
      <c r="F64" s="35">
        <f>SUMIF(Меню!$J$8:$DK$8,$C64,Меню!$J$88:$DK$88)/1000*J$7</f>
        <v>0</v>
      </c>
      <c r="G64" s="35">
        <f>SUMIF(Меню!$J$8:$DK$8,$C64,Меню!$J$101:$DK$101)/1000*$J$8</f>
        <v>0</v>
      </c>
      <c r="H64" s="35">
        <f>SUMIF(Меню!$J$8:$DK$8,$C64,Меню!$J$106:$DK$106)/1000*$J$9</f>
        <v>0</v>
      </c>
      <c r="I64" s="36">
        <f t="shared" si="3"/>
        <v>0</v>
      </c>
      <c r="J64" s="33"/>
      <c r="K64" s="34"/>
    </row>
    <row r="65" spans="2:11" ht="15.75" x14ac:dyDescent="0.25">
      <c r="B65" s="64">
        <f t="shared" si="1"/>
        <v>53</v>
      </c>
      <c r="C65" s="32" t="str">
        <f>инфо!C68</f>
        <v>Гексавит</v>
      </c>
      <c r="D65" s="33">
        <f>_xlfn.XLOOKUP($C65,Меню!$J$8:$DK$8,Меню!$J$107:$DK$107,"нет такого",,-1)</f>
        <v>0.5</v>
      </c>
      <c r="E65" s="35">
        <f>SUMIF(Меню!$J$8:$DK$8,$C65,Меню!$J$73:$DK$73)/1000*$J$6</f>
        <v>0</v>
      </c>
      <c r="F65" s="35">
        <f>SUMIF(Меню!$J$8:$DK$8,$C65,Меню!$J$88:$DK$88)/1000*J$7</f>
        <v>6.0999999999999999E-2</v>
      </c>
      <c r="G65" s="35">
        <f>SUMIF(Меню!$J$8:$DK$8,$C65,Меню!$J$101:$DK$101)/1000*$J$8</f>
        <v>0</v>
      </c>
      <c r="H65" s="35">
        <f>SUMIF(Меню!$J$8:$DK$8,$C65,Меню!$J$106:$DK$106)/1000*$J$9</f>
        <v>0</v>
      </c>
      <c r="I65" s="36">
        <f t="shared" si="3"/>
        <v>6.0999999999999999E-2</v>
      </c>
      <c r="J65" s="33"/>
      <c r="K65" s="34"/>
    </row>
    <row r="66" spans="2:11" ht="15.75" x14ac:dyDescent="0.25">
      <c r="B66" s="64">
        <f t="shared" si="1"/>
        <v>54</v>
      </c>
      <c r="C66" s="32" t="str">
        <f>инфо!C69</f>
        <v>Горчичный порошок</v>
      </c>
      <c r="D66" s="33">
        <f>_xlfn.XLOOKUP($C66,Меню!$J$8:$DK$8,Меню!$J$107:$DK$107,"нет такого",,-1)</f>
        <v>0.5</v>
      </c>
      <c r="E66" s="35">
        <f>SUMIF(Меню!$J$8:$DK$8,$C66,Меню!$J$73:$DK$73)/1000*$J$6</f>
        <v>0</v>
      </c>
      <c r="F66" s="35">
        <f>SUMIF(Меню!$J$8:$DK$8,$C66,Меню!$J$88:$DK$88)/1000*J$7</f>
        <v>6.0999999999999999E-2</v>
      </c>
      <c r="G66" s="35">
        <f>SUMIF(Меню!$J$8:$DK$8,$C66,Меню!$J$101:$DK$101)/1000*$J$8</f>
        <v>0</v>
      </c>
      <c r="H66" s="35">
        <f>SUMIF(Меню!$J$8:$DK$8,$C66,Меню!$J$106:$DK$106)/1000*$J$9</f>
        <v>0</v>
      </c>
      <c r="I66" s="36">
        <f>SUM(E66:H66)</f>
        <v>6.0999999999999999E-2</v>
      </c>
      <c r="J66" s="33"/>
      <c r="K66" s="34"/>
    </row>
    <row r="67" spans="2:11" ht="15.75" x14ac:dyDescent="0.25">
      <c r="B67" s="64">
        <f t="shared" si="1"/>
        <v>55</v>
      </c>
      <c r="C67" s="32" t="str">
        <f>инфо!C70</f>
        <v>Томат-паста</v>
      </c>
      <c r="D67" s="33">
        <f>_xlfn.XLOOKUP($C67,Меню!$J$8:$DK$8,Меню!$J$107:$DK$107,"нет такого",,-1)</f>
        <v>0</v>
      </c>
      <c r="E67" s="35">
        <f>SUMIF(Меню!$J$8:$DK$8,$C67,Меню!$J$73:$DK$73)/1000*$J$6</f>
        <v>0</v>
      </c>
      <c r="F67" s="35">
        <f>SUMIF(Меню!$J$8:$DK$8,$C67,Меню!$J$88:$DK$88)/1000*J$7</f>
        <v>0</v>
      </c>
      <c r="G67" s="35">
        <f>SUMIF(Меню!$J$8:$DK$8,$C67,Меню!$J$101:$DK$101)/1000*$J$8</f>
        <v>0</v>
      </c>
      <c r="H67" s="35">
        <f>SUMIF(Меню!$J$8:$DK$8,$C67,Меню!$J$106:$DK$106)/1000*$J$9</f>
        <v>0</v>
      </c>
      <c r="I67" s="36">
        <f t="shared" ref="I67:I105" si="4">SUM(E67:H67)</f>
        <v>0</v>
      </c>
      <c r="J67" s="33"/>
      <c r="K67" s="34"/>
    </row>
    <row r="68" spans="2:11" ht="15.75" x14ac:dyDescent="0.25">
      <c r="B68" s="64">
        <f t="shared" si="1"/>
        <v>56</v>
      </c>
      <c r="C68" s="32" t="str">
        <f>инфо!C71</f>
        <v>Уксус</v>
      </c>
      <c r="D68" s="33">
        <f>_xlfn.XLOOKUP($C68,Меню!$J$8:$DK$8,Меню!$J$107:$DK$107,"нет такого",,-1)</f>
        <v>0</v>
      </c>
      <c r="E68" s="35">
        <f>SUMIF(Меню!$J$8:$DK$8,$C68,Меню!$J$73:$DK$73)/1000*$J$6</f>
        <v>0</v>
      </c>
      <c r="F68" s="35">
        <f>SUMIF(Меню!$J$8:$DK$8,$C68,Меню!$J$88:$DK$88)/1000*J$7</f>
        <v>0</v>
      </c>
      <c r="G68" s="35">
        <f>SUMIF(Меню!$J$8:$DK$8,$C68,Меню!$J$101:$DK$101)/1000*$J$8</f>
        <v>0</v>
      </c>
      <c r="H68" s="35">
        <f>SUMIF(Меню!$J$8:$DK$8,$C68,Меню!$J$106:$DK$106)/1000*$J$9</f>
        <v>0</v>
      </c>
      <c r="I68" s="36">
        <f t="shared" si="4"/>
        <v>0</v>
      </c>
      <c r="J68" s="33"/>
      <c r="K68" s="34"/>
    </row>
    <row r="69" spans="2:11" ht="15.75" x14ac:dyDescent="0.25">
      <c r="B69" s="64">
        <f t="shared" si="1"/>
        <v>57</v>
      </c>
      <c r="C69" s="32" t="str">
        <f>инфо!C72</f>
        <v>Лавровый лист</v>
      </c>
      <c r="D69" s="33">
        <f>_xlfn.XLOOKUP($C69,Меню!$J$8:$DK$8,Меню!$J$107:$DK$107,"нет такого",,-1)</f>
        <v>0</v>
      </c>
      <c r="E69" s="35">
        <f>SUMIF(Меню!$J$8:$DK$8,$C69,Меню!$J$73:$DK$73)/1000*$J$6</f>
        <v>0</v>
      </c>
      <c r="F69" s="35">
        <f>SUMIF(Меню!$J$8:$DK$8,$C69,Меню!$J$88:$DK$88)/1000*J$7</f>
        <v>0</v>
      </c>
      <c r="G69" s="35">
        <f>SUMIF(Меню!$J$8:$DK$8,$C69,Меню!$J$101:$DK$101)/1000*$J$8</f>
        <v>0</v>
      </c>
      <c r="H69" s="35">
        <f>SUMIF(Меню!$J$8:$DK$8,$C69,Меню!$J$106:$DK$106)/1000*$J$9</f>
        <v>0</v>
      </c>
      <c r="I69" s="36">
        <f t="shared" si="4"/>
        <v>0</v>
      </c>
      <c r="J69" s="33"/>
      <c r="K69" s="34"/>
    </row>
    <row r="70" spans="2:11" ht="15.75" x14ac:dyDescent="0.25">
      <c r="B70" s="64">
        <f t="shared" si="1"/>
        <v>58</v>
      </c>
      <c r="C70" s="32" t="str">
        <f>инфо!C74</f>
        <v>Перец</v>
      </c>
      <c r="D70" s="33">
        <f>_xlfn.XLOOKUP($C70,Меню!$J$8:$DK$8,Меню!$J$107:$DK$107,"нет такого",,-1)</f>
        <v>0</v>
      </c>
      <c r="E70" s="35">
        <f>SUMIF(Меню!$J$8:$DK$8,$C70,Меню!$J$73:$DK$73)/1000*$J$6</f>
        <v>0</v>
      </c>
      <c r="F70" s="35">
        <f>SUMIF(Меню!$J$8:$DK$8,$C70,Меню!$J$88:$DK$88)/1000*J$7</f>
        <v>0</v>
      </c>
      <c r="G70" s="35">
        <f>SUMIF(Меню!$J$8:$DK$8,$C70,Меню!$J$101:$DK$101)/1000*$J$8</f>
        <v>0</v>
      </c>
      <c r="H70" s="35">
        <f>SUMIF(Меню!$J$8:$DK$8,$C70,Меню!$J$106:$DK$106)/1000*$J$9</f>
        <v>0</v>
      </c>
      <c r="I70" s="36">
        <f t="shared" si="4"/>
        <v>0</v>
      </c>
      <c r="J70" s="33"/>
      <c r="K70" s="34"/>
    </row>
    <row r="71" spans="2:11" ht="15.75" x14ac:dyDescent="0.25">
      <c r="B71" s="64">
        <f t="shared" si="1"/>
        <v>59</v>
      </c>
      <c r="C71" s="32" t="str">
        <f>инфо!C75</f>
        <v>Соль</v>
      </c>
      <c r="D71" s="33">
        <f>_xlfn.XLOOKUP($C71,Меню!$J$8:$DK$8,Меню!$J$107:$DK$107,"нет такого",,-1)</f>
        <v>0</v>
      </c>
      <c r="E71" s="35">
        <f>SUMIF(Меню!$J$8:$DK$8,$C71,Меню!$J$73:$DK$73)/1000*$J$6</f>
        <v>0</v>
      </c>
      <c r="F71" s="35">
        <f>SUMIF(Меню!$J$8:$DK$8,$C71,Меню!$J$88:$DK$88)/1000*J$7</f>
        <v>0</v>
      </c>
      <c r="G71" s="35">
        <f>SUMIF(Меню!$J$8:$DK$8,$C71,Меню!$J$101:$DK$101)/1000*$J$8</f>
        <v>0</v>
      </c>
      <c r="H71" s="35">
        <f>SUMIF(Меню!$J$8:$DK$8,$C71,Меню!$J$106:$DK$106)/1000*$J$9</f>
        <v>0</v>
      </c>
      <c r="I71" s="36">
        <f t="shared" si="4"/>
        <v>0</v>
      </c>
      <c r="J71" s="33"/>
      <c r="K71" s="34"/>
    </row>
    <row r="72" spans="2:11" ht="15.75" x14ac:dyDescent="0.25">
      <c r="B72" s="64">
        <f t="shared" si="1"/>
        <v>60</v>
      </c>
      <c r="C72" s="32" t="str">
        <f>инфо!C76</f>
        <v>Сахар</v>
      </c>
      <c r="D72" s="33">
        <f>_xlfn.XLOOKUP($C72,Меню!$J$8:$DK$8,Меню!$J$107:$DK$107,"нет такого",,-1)</f>
        <v>45</v>
      </c>
      <c r="E72" s="35">
        <f>SUMIF(Меню!$J$8:$DK$8,$C72,Меню!$J$73:$DK$73)/1000*$J$6</f>
        <v>3.2</v>
      </c>
      <c r="F72" s="35">
        <f>SUMIF(Меню!$J$8:$DK$8,$C72,Меню!$J$88:$DK$88)/1000*J$7</f>
        <v>2.44</v>
      </c>
      <c r="G72" s="35">
        <f>SUMIF(Меню!$J$8:$DK$8,$C72,Меню!$J$101:$DK$101)/1000*$J$8</f>
        <v>0</v>
      </c>
      <c r="H72" s="35">
        <f>SUMIF(Меню!$J$8:$DK$8,$C72,Меню!$J$106:$DK$106)/1000*$J$9</f>
        <v>0</v>
      </c>
      <c r="I72" s="36">
        <f t="shared" si="4"/>
        <v>5.6400000000000006</v>
      </c>
      <c r="J72" s="33"/>
      <c r="K72" s="34"/>
    </row>
    <row r="73" spans="2:11" ht="15.75" x14ac:dyDescent="0.25">
      <c r="B73" s="64">
        <f t="shared" si="1"/>
        <v>61</v>
      </c>
      <c r="C73" s="32" t="str">
        <f>инфо!C77</f>
        <v>Чай</v>
      </c>
      <c r="D73" s="33">
        <f>_xlfn.XLOOKUP($C73,Меню!$J$8:$DK$8,Меню!$J$107:$DK$107,"нет такого",,-1)</f>
        <v>0</v>
      </c>
      <c r="E73" s="35">
        <f>SUMIF(Меню!$J$8:$DK$8,$C73,Меню!$J$73:$DK$73)/1000*$J$6</f>
        <v>0</v>
      </c>
      <c r="F73" s="35">
        <f>SUMIF(Меню!$J$8:$DK$8,$C73,Меню!$J$88:$DK$88)/1000*J$7</f>
        <v>0</v>
      </c>
      <c r="G73" s="35">
        <f>SUMIF(Меню!$J$8:$DK$8,$C73,Меню!$J$101:$DK$101)/1000*$J$8</f>
        <v>0</v>
      </c>
      <c r="H73" s="35">
        <f>SUMIF(Меню!$J$8:$DK$8,$C73,Меню!$J$106:$DK$106)/1000*$J$9</f>
        <v>0</v>
      </c>
      <c r="I73" s="36">
        <f t="shared" si="4"/>
        <v>0</v>
      </c>
      <c r="J73" s="33"/>
      <c r="K73" s="34"/>
    </row>
    <row r="74" spans="2:11" ht="15.75" x14ac:dyDescent="0.25">
      <c r="B74" s="64">
        <f t="shared" si="1"/>
        <v>62</v>
      </c>
      <c r="C74" s="32" t="str">
        <f>инфо!C78</f>
        <v>Кофе растворимый</v>
      </c>
      <c r="D74" s="33">
        <f>_xlfn.XLOOKUP($C74,Меню!$J$8:$DK$8,Меню!$J$107:$DK$107,"нет такого",,-1)</f>
        <v>1.5</v>
      </c>
      <c r="E74" s="35">
        <f>SUMIF(Меню!$J$8:$DK$8,$C74,Меню!$J$73:$DK$73)/1000*$J$6</f>
        <v>0.192</v>
      </c>
      <c r="F74" s="35">
        <f>SUMIF(Меню!$J$8:$DK$8,$C74,Меню!$J$88:$DK$88)/1000*J$7</f>
        <v>0</v>
      </c>
      <c r="G74" s="35">
        <f>SUMIF(Меню!$J$8:$DK$8,$C74,Меню!$J$101:$DK$101)/1000*$J$8</f>
        <v>0</v>
      </c>
      <c r="H74" s="35">
        <f>SUMIF(Меню!$J$8:$DK$8,$C74,Меню!$J$106:$DK$106)/1000*$J$9</f>
        <v>0</v>
      </c>
      <c r="I74" s="36">
        <f t="shared" si="4"/>
        <v>0.192</v>
      </c>
      <c r="J74" s="33"/>
      <c r="K74" s="34"/>
    </row>
    <row r="75" spans="2:11" ht="15.75" x14ac:dyDescent="0.25">
      <c r="B75" s="64">
        <f t="shared" si="1"/>
        <v>63</v>
      </c>
      <c r="C75" s="32" t="str">
        <f>инфо!C79</f>
        <v>Сок п/я</v>
      </c>
      <c r="D75" s="33">
        <f>_xlfn.XLOOKUP($C75,Меню!$J$8:$DK$8,Меню!$J$107:$DK$107,"нет такого",,-1)</f>
        <v>200</v>
      </c>
      <c r="E75" s="35">
        <f>SUMIF(Меню!$J$8:$DK$8,$C75,Меню!$J$73:$DK$73)/1000*$J$6</f>
        <v>0</v>
      </c>
      <c r="F75" s="35">
        <f>SUMIF(Меню!$J$8:$DK$8,$C75,Меню!$J$88:$DK$88)/1000*J$7</f>
        <v>0</v>
      </c>
      <c r="G75" s="35">
        <f>SUMIF(Меню!$J$8:$DK$8,$C75,Меню!$J$101:$DK$101)/1000*$J$8</f>
        <v>26</v>
      </c>
      <c r="H75" s="35">
        <f>SUMIF(Меню!$J$8:$DK$8,$C75,Меню!$J$106:$DK$106)/1000*$J$9</f>
        <v>0</v>
      </c>
      <c r="I75" s="36">
        <f t="shared" si="4"/>
        <v>26</v>
      </c>
      <c r="J75" s="33"/>
      <c r="K75" s="34"/>
    </row>
    <row r="76" spans="2:11" ht="15.75" x14ac:dyDescent="0.25">
      <c r="B76" s="64">
        <f t="shared" si="1"/>
        <v>64</v>
      </c>
      <c r="C76" s="32" t="str">
        <f>инфо!C80</f>
        <v>Кофе БС</v>
      </c>
      <c r="D76" s="33">
        <f>_xlfn.XLOOKUP($C76,Меню!$J$8:$DK$8,Меню!$J$107:$DK$107,"нет такого",,-1)</f>
        <v>0</v>
      </c>
      <c r="E76" s="35">
        <f>SUMIF(Меню!$J$8:$DK$8,$C76,Меню!$J$73:$DK$73)/1000*$J$6</f>
        <v>0</v>
      </c>
      <c r="F76" s="35">
        <f>SUMIF(Меню!$J$8:$DK$8,$C76,Меню!$J$88:$DK$88)/1000*J$7</f>
        <v>0</v>
      </c>
      <c r="G76" s="35">
        <f>SUMIF(Меню!$J$8:$DK$8,$C76,Меню!$J$101:$DK$101)/1000*$J$8</f>
        <v>0</v>
      </c>
      <c r="H76" s="35">
        <f>SUMIF(Меню!$J$8:$DK$8,$C76,Меню!$J$106:$DK$106)/1000*$J$9</f>
        <v>0</v>
      </c>
      <c r="I76" s="36">
        <f t="shared" si="4"/>
        <v>0</v>
      </c>
      <c r="J76" s="33"/>
      <c r="K76" s="34"/>
    </row>
    <row r="77" spans="2:11" ht="15.75" x14ac:dyDescent="0.25">
      <c r="B77" s="64">
        <f t="shared" si="1"/>
        <v>65</v>
      </c>
      <c r="C77" s="32" t="str">
        <f>инфо!C81</f>
        <v>Курага</v>
      </c>
      <c r="D77" s="33">
        <f>_xlfn.XLOOKUP($C77,Меню!$J$8:$DK$8,Меню!$J$107:$DK$107,"нет такого",,-1)</f>
        <v>8</v>
      </c>
      <c r="E77" s="35">
        <f>SUMIF(Меню!$J$8:$DK$8,$C77,Меню!$J$73:$DK$73)/1000*$J$6</f>
        <v>0</v>
      </c>
      <c r="F77" s="35">
        <f>SUMIF(Меню!$J$8:$DK$8,$C77,Меню!$J$88:$DK$88)/1000*J$7</f>
        <v>0.97599999999999998</v>
      </c>
      <c r="G77" s="35">
        <f>SUMIF(Меню!$J$8:$DK$8,$C77,Меню!$J$101:$DK$101)/1000*$J$8</f>
        <v>0</v>
      </c>
      <c r="H77" s="35">
        <f>SUMIF(Меню!$J$8:$DK$8,$C77,Меню!$J$106:$DK$106)/1000*$J$9</f>
        <v>0</v>
      </c>
      <c r="I77" s="36">
        <f t="shared" ref="I77:I92" si="5">SUM(E77:H77)</f>
        <v>0.97599999999999998</v>
      </c>
      <c r="J77" s="33"/>
      <c r="K77" s="34"/>
    </row>
    <row r="78" spans="2:11" ht="15.75" x14ac:dyDescent="0.25">
      <c r="B78" s="64">
        <f t="shared" si="1"/>
        <v>66</v>
      </c>
      <c r="C78" s="32" t="str">
        <f>инфо!C82</f>
        <v>Изюм</v>
      </c>
      <c r="D78" s="33">
        <f>_xlfn.XLOOKUP($C78,Меню!$J$8:$DK$8,Меню!$J$107:$DK$107,"нет такого",,-1)</f>
        <v>8</v>
      </c>
      <c r="E78" s="35">
        <f>SUMIF(Меню!$J$8:$DK$8,$C78,Меню!$J$73:$DK$73)/1000*$J$6</f>
        <v>0</v>
      </c>
      <c r="F78" s="35">
        <f>SUMIF(Меню!$J$8:$DK$8,$C78,Меню!$J$88:$DK$88)/1000*J$7</f>
        <v>0.97599999999999998</v>
      </c>
      <c r="G78" s="35">
        <f>SUMIF(Меню!$J$8:$DK$8,$C78,Меню!$J$101:$DK$101)/1000*$J$8</f>
        <v>0</v>
      </c>
      <c r="H78" s="35">
        <f>SUMIF(Меню!$J$8:$DK$8,$C78,Меню!$J$106:$DK$106)/1000*$J$9</f>
        <v>0</v>
      </c>
      <c r="I78" s="36">
        <f t="shared" si="5"/>
        <v>0.97599999999999998</v>
      </c>
      <c r="J78" s="33"/>
      <c r="K78" s="34"/>
    </row>
    <row r="79" spans="2:11" ht="15.75" x14ac:dyDescent="0.25">
      <c r="B79" s="64">
        <f t="shared" ref="B79:B104" si="6">B78+1</f>
        <v>67</v>
      </c>
      <c r="C79" s="32" t="str">
        <f>инфо!C83</f>
        <v>Чернослив</v>
      </c>
      <c r="D79" s="33">
        <f>_xlfn.XLOOKUP($C79,Меню!$J$8:$DK$8,Меню!$J$107:$DK$107,"нет такого",,-1)</f>
        <v>4</v>
      </c>
      <c r="E79" s="35">
        <f>SUMIF(Меню!$J$8:$DK$8,$C79,Меню!$J$73:$DK$73)/1000*$J$6</f>
        <v>0</v>
      </c>
      <c r="F79" s="35">
        <f>SUMIF(Меню!$J$8:$DK$8,$C79,Меню!$J$88:$DK$88)/1000*J$7</f>
        <v>0.48799999999999999</v>
      </c>
      <c r="G79" s="35">
        <f>SUMIF(Меню!$J$8:$DK$8,$C79,Меню!$J$101:$DK$101)/1000*$J$8</f>
        <v>0</v>
      </c>
      <c r="H79" s="35">
        <f>SUMIF(Меню!$J$8:$DK$8,$C79,Меню!$J$106:$DK$106)/1000*$J$9</f>
        <v>0</v>
      </c>
      <c r="I79" s="36">
        <f t="shared" si="5"/>
        <v>0.48799999999999999</v>
      </c>
      <c r="J79" s="33"/>
      <c r="K79" s="34"/>
    </row>
    <row r="80" spans="2:11" ht="15.75" x14ac:dyDescent="0.25">
      <c r="B80" s="64">
        <f t="shared" si="6"/>
        <v>68</v>
      </c>
      <c r="C80" s="32" t="str">
        <f>инфо!C84</f>
        <v>Вода</v>
      </c>
      <c r="D80" s="33">
        <f>_xlfn.XLOOKUP($C80,Меню!$J$8:$DK$8,Меню!$J$107:$DK$107,"нет такого",,-1)</f>
        <v>0</v>
      </c>
      <c r="E80" s="35">
        <f>SUMIF(Меню!$J$8:$DK$8,$C80,Меню!$J$73:$DK$73)/1000*$J$6</f>
        <v>0</v>
      </c>
      <c r="F80" s="35">
        <f>SUMIF(Меню!$J$8:$DK$8,$C80,Меню!$J$88:$DK$88)/1000*J$7</f>
        <v>0</v>
      </c>
      <c r="G80" s="35">
        <f>SUMIF(Меню!$J$8:$DK$8,$C80,Меню!$J$101:$DK$101)/1000*$J$8</f>
        <v>0</v>
      </c>
      <c r="H80" s="35">
        <f>SUMIF(Меню!$J$8:$DK$8,$C80,Меню!$J$106:$DK$106)/1000*$J$9</f>
        <v>0</v>
      </c>
      <c r="I80" s="36">
        <f t="shared" si="5"/>
        <v>0</v>
      </c>
      <c r="J80" s="33"/>
      <c r="K80" s="34"/>
    </row>
    <row r="81" spans="2:11" ht="15.75" x14ac:dyDescent="0.25">
      <c r="B81" s="64">
        <f t="shared" si="6"/>
        <v>69</v>
      </c>
      <c r="C81" s="32" t="str">
        <f>инфо!C85</f>
        <v>Прочие 1</v>
      </c>
      <c r="D81" s="33">
        <f>_xlfn.XLOOKUP($C81,Меню!$J$8:$DK$8,Меню!$J$107:$DK$107,"нет такого",,-1)</f>
        <v>0</v>
      </c>
      <c r="E81" s="35">
        <f>SUMIF(Меню!$J$8:$DK$8,$C81,Меню!$J$73:$DK$73)/1000*$J$6</f>
        <v>0</v>
      </c>
      <c r="F81" s="35">
        <f>SUMIF(Меню!$J$8:$DK$8,$C81,Меню!$J$88:$DK$88)/1000*J$7</f>
        <v>0</v>
      </c>
      <c r="G81" s="35">
        <f>SUMIF(Меню!$J$8:$DK$8,$C81,Меню!$J$101:$DK$101)/1000*$J$8</f>
        <v>0</v>
      </c>
      <c r="H81" s="35">
        <f>SUMIF(Меню!$J$8:$DK$8,$C81,Меню!$J$106:$DK$106)/1000*$J$9</f>
        <v>0</v>
      </c>
      <c r="I81" s="36">
        <f t="shared" si="5"/>
        <v>0</v>
      </c>
      <c r="J81" s="33"/>
      <c r="K81" s="34"/>
    </row>
    <row r="82" spans="2:11" ht="15.75" x14ac:dyDescent="0.25">
      <c r="B82" s="64">
        <f t="shared" si="6"/>
        <v>70</v>
      </c>
      <c r="C82" s="32" t="str">
        <f>инфо!C86</f>
        <v>Апельсины</v>
      </c>
      <c r="D82" s="33">
        <f>_xlfn.XLOOKUP($C82,Меню!$J$8:$DK$8,Меню!$J$107:$DK$107,"нет такого",,-1)</f>
        <v>0</v>
      </c>
      <c r="E82" s="35">
        <f>SUMIF(Меню!$J$8:$DK$8,$C82,Меню!$J$73:$DK$73)/1000*$J$6</f>
        <v>0</v>
      </c>
      <c r="F82" s="35">
        <f>SUMIF(Меню!$J$8:$DK$8,$C82,Меню!$J$88:$DK$88)/1000*J$7</f>
        <v>0</v>
      </c>
      <c r="G82" s="35">
        <f>SUMIF(Меню!$J$8:$DK$8,$C82,Меню!$J$101:$DK$101)/1000*$J$8</f>
        <v>0</v>
      </c>
      <c r="H82" s="35">
        <f>SUMIF(Меню!$J$8:$DK$8,$C82,Меню!$J$106:$DK$106)/1000*$J$9</f>
        <v>0</v>
      </c>
      <c r="I82" s="36">
        <f t="shared" si="5"/>
        <v>0</v>
      </c>
      <c r="J82" s="33"/>
      <c r="K82" s="34"/>
    </row>
    <row r="83" spans="2:11" ht="15.75" x14ac:dyDescent="0.25">
      <c r="B83" s="64">
        <f t="shared" si="6"/>
        <v>71</v>
      </c>
      <c r="C83" s="32" t="str">
        <f>инфо!C87</f>
        <v>Вафли</v>
      </c>
      <c r="D83" s="33">
        <f>_xlfn.XLOOKUP($C83,Меню!$J$8:$DK$8,Меню!$J$107:$DK$107,"нет такого",,-1)</f>
        <v>0</v>
      </c>
      <c r="E83" s="35">
        <f>SUMIF(Меню!$J$8:$DK$8,$C83,Меню!$J$73:$DK$73)/1000*$J$6</f>
        <v>0</v>
      </c>
      <c r="F83" s="35">
        <f>SUMIF(Меню!$J$8:$DK$8,$C83,Меню!$J$88:$DK$88)/1000*J$7</f>
        <v>0</v>
      </c>
      <c r="G83" s="35">
        <f>SUMIF(Меню!$J$8:$DK$8,$C83,Меню!$J$101:$DK$101)/1000*$J$8</f>
        <v>0</v>
      </c>
      <c r="H83" s="35">
        <f>SUMIF(Меню!$J$8:$DK$8,$C83,Меню!$J$106:$DK$106)/1000*$J$9</f>
        <v>0</v>
      </c>
      <c r="I83" s="36">
        <f t="shared" si="5"/>
        <v>0</v>
      </c>
      <c r="J83" s="33"/>
      <c r="K83" s="34"/>
    </row>
    <row r="84" spans="2:11" ht="15.75" x14ac:dyDescent="0.25">
      <c r="B84" s="64">
        <f t="shared" si="6"/>
        <v>72</v>
      </c>
      <c r="C84" s="32" t="str">
        <f>инфо!C88</f>
        <v>Карамель</v>
      </c>
      <c r="D84" s="33">
        <f>_xlfn.XLOOKUP($C84,Меню!$J$8:$DK$8,Меню!$J$107:$DK$107,"нет такого",,-1)</f>
        <v>20</v>
      </c>
      <c r="E84" s="35">
        <f>SUMIF(Меню!$J$8:$DK$8,$C84,Меню!$J$73:$DK$73)/1000*$J$6</f>
        <v>0</v>
      </c>
      <c r="F84" s="35">
        <f>SUMIF(Меню!$J$8:$DK$8,$C84,Меню!$J$88:$DK$88)/1000*J$7</f>
        <v>2.44</v>
      </c>
      <c r="G84" s="35">
        <f>SUMIF(Меню!$J$8:$DK$8,$C84,Меню!$J$101:$DK$101)/1000*$J$8</f>
        <v>0</v>
      </c>
      <c r="H84" s="35">
        <f>SUMIF(Меню!$J$8:$DK$8,$C84,Меню!$J$106:$DK$106)/1000*$J$9</f>
        <v>0</v>
      </c>
      <c r="I84" s="36">
        <f t="shared" si="5"/>
        <v>2.44</v>
      </c>
      <c r="J84" s="33"/>
      <c r="K84" s="34"/>
    </row>
    <row r="85" spans="2:11" ht="15.75" x14ac:dyDescent="0.25">
      <c r="B85" s="64">
        <f t="shared" si="6"/>
        <v>73</v>
      </c>
      <c r="C85" s="32" t="str">
        <f>инфо!C89</f>
        <v>Конфеты шоколадные</v>
      </c>
      <c r="D85" s="33">
        <f>_xlfn.XLOOKUP($C85,Меню!$J$8:$DK$8,Меню!$J$107:$DK$107,"нет такого",,-1)</f>
        <v>0</v>
      </c>
      <c r="E85" s="35">
        <f>SUMIF(Меню!$J$8:$DK$8,$C85,Меню!$J$73:$DK$73)/1000*$J$6</f>
        <v>0</v>
      </c>
      <c r="F85" s="35">
        <f>SUMIF(Меню!$J$8:$DK$8,$C85,Меню!$J$88:$DK$88)/1000*J$7</f>
        <v>0</v>
      </c>
      <c r="G85" s="35">
        <f>SUMIF(Меню!$J$8:$DK$8,$C85,Меню!$J$101:$DK$101)/1000*$J$8</f>
        <v>0</v>
      </c>
      <c r="H85" s="35">
        <f>SUMIF(Меню!$J$8:$DK$8,$C85,Меню!$J$106:$DK$106)/1000*$J$9</f>
        <v>0</v>
      </c>
      <c r="I85" s="36">
        <f t="shared" si="5"/>
        <v>0</v>
      </c>
      <c r="J85" s="33"/>
      <c r="K85" s="34"/>
    </row>
    <row r="86" spans="2:11" ht="15.75" x14ac:dyDescent="0.25">
      <c r="B86" s="64">
        <f t="shared" si="6"/>
        <v>74</v>
      </c>
      <c r="C86" s="32" t="str">
        <f>инфо!C90</f>
        <v>Яблоки свежие</v>
      </c>
      <c r="D86" s="33">
        <f>_xlfn.XLOOKUP($C86,Меню!$J$8:$DK$8,Меню!$J$107:$DK$107,"нет такого",,-1)</f>
        <v>0</v>
      </c>
      <c r="E86" s="35">
        <f>SUMIF(Меню!$J$8:$DK$8,$C86,Меню!$J$73:$DK$73)/1000*$J$6</f>
        <v>0</v>
      </c>
      <c r="F86" s="35">
        <f>SUMIF(Меню!$J$8:$DK$8,$C86,Меню!$J$88:$DK$88)/1000*J$7</f>
        <v>0</v>
      </c>
      <c r="G86" s="35">
        <f>SUMIF(Меню!$J$8:$DK$8,$C86,Меню!$J$101:$DK$101)/1000*$J$8</f>
        <v>0</v>
      </c>
      <c r="H86" s="35">
        <f>SUMIF(Меню!$J$8:$DK$8,$C86,Меню!$J$106:$DK$106)/1000*$J$9</f>
        <v>0</v>
      </c>
      <c r="I86" s="36">
        <f t="shared" si="5"/>
        <v>0</v>
      </c>
      <c r="J86" s="33"/>
      <c r="K86" s="34"/>
    </row>
    <row r="87" spans="2:11" ht="15.75" x14ac:dyDescent="0.25">
      <c r="B87" s="64">
        <f t="shared" si="6"/>
        <v>75</v>
      </c>
      <c r="C87" s="32" t="str">
        <f>инфо!C91</f>
        <v>Печенье</v>
      </c>
      <c r="D87" s="33">
        <f>_xlfn.XLOOKUP($C87,Меню!$J$8:$DK$8,Меню!$J$107:$DK$107,"нет такого",,-1)</f>
        <v>0</v>
      </c>
      <c r="E87" s="35">
        <f>SUMIF(Меню!$J$8:$DK$8,$C87,Меню!$J$73:$DK$73)/1000*$J$6</f>
        <v>0</v>
      </c>
      <c r="F87" s="35">
        <f>SUMIF(Меню!$J$8:$DK$8,$C87,Меню!$J$88:$DK$88)/1000*J$7</f>
        <v>0</v>
      </c>
      <c r="G87" s="35">
        <f>SUMIF(Меню!$J$8:$DK$8,$C87,Меню!$J$101:$DK$101)/1000*$J$8</f>
        <v>0</v>
      </c>
      <c r="H87" s="35">
        <f>SUMIF(Меню!$J$8:$DK$8,$C87,Меню!$J$106:$DK$106)/1000*$J$9</f>
        <v>0</v>
      </c>
      <c r="I87" s="36">
        <f t="shared" si="5"/>
        <v>0</v>
      </c>
      <c r="J87" s="33"/>
      <c r="K87" s="34"/>
    </row>
    <row r="88" spans="2:11" ht="15.75" x14ac:dyDescent="0.25">
      <c r="B88" s="64">
        <f t="shared" si="6"/>
        <v>76</v>
      </c>
      <c r="C88" s="32" t="str">
        <f>инфо!C92</f>
        <v>Печенье БС</v>
      </c>
      <c r="D88" s="33">
        <f>_xlfn.XLOOKUP($C88,Меню!$J$8:$DK$8,Меню!$J$107:$DK$107,"нет такого",,-1)</f>
        <v>0</v>
      </c>
      <c r="E88" s="35">
        <f>SUMIF(Меню!$J$8:$DK$8,$C88,Меню!$J$73:$DK$73)/1000*$J$6</f>
        <v>0</v>
      </c>
      <c r="F88" s="35">
        <f>SUMIF(Меню!$J$8:$DK$8,$C88,Меню!$J$88:$DK$88)/1000*J$7</f>
        <v>0</v>
      </c>
      <c r="G88" s="35">
        <f>SUMIF(Меню!$J$8:$DK$8,$C88,Меню!$J$101:$DK$101)/1000*$J$8</f>
        <v>0</v>
      </c>
      <c r="H88" s="35">
        <f>SUMIF(Меню!$J$8:$DK$8,$C88,Меню!$J$106:$DK$106)/1000*$J$9</f>
        <v>0</v>
      </c>
      <c r="I88" s="36">
        <f t="shared" si="5"/>
        <v>0</v>
      </c>
      <c r="J88" s="33"/>
      <c r="K88" s="34"/>
    </row>
    <row r="89" spans="2:11" ht="15.75" x14ac:dyDescent="0.25">
      <c r="B89" s="64">
        <f t="shared" si="6"/>
        <v>77</v>
      </c>
      <c r="C89" s="32" t="str">
        <f>инфо!C93</f>
        <v>Пряники, печенье</v>
      </c>
      <c r="D89" s="33">
        <f>_xlfn.XLOOKUP($C89,Меню!$J$8:$DK$8,Меню!$J$107:$DK$107,"нет такого",,-1)</f>
        <v>0</v>
      </c>
      <c r="E89" s="35">
        <f>SUMIF(Меню!$J$8:$DK$8,$C89,Меню!$J$73:$DK$73)/1000*$J$6</f>
        <v>0</v>
      </c>
      <c r="F89" s="35">
        <f>SUMIF(Меню!$J$8:$DK$8,$C89,Меню!$J$88:$DK$88)/1000*J$7</f>
        <v>0</v>
      </c>
      <c r="G89" s="35">
        <f>SUMIF(Меню!$J$8:$DK$8,$C89,Меню!$J$101:$DK$101)/1000*$J$8</f>
        <v>0</v>
      </c>
      <c r="H89" s="35">
        <f>SUMIF(Меню!$J$8:$DK$8,$C89,Меню!$J$106:$DK$106)/1000*$J$9</f>
        <v>0</v>
      </c>
      <c r="I89" s="36">
        <f t="shared" si="5"/>
        <v>0</v>
      </c>
      <c r="J89" s="33"/>
      <c r="K89" s="34"/>
    </row>
    <row r="90" spans="2:11" ht="15.75" x14ac:dyDescent="0.25">
      <c r="B90" s="64">
        <f t="shared" si="6"/>
        <v>78</v>
      </c>
      <c r="C90" s="32" t="str">
        <f>инфо!C94</f>
        <v>Сок яблочный</v>
      </c>
      <c r="D90" s="33">
        <f>_xlfn.XLOOKUP($C90,Меню!$J$8:$DK$8,Меню!$J$107:$DK$107,"нет такого",,-1)</f>
        <v>0</v>
      </c>
      <c r="E90" s="35">
        <f>SUMIF(Меню!$J$8:$DK$8,$C90,Меню!$J$73:$DK$73)/1000*$J$6</f>
        <v>0</v>
      </c>
      <c r="F90" s="35">
        <f>SUMIF(Меню!$J$8:$DK$8,$C90,Меню!$J$88:$DK$88)/1000*J$7</f>
        <v>0</v>
      </c>
      <c r="G90" s="35">
        <f>SUMIF(Меню!$J$8:$DK$8,$C90,Меню!$J$101:$DK$101)/1000*$J$8</f>
        <v>0</v>
      </c>
      <c r="H90" s="35">
        <f>SUMIF(Меню!$J$8:$DK$8,$C90,Меню!$J$106:$DK$106)/1000*$J$9</f>
        <v>0</v>
      </c>
      <c r="I90" s="36">
        <f t="shared" si="5"/>
        <v>0</v>
      </c>
      <c r="J90" s="33"/>
      <c r="K90" s="34"/>
    </row>
    <row r="91" spans="2:11" ht="15.75" x14ac:dyDescent="0.25">
      <c r="B91" s="64">
        <f t="shared" si="6"/>
        <v>79</v>
      </c>
      <c r="C91" s="32" t="str">
        <f>инфо!C95</f>
        <v>Доп.продукт 1</v>
      </c>
      <c r="D91" s="33">
        <f>_xlfn.XLOOKUP($C91,Меню!$J$8:$DK$8,Меню!$J$107:$DK$107,"нет такого",,-1)</f>
        <v>0</v>
      </c>
      <c r="E91" s="35">
        <f>SUMIF(Меню!$J$8:$DK$8,$C91,Меню!$J$73:$DK$73)/1000*$J$6</f>
        <v>0</v>
      </c>
      <c r="F91" s="35">
        <f>SUMIF(Меню!$J$8:$DK$8,$C91,Меню!$J$88:$DK$88)/1000*J$7</f>
        <v>0</v>
      </c>
      <c r="G91" s="35">
        <f>SUMIF(Меню!$J$8:$DK$8,$C91,Меню!$J$101:$DK$101)/1000*$J$8</f>
        <v>0</v>
      </c>
      <c r="H91" s="35">
        <f>SUMIF(Меню!$J$8:$DK$8,$C91,Меню!$J$106:$DK$106)/1000*$J$9</f>
        <v>0</v>
      </c>
      <c r="I91" s="36">
        <f t="shared" si="5"/>
        <v>0</v>
      </c>
      <c r="J91" s="33"/>
      <c r="K91" s="34"/>
    </row>
    <row r="92" spans="2:11" ht="15.75" x14ac:dyDescent="0.25">
      <c r="B92" s="64">
        <f t="shared" si="6"/>
        <v>80</v>
      </c>
      <c r="C92" s="32" t="str">
        <f>инфо!C96</f>
        <v>Доп.продукт 2</v>
      </c>
      <c r="D92" s="33">
        <f>_xlfn.XLOOKUP($C92,Меню!$J$8:$DK$8,Меню!$J$107:$DK$107,"нет такого",,-1)</f>
        <v>0</v>
      </c>
      <c r="E92" s="35">
        <f>SUMIF(Меню!$J$8:$DK$8,$C92,Меню!$J$73:$DK$73)/1000*$J$6</f>
        <v>0</v>
      </c>
      <c r="F92" s="35">
        <f>SUMIF(Меню!$J$8:$DK$8,$C92,Меню!$J$88:$DK$88)/1000*J$7</f>
        <v>0</v>
      </c>
      <c r="G92" s="35">
        <f>SUMIF(Меню!$J$8:$DK$8,$C92,Меню!$J$101:$DK$101)/1000*$J$8</f>
        <v>0</v>
      </c>
      <c r="H92" s="35">
        <f>SUMIF(Меню!$J$8:$DK$8,$C92,Меню!$J$106:$DK$106)/1000*$J$9</f>
        <v>0</v>
      </c>
      <c r="I92" s="36">
        <f t="shared" si="5"/>
        <v>0</v>
      </c>
      <c r="J92" s="33"/>
      <c r="K92" s="34"/>
    </row>
    <row r="93" spans="2:11" ht="15.75" x14ac:dyDescent="0.25">
      <c r="B93" s="64">
        <f t="shared" si="6"/>
        <v>81</v>
      </c>
      <c r="C93" s="32" t="str">
        <f>инфо!C97</f>
        <v>Доп.продукт 3</v>
      </c>
      <c r="D93" s="33">
        <f>_xlfn.XLOOKUP($C93,Меню!$J$8:$DK$8,Меню!$J$107:$DK$107,"нет такого",,-1)</f>
        <v>0</v>
      </c>
      <c r="E93" s="35">
        <f>SUMIF(Меню!$J$8:$DK$8,$C93,Меню!$J$73:$DK$73)/1000*$J$6</f>
        <v>0</v>
      </c>
      <c r="F93" s="35">
        <f>SUMIF(Меню!$J$8:$DK$8,$C93,Меню!$J$88:$DK$88)/1000*J$7</f>
        <v>0</v>
      </c>
      <c r="G93" s="35">
        <f>SUMIF(Меню!$J$8:$DK$8,$C93,Меню!$J$101:$DK$101)/1000*$J$8</f>
        <v>0</v>
      </c>
      <c r="H93" s="35">
        <f>SUMIF(Меню!$J$8:$DK$8,$C93,Меню!$J$106:$DK$106)/1000*$J$9</f>
        <v>0</v>
      </c>
      <c r="I93" s="36">
        <f t="shared" ref="I93:I104" si="7">SUM(E93:H93)</f>
        <v>0</v>
      </c>
      <c r="J93" s="33"/>
      <c r="K93" s="34"/>
    </row>
    <row r="94" spans="2:11" ht="15.75" x14ac:dyDescent="0.25">
      <c r="B94" s="64">
        <f t="shared" si="6"/>
        <v>82</v>
      </c>
      <c r="C94" s="32" t="str">
        <f>инфо!C98</f>
        <v>Доп.продукт 4</v>
      </c>
      <c r="D94" s="33">
        <f>_xlfn.XLOOKUP($C94,Меню!$J$8:$DK$8,Меню!$J$107:$DK$107,"нет такого",,-1)</f>
        <v>0</v>
      </c>
      <c r="E94" s="35">
        <f>SUMIF(Меню!$J$8:$DK$8,$C94,Меню!$J$73:$DK$73)/1000*$J$6</f>
        <v>0</v>
      </c>
      <c r="F94" s="35">
        <f>SUMIF(Меню!$J$8:$DK$8,$C94,Меню!$J$88:$DK$88)/1000*J$7</f>
        <v>0</v>
      </c>
      <c r="G94" s="35">
        <f>SUMIF(Меню!$J$8:$DK$8,$C94,Меню!$J$101:$DK$101)/1000*$J$8</f>
        <v>0</v>
      </c>
      <c r="H94" s="35">
        <f>SUMIF(Меню!$J$8:$DK$8,$C94,Меню!$J$106:$DK$106)/1000*$J$9</f>
        <v>0</v>
      </c>
      <c r="I94" s="36">
        <f t="shared" si="7"/>
        <v>0</v>
      </c>
      <c r="J94" s="33"/>
      <c r="K94" s="34"/>
    </row>
    <row r="95" spans="2:11" ht="15.75" x14ac:dyDescent="0.25">
      <c r="B95" s="64">
        <f t="shared" si="6"/>
        <v>83</v>
      </c>
      <c r="C95" s="32" t="str">
        <f>инфо!C99</f>
        <v>Доп.продукт 5</v>
      </c>
      <c r="D95" s="33">
        <f>_xlfn.XLOOKUP($C95,Меню!$J$8:$DK$8,Меню!$J$107:$DK$107,"нет такого",,-1)</f>
        <v>0</v>
      </c>
      <c r="E95" s="35">
        <f>SUMIF(Меню!$J$8:$DK$8,$C95,Меню!$J$73:$DK$73)/1000*$J$6</f>
        <v>0</v>
      </c>
      <c r="F95" s="35">
        <f>SUMIF(Меню!$J$8:$DK$8,$C95,Меню!$J$88:$DK$88)/1000*J$7</f>
        <v>0</v>
      </c>
      <c r="G95" s="35">
        <f>SUMIF(Меню!$J$8:$DK$8,$C95,Меню!$J$101:$DK$101)/1000*$J$8</f>
        <v>0</v>
      </c>
      <c r="H95" s="35">
        <f>SUMIF(Меню!$J$8:$DK$8,$C95,Меню!$J$106:$DK$106)/1000*$J$9</f>
        <v>0</v>
      </c>
      <c r="I95" s="36">
        <f t="shared" si="7"/>
        <v>0</v>
      </c>
      <c r="J95" s="33"/>
      <c r="K95" s="34"/>
    </row>
    <row r="96" spans="2:11" ht="15.75" x14ac:dyDescent="0.25">
      <c r="B96" s="64">
        <f t="shared" si="6"/>
        <v>84</v>
      </c>
      <c r="C96" s="32" t="str">
        <f>инфо!C100</f>
        <v>Новый продукт</v>
      </c>
      <c r="D96" s="33">
        <f>_xlfn.XLOOKUP($C96,Меню!$J$8:$DK$8,Меню!$J$107:$DK$107,"нет такого",,-1)</f>
        <v>0</v>
      </c>
      <c r="E96" s="35">
        <f>SUMIF(Меню!$J$8:$DK$8,$C96,Меню!$J$73:$DK$73)/1000*$J$6</f>
        <v>0</v>
      </c>
      <c r="F96" s="35">
        <f>SUMIF(Меню!$J$8:$DK$8,$C96,Меню!$J$88:$DK$88)/1000*J$7</f>
        <v>0</v>
      </c>
      <c r="G96" s="35">
        <f>SUMIF(Меню!$J$8:$DK$8,$C96,Меню!$J$101:$DK$101)/1000*$J$8</f>
        <v>0</v>
      </c>
      <c r="H96" s="35">
        <f>SUMIF(Меню!$J$8:$DK$8,$C96,Меню!$J$106:$DK$106)/1000*$J$9</f>
        <v>0</v>
      </c>
      <c r="I96" s="36">
        <f t="shared" si="7"/>
        <v>0</v>
      </c>
      <c r="J96" s="33"/>
      <c r="K96" s="34"/>
    </row>
    <row r="97" spans="2:11" ht="15.75" x14ac:dyDescent="0.25">
      <c r="B97" s="64">
        <f t="shared" si="6"/>
        <v>85</v>
      </c>
      <c r="C97" s="32" t="str">
        <f>инфо!C101</f>
        <v>Новый продукт</v>
      </c>
      <c r="D97" s="33">
        <f>_xlfn.XLOOKUP($C97,Меню!$J$8:$DK$8,Меню!$J$107:$DK$107,"нет такого",,-1)</f>
        <v>0</v>
      </c>
      <c r="E97" s="35">
        <f>SUMIF(Меню!$J$8:$DK$8,$C97,Меню!$J$73:$DK$73)/1000*$J$6</f>
        <v>0</v>
      </c>
      <c r="F97" s="35">
        <f>SUMIF(Меню!$J$8:$DK$8,$C97,Меню!$J$88:$DK$88)/1000*J$7</f>
        <v>0</v>
      </c>
      <c r="G97" s="35">
        <f>SUMIF(Меню!$J$8:$DK$8,$C97,Меню!$J$101:$DK$101)/1000*$J$8</f>
        <v>0</v>
      </c>
      <c r="H97" s="35">
        <f>SUMIF(Меню!$J$8:$DK$8,$C97,Меню!$J$106:$DK$106)/1000*$J$9</f>
        <v>0</v>
      </c>
      <c r="I97" s="36">
        <f t="shared" si="7"/>
        <v>0</v>
      </c>
      <c r="J97" s="33"/>
      <c r="K97" s="34"/>
    </row>
    <row r="98" spans="2:11" ht="15.75" x14ac:dyDescent="0.25">
      <c r="B98" s="64">
        <f t="shared" si="6"/>
        <v>86</v>
      </c>
      <c r="C98" s="32" t="str">
        <f>инфо!C102</f>
        <v>Новый продукт</v>
      </c>
      <c r="D98" s="33">
        <f>_xlfn.XLOOKUP($C98,Меню!$J$8:$DK$8,Меню!$J$107:$DK$107,"нет такого",,-1)</f>
        <v>0</v>
      </c>
      <c r="E98" s="35">
        <f>SUMIF(Меню!$J$8:$DK$8,$C98,Меню!$J$73:$DK$73)/1000*$J$6</f>
        <v>0</v>
      </c>
      <c r="F98" s="35">
        <f>SUMIF(Меню!$J$8:$DK$8,$C98,Меню!$J$88:$DK$88)/1000*J$7</f>
        <v>0</v>
      </c>
      <c r="G98" s="35">
        <f>SUMIF(Меню!$J$8:$DK$8,$C98,Меню!$J$101:$DK$101)/1000*$J$8</f>
        <v>0</v>
      </c>
      <c r="H98" s="35">
        <f>SUMIF(Меню!$J$8:$DK$8,$C98,Меню!$J$106:$DK$106)/1000*$J$9</f>
        <v>0</v>
      </c>
      <c r="I98" s="36">
        <f t="shared" si="7"/>
        <v>0</v>
      </c>
      <c r="J98" s="33"/>
      <c r="K98" s="34"/>
    </row>
    <row r="99" spans="2:11" ht="15.75" x14ac:dyDescent="0.25">
      <c r="B99" s="64">
        <f t="shared" si="6"/>
        <v>87</v>
      </c>
      <c r="C99" s="32" t="str">
        <f>инфо!C103</f>
        <v>Новый продукт</v>
      </c>
      <c r="D99" s="33">
        <f>_xlfn.XLOOKUP($C99,Меню!$J$8:$DK$8,Меню!$J$107:$DK$107,"нет такого",,-1)</f>
        <v>0</v>
      </c>
      <c r="E99" s="35">
        <f>SUMIF(Меню!$J$8:$DK$8,$C99,Меню!$J$73:$DK$73)/1000*$J$6</f>
        <v>0</v>
      </c>
      <c r="F99" s="35">
        <f>SUMIF(Меню!$J$8:$DK$8,$C99,Меню!$J$88:$DK$88)/1000*J$7</f>
        <v>0</v>
      </c>
      <c r="G99" s="35">
        <f>SUMIF(Меню!$J$8:$DK$8,$C99,Меню!$J$101:$DK$101)/1000*$J$8</f>
        <v>0</v>
      </c>
      <c r="H99" s="35">
        <f>SUMIF(Меню!$J$8:$DK$8,$C99,Меню!$J$106:$DK$106)/1000*$J$9</f>
        <v>0</v>
      </c>
      <c r="I99" s="36">
        <f t="shared" si="7"/>
        <v>0</v>
      </c>
      <c r="J99" s="33"/>
      <c r="K99" s="34"/>
    </row>
    <row r="100" spans="2:11" ht="15.75" x14ac:dyDescent="0.25">
      <c r="B100" s="64">
        <f t="shared" si="6"/>
        <v>88</v>
      </c>
      <c r="C100" s="32" t="str">
        <f>инфо!C104</f>
        <v>Новый продукт</v>
      </c>
      <c r="D100" s="33">
        <f>_xlfn.XLOOKUP($C100,Меню!$J$8:$DK$8,Меню!$J$107:$DK$107,"нет такого",,-1)</f>
        <v>0</v>
      </c>
      <c r="E100" s="35">
        <f>SUMIF(Меню!$J$8:$DK$8,$C100,Меню!$J$73:$DK$73)/1000*$J$6</f>
        <v>0</v>
      </c>
      <c r="F100" s="35">
        <f>SUMIF(Меню!$J$8:$DK$8,$C100,Меню!$J$88:$DK$88)/1000*J$7</f>
        <v>0</v>
      </c>
      <c r="G100" s="35">
        <f>SUMIF(Меню!$J$8:$DK$8,$C100,Меню!$J$101:$DK$101)/1000*$J$8</f>
        <v>0</v>
      </c>
      <c r="H100" s="35">
        <f>SUMIF(Меню!$J$8:$DK$8,$C100,Меню!$J$106:$DK$106)/1000*$J$9</f>
        <v>0</v>
      </c>
      <c r="I100" s="36">
        <f t="shared" si="7"/>
        <v>0</v>
      </c>
      <c r="J100" s="33"/>
      <c r="K100" s="34"/>
    </row>
    <row r="101" spans="2:11" ht="15.75" x14ac:dyDescent="0.25">
      <c r="B101" s="64">
        <f t="shared" si="6"/>
        <v>89</v>
      </c>
      <c r="C101" s="32" t="str">
        <f>инфо!C105</f>
        <v>Новый продукт</v>
      </c>
      <c r="D101" s="33">
        <f>_xlfn.XLOOKUP($C101,Меню!$J$8:$DK$8,Меню!$J$107:$DK$107,"нет такого",,-1)</f>
        <v>0</v>
      </c>
      <c r="E101" s="35">
        <f>SUMIF(Меню!$J$8:$DK$8,$C101,Меню!$J$73:$DK$73)/1000*$J$6</f>
        <v>0</v>
      </c>
      <c r="F101" s="35">
        <f>SUMIF(Меню!$J$8:$DK$8,$C101,Меню!$J$88:$DK$88)/1000*J$7</f>
        <v>0</v>
      </c>
      <c r="G101" s="35">
        <f>SUMIF(Меню!$J$8:$DK$8,$C101,Меню!$J$101:$DK$101)/1000*$J$8</f>
        <v>0</v>
      </c>
      <c r="H101" s="35">
        <f>SUMIF(Меню!$J$8:$DK$8,$C101,Меню!$J$106:$DK$106)/1000*$J$9</f>
        <v>0</v>
      </c>
      <c r="I101" s="36">
        <f t="shared" si="7"/>
        <v>0</v>
      </c>
      <c r="J101" s="33"/>
      <c r="K101" s="34"/>
    </row>
    <row r="102" spans="2:11" ht="15.75" x14ac:dyDescent="0.25">
      <c r="B102" s="64">
        <f t="shared" si="6"/>
        <v>90</v>
      </c>
      <c r="C102" s="32" t="str">
        <f>инфо!C106</f>
        <v>Новый продукт</v>
      </c>
      <c r="D102" s="33">
        <f>_xlfn.XLOOKUP($C102,Меню!$J$8:$DK$8,Меню!$J$107:$DK$107,"нет такого",,-1)</f>
        <v>0</v>
      </c>
      <c r="E102" s="35">
        <f>SUMIF(Меню!$J$8:$DK$8,$C102,Меню!$J$73:$DK$73)/1000*$J$6</f>
        <v>0</v>
      </c>
      <c r="F102" s="35">
        <f>SUMIF(Меню!$J$8:$DK$8,$C102,Меню!$J$88:$DK$88)/1000*J$7</f>
        <v>0</v>
      </c>
      <c r="G102" s="35">
        <f>SUMIF(Меню!$J$8:$DK$8,$C102,Меню!$J$101:$DK$101)/1000*$J$8</f>
        <v>0</v>
      </c>
      <c r="H102" s="35">
        <f>SUMIF(Меню!$J$8:$DK$8,$C102,Меню!$J$106:$DK$106)/1000*$J$9</f>
        <v>0</v>
      </c>
      <c r="I102" s="36">
        <f t="shared" si="7"/>
        <v>0</v>
      </c>
      <c r="J102" s="33"/>
      <c r="K102" s="34"/>
    </row>
    <row r="103" spans="2:11" ht="15.75" x14ac:dyDescent="0.25">
      <c r="B103" s="64">
        <f t="shared" si="6"/>
        <v>91</v>
      </c>
      <c r="C103" s="32" t="str">
        <f>инфо!C107</f>
        <v>Новый продукт</v>
      </c>
      <c r="D103" s="33">
        <f>_xlfn.XLOOKUP($C103,Меню!$J$8:$DK$8,Меню!$J$107:$DK$107,"нет такого",,-1)</f>
        <v>0</v>
      </c>
      <c r="E103" s="35">
        <f>SUMIF(Меню!$J$8:$DK$8,$C103,Меню!$J$73:$DK$73)/1000*$J$6</f>
        <v>0</v>
      </c>
      <c r="F103" s="35">
        <f>SUMIF(Меню!$J$8:$DK$8,$C103,Меню!$J$88:$DK$88)/1000*J$7</f>
        <v>0</v>
      </c>
      <c r="G103" s="35">
        <f>SUMIF(Меню!$J$8:$DK$8,$C103,Меню!$J$101:$DK$101)/1000*$J$8</f>
        <v>0</v>
      </c>
      <c r="H103" s="35">
        <f>SUMIF(Меню!$J$8:$DK$8,$C103,Меню!$J$106:$DK$106)/1000*$J$9</f>
        <v>0</v>
      </c>
      <c r="I103" s="36">
        <f t="shared" si="7"/>
        <v>0</v>
      </c>
      <c r="J103" s="33"/>
      <c r="K103" s="34"/>
    </row>
    <row r="104" spans="2:11" ht="15.75" x14ac:dyDescent="0.25">
      <c r="B104" s="64">
        <f t="shared" si="6"/>
        <v>92</v>
      </c>
      <c r="C104" s="32" t="str">
        <f>инфо!C108</f>
        <v>Новый продукт</v>
      </c>
      <c r="D104" s="33">
        <f>_xlfn.XLOOKUP($C104,Меню!$J$8:$DK$8,Меню!$J$107:$DK$107,"нет такого",,-1)</f>
        <v>0</v>
      </c>
      <c r="E104" s="35">
        <f>SUMIF(Меню!$J$8:$DK$8,$C104,Меню!$J$73:$DK$73)/1000*$J$6</f>
        <v>0</v>
      </c>
      <c r="F104" s="35">
        <f>SUMIF(Меню!$J$8:$DK$8,$C104,Меню!$J$88:$DK$88)/1000*J$7</f>
        <v>0</v>
      </c>
      <c r="G104" s="35">
        <f>SUMIF(Меню!$J$8:$DK$8,$C104,Меню!$J$101:$DK$101)/1000*$J$8</f>
        <v>0</v>
      </c>
      <c r="H104" s="35">
        <f>SUMIF(Меню!$J$8:$DK$8,$C104,Меню!$J$106:$DK$106)/1000*$J$9</f>
        <v>0</v>
      </c>
      <c r="I104" s="36">
        <f t="shared" si="7"/>
        <v>0</v>
      </c>
      <c r="J104" s="33"/>
      <c r="K104" s="34"/>
    </row>
    <row r="105" spans="2:11" ht="15.75" x14ac:dyDescent="0.25">
      <c r="B105" s="64">
        <v>68</v>
      </c>
      <c r="C105" s="32" t="str">
        <f>Меню!DL6</f>
        <v>ОКГ</v>
      </c>
      <c r="D105" s="33">
        <f>Меню!DL28</f>
        <v>425</v>
      </c>
      <c r="E105" s="33"/>
      <c r="F105" s="33"/>
      <c r="G105" s="33"/>
      <c r="H105" s="33"/>
      <c r="I105" s="36">
        <f>SUM(D105)</f>
        <v>425</v>
      </c>
      <c r="J105" s="33"/>
      <c r="K105" s="34"/>
    </row>
    <row r="106" spans="2:11" ht="15.75" x14ac:dyDescent="0.25">
      <c r="B106" s="64">
        <v>69</v>
      </c>
      <c r="C106" s="32" t="s">
        <v>166</v>
      </c>
      <c r="D106" s="33">
        <v>5.4000000000000003E-3</v>
      </c>
      <c r="E106" s="33"/>
      <c r="F106" s="33"/>
      <c r="G106" s="33"/>
      <c r="H106" s="33"/>
      <c r="I106" s="36">
        <f>SUM(D106)</f>
        <v>5.4000000000000003E-3</v>
      </c>
      <c r="J106" s="33"/>
      <c r="K106" s="34"/>
    </row>
    <row r="107" spans="2:11" ht="15.75" x14ac:dyDescent="0.25">
      <c r="B107" s="64">
        <v>70</v>
      </c>
      <c r="C107" s="32" t="s">
        <v>167</v>
      </c>
      <c r="D107" s="33">
        <v>1.75E-3</v>
      </c>
      <c r="E107" s="33"/>
      <c r="F107" s="33"/>
      <c r="G107" s="33"/>
      <c r="H107" s="33"/>
      <c r="I107" s="36">
        <f>SUM(D107)</f>
        <v>1.75E-3</v>
      </c>
      <c r="J107" s="33"/>
      <c r="K107" s="34"/>
    </row>
    <row r="108" spans="2:11" ht="15.75" thickBot="1" x14ac:dyDescent="0.3">
      <c r="B108" s="199" t="s">
        <v>276</v>
      </c>
      <c r="C108" s="65"/>
      <c r="D108" s="65">
        <f>COUNTIF(I13:I107,"&gt;0")</f>
        <v>33</v>
      </c>
      <c r="E108" s="65"/>
      <c r="F108" s="65"/>
      <c r="G108" s="65"/>
      <c r="H108" s="65"/>
      <c r="I108" s="65"/>
      <c r="J108" s="65"/>
      <c r="K108" s="66"/>
    </row>
    <row r="109" spans="2:11" x14ac:dyDescent="0.25">
      <c r="B109" s="37"/>
      <c r="C109" s="27"/>
      <c r="D109" s="38"/>
      <c r="E109" s="38"/>
      <c r="F109" s="38"/>
      <c r="G109" s="38"/>
      <c r="H109" s="38"/>
      <c r="I109" s="63"/>
      <c r="J109" s="37"/>
      <c r="K109" s="38"/>
    </row>
    <row r="110" spans="2:11" x14ac:dyDescent="0.25">
      <c r="B110" s="37"/>
      <c r="C110" s="758"/>
      <c r="D110" s="758"/>
      <c r="E110" s="758"/>
      <c r="F110" s="758"/>
      <c r="G110" s="758"/>
      <c r="H110" s="758"/>
      <c r="I110" s="758"/>
      <c r="J110" s="40"/>
      <c r="K110" s="38"/>
    </row>
    <row r="111" spans="2:11" x14ac:dyDescent="0.25">
      <c r="B111" s="38"/>
      <c r="C111" s="27"/>
      <c r="D111" s="38"/>
      <c r="E111" s="38"/>
      <c r="F111" s="38"/>
      <c r="G111" s="38"/>
      <c r="H111" s="38"/>
      <c r="I111" s="41"/>
      <c r="J111" s="38"/>
      <c r="K111" s="38"/>
    </row>
    <row r="112" spans="2:11" x14ac:dyDescent="0.25">
      <c r="B112" s="38"/>
      <c r="C112" s="27" t="s">
        <v>252</v>
      </c>
      <c r="D112" s="40"/>
      <c r="E112" s="27" t="s">
        <v>253</v>
      </c>
      <c r="F112" s="40"/>
      <c r="G112" s="40"/>
      <c r="H112" s="40"/>
      <c r="I112" s="40"/>
      <c r="J112" s="38"/>
      <c r="K112" s="38"/>
    </row>
    <row r="113" spans="2:11" x14ac:dyDescent="0.25">
      <c r="B113" s="38"/>
      <c r="C113" s="42"/>
      <c r="D113" s="37"/>
      <c r="E113" s="43"/>
      <c r="F113" s="43"/>
      <c r="G113" s="43"/>
      <c r="H113" s="43"/>
      <c r="I113" s="44"/>
      <c r="J113" s="43"/>
      <c r="K113" s="43"/>
    </row>
    <row r="114" spans="2:11" x14ac:dyDescent="0.25">
      <c r="B114" s="37"/>
      <c r="C114" s="45"/>
      <c r="D114" s="46"/>
      <c r="E114" s="88" t="s">
        <v>168</v>
      </c>
      <c r="F114" s="48"/>
      <c r="G114" s="47"/>
      <c r="H114" s="49" t="s">
        <v>169</v>
      </c>
      <c r="I114" s="48"/>
      <c r="J114" s="47" t="s">
        <v>170</v>
      </c>
      <c r="K114" s="48"/>
    </row>
    <row r="115" spans="2:11" ht="15.75" x14ac:dyDescent="0.25">
      <c r="B115" s="50"/>
      <c r="C115" s="51" t="s">
        <v>250</v>
      </c>
      <c r="D115" s="151" t="s">
        <v>248</v>
      </c>
      <c r="E115" s="52"/>
      <c r="F115" s="53"/>
      <c r="G115" s="52"/>
      <c r="H115" s="54"/>
      <c r="I115" s="55"/>
      <c r="J115" s="54"/>
      <c r="K115" s="53"/>
    </row>
    <row r="116" spans="2:11" ht="15.75" x14ac:dyDescent="0.25">
      <c r="B116" s="50"/>
      <c r="C116" s="51" t="s">
        <v>251</v>
      </c>
      <c r="D116" s="151" t="s">
        <v>249</v>
      </c>
      <c r="E116" s="52"/>
      <c r="F116" s="53"/>
      <c r="G116" s="52"/>
      <c r="H116" s="54"/>
      <c r="I116" s="55"/>
      <c r="J116" s="54"/>
      <c r="K116" s="53"/>
    </row>
    <row r="117" spans="2:11" x14ac:dyDescent="0.25">
      <c r="B117" s="50"/>
      <c r="C117" s="56" t="s">
        <v>171</v>
      </c>
      <c r="D117" s="57"/>
      <c r="E117" s="58"/>
      <c r="F117" s="57"/>
      <c r="G117" s="58"/>
      <c r="H117" s="39"/>
      <c r="I117" s="59"/>
      <c r="J117" s="39"/>
      <c r="K117" s="57"/>
    </row>
    <row r="118" spans="2:11" x14ac:dyDescent="0.25">
      <c r="B118" s="50"/>
      <c r="C118" s="60" t="s">
        <v>172</v>
      </c>
      <c r="D118" s="46"/>
      <c r="E118" s="61"/>
      <c r="F118" s="46"/>
      <c r="G118" s="61"/>
      <c r="H118" s="43"/>
      <c r="I118" s="62"/>
      <c r="J118" s="43"/>
      <c r="K118" s="46"/>
    </row>
  </sheetData>
  <mergeCells count="10">
    <mergeCell ref="I11:I12"/>
    <mergeCell ref="J11:J12"/>
    <mergeCell ref="K11:K12"/>
    <mergeCell ref="C110:I110"/>
    <mergeCell ref="E4:F4"/>
    <mergeCell ref="H7:H8"/>
    <mergeCell ref="B11:B12"/>
    <mergeCell ref="C11:C12"/>
    <mergeCell ref="D11:D12"/>
    <mergeCell ref="E11:H11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92C02-4736-432A-B620-27535A920565}">
          <x14:formula1>
            <xm:f>инфо!$K$2:$K$20</xm:f>
          </x14:formula1>
          <xm:sqref>E112</xm:sqref>
        </x14:dataValidation>
        <x14:dataValidation type="list" allowBlank="1" showInputMessage="1" showErrorMessage="1" xr:uid="{27FB48AD-2C44-47CA-9CBC-9C3C59B27494}">
          <x14:formula1>
            <xm:f>инфо!$K$1:$K$20</xm:f>
          </x14:formula1>
          <xm:sqref>D115:D116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E69C6-3C61-4305-BE7D-2033D7FCC120}">
  <sheetPr codeName="Лист10">
    <pageSetUpPr fitToPage="1"/>
  </sheetPr>
  <dimension ref="B1:K118"/>
  <sheetViews>
    <sheetView showGridLines="0" zoomScale="90" zoomScaleNormal="90" workbookViewId="0">
      <pane ySplit="12" topLeftCell="A94" activePane="bottomLeft" state="frozen"/>
      <selection pane="bottomLeft" activeCell="N112" sqref="N112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97"/>
      <c r="C1" s="98"/>
      <c r="D1" s="97"/>
      <c r="E1" s="97"/>
      <c r="F1" s="97"/>
      <c r="G1" s="97"/>
      <c r="H1" s="97"/>
      <c r="I1" s="99"/>
      <c r="J1" s="23"/>
      <c r="K1" s="114" t="s">
        <v>156</v>
      </c>
    </row>
    <row r="2" spans="2:11" ht="15.75" x14ac:dyDescent="0.25">
      <c r="B2" s="100"/>
      <c r="C2" s="101"/>
      <c r="D2" s="100"/>
      <c r="E2" s="102" t="s">
        <v>215</v>
      </c>
      <c r="F2" s="100"/>
      <c r="G2" s="103">
        <v>305</v>
      </c>
      <c r="H2" s="104"/>
      <c r="I2" s="105"/>
      <c r="J2" s="24"/>
      <c r="K2" s="23"/>
    </row>
    <row r="3" spans="2:11" ht="15.75" x14ac:dyDescent="0.25">
      <c r="B3" s="106"/>
      <c r="C3" s="96"/>
      <c r="D3" s="107"/>
      <c r="E3" s="107" t="s">
        <v>216</v>
      </c>
      <c r="F3" s="107"/>
      <c r="G3" s="108"/>
      <c r="H3" s="108"/>
      <c r="I3" s="107"/>
      <c r="J3" s="26"/>
      <c r="K3" s="23"/>
    </row>
    <row r="4" spans="2:11" ht="15.75" x14ac:dyDescent="0.25">
      <c r="B4" s="106"/>
      <c r="C4" s="109"/>
      <c r="D4" s="110"/>
      <c r="E4" s="757">
        <f>Меню!C108</f>
        <v>45119</v>
      </c>
      <c r="F4" s="757"/>
      <c r="G4" s="111" t="s">
        <v>277</v>
      </c>
      <c r="H4" s="96"/>
      <c r="I4" s="99"/>
      <c r="J4" s="23"/>
      <c r="K4" s="23"/>
    </row>
    <row r="5" spans="2:11" ht="23.25" customHeight="1" x14ac:dyDescent="0.25">
      <c r="B5" s="106"/>
      <c r="C5" s="96"/>
      <c r="D5" s="96"/>
      <c r="E5" s="97"/>
      <c r="F5" s="97"/>
      <c r="G5" s="97"/>
      <c r="H5" s="112"/>
      <c r="I5" s="113"/>
      <c r="J5" s="90" t="s">
        <v>10</v>
      </c>
      <c r="K5" s="91" t="s">
        <v>157</v>
      </c>
    </row>
    <row r="6" spans="2:11" ht="17.25" customHeight="1" thickBot="1" x14ac:dyDescent="0.3">
      <c r="B6" s="25"/>
      <c r="E6" s="23"/>
      <c r="F6" s="23"/>
      <c r="G6" s="23"/>
      <c r="H6" s="89"/>
      <c r="I6" s="92" t="s">
        <v>12</v>
      </c>
      <c r="J6" s="95">
        <f>Обложка!H22</f>
        <v>115</v>
      </c>
      <c r="K6" s="95">
        <f>Обложка!I22</f>
        <v>20</v>
      </c>
    </row>
    <row r="7" spans="2:11" ht="17.25" customHeight="1" x14ac:dyDescent="0.25">
      <c r="B7" s="25"/>
      <c r="D7" s="23"/>
      <c r="E7" s="23"/>
      <c r="F7" s="23"/>
      <c r="G7" s="23"/>
      <c r="H7" s="765" t="s">
        <v>158</v>
      </c>
      <c r="I7" s="93" t="s">
        <v>13</v>
      </c>
      <c r="J7" s="95">
        <f>Обложка!H23</f>
        <v>115</v>
      </c>
      <c r="K7" s="95">
        <f>Обложка!I23</f>
        <v>20</v>
      </c>
    </row>
    <row r="8" spans="2:11" ht="17.25" customHeight="1" x14ac:dyDescent="0.25">
      <c r="B8" s="25"/>
      <c r="D8" s="23"/>
      <c r="E8" s="23"/>
      <c r="F8" s="23"/>
      <c r="G8" s="23"/>
      <c r="H8" s="766"/>
      <c r="I8" s="94" t="s">
        <v>165</v>
      </c>
      <c r="J8" s="95">
        <f>Обложка!H24</f>
        <v>115</v>
      </c>
      <c r="K8" s="95">
        <f>Обложка!I24</f>
        <v>20</v>
      </c>
    </row>
    <row r="9" spans="2:11" ht="27" customHeight="1" thickBot="1" x14ac:dyDescent="0.3">
      <c r="B9" s="25"/>
      <c r="C9" s="202" t="s">
        <v>279</v>
      </c>
      <c r="D9" s="23"/>
      <c r="E9" s="23"/>
      <c r="F9" s="23"/>
      <c r="G9" s="23"/>
      <c r="H9" s="119">
        <f>J6*0.25+J7*0.4+J8*0.35</f>
        <v>115</v>
      </c>
      <c r="I9" s="94" t="s">
        <v>217</v>
      </c>
      <c r="J9" s="95">
        <f>Обложка!H25</f>
        <v>115</v>
      </c>
      <c r="K9" s="95">
        <f>Обложка!I25</f>
        <v>20</v>
      </c>
    </row>
    <row r="10" spans="2:11" ht="15.75" thickBot="1" x14ac:dyDescent="0.3">
      <c r="B10" s="29"/>
      <c r="C10" s="30"/>
      <c r="D10" s="29"/>
      <c r="E10" s="29"/>
      <c r="F10" s="123"/>
      <c r="G10" s="29"/>
      <c r="H10" s="29"/>
      <c r="I10" s="31"/>
      <c r="J10" s="29"/>
      <c r="K10" s="28"/>
    </row>
    <row r="11" spans="2:11" ht="30" customHeight="1" x14ac:dyDescent="0.25">
      <c r="B11" s="752" t="s">
        <v>159</v>
      </c>
      <c r="C11" s="750" t="s">
        <v>160</v>
      </c>
      <c r="D11" s="759" t="s">
        <v>463</v>
      </c>
      <c r="E11" s="754" t="s">
        <v>161</v>
      </c>
      <c r="F11" s="755"/>
      <c r="G11" s="755"/>
      <c r="H11" s="756"/>
      <c r="I11" s="761" t="s">
        <v>162</v>
      </c>
      <c r="J11" s="763" t="s">
        <v>163</v>
      </c>
      <c r="K11" s="748" t="s">
        <v>164</v>
      </c>
    </row>
    <row r="12" spans="2:11" ht="26.25" thickBot="1" x14ac:dyDescent="0.3">
      <c r="B12" s="753"/>
      <c r="C12" s="751"/>
      <c r="D12" s="760"/>
      <c r="E12" s="200" t="s">
        <v>133</v>
      </c>
      <c r="F12" s="200" t="s">
        <v>134</v>
      </c>
      <c r="G12" s="201" t="s">
        <v>139</v>
      </c>
      <c r="H12" s="67" t="s">
        <v>192</v>
      </c>
      <c r="I12" s="762"/>
      <c r="J12" s="764"/>
      <c r="K12" s="749"/>
    </row>
    <row r="13" spans="2:11" ht="15.75" x14ac:dyDescent="0.25">
      <c r="B13" s="690">
        <v>1</v>
      </c>
      <c r="C13" s="691" t="str">
        <f>инфо!C2</f>
        <v>Горох</v>
      </c>
      <c r="D13" s="692">
        <f>_xlfn.XLOOKUP($C13,Меню!$J$8:$DK$8,Меню!$J$152:$DK$152,"нет такого",,-1)</f>
        <v>0</v>
      </c>
      <c r="E13" s="693">
        <f>SUMIF(Меню!$J$8:$DK$8,$C13,Меню!$J$118:$DK$118)/1000*$J$6</f>
        <v>0</v>
      </c>
      <c r="F13" s="693">
        <f>SUMIF(Меню!$J$8:$DK$8,$C13,Меню!$J$133:$DK$133)/1000*J$7</f>
        <v>0</v>
      </c>
      <c r="G13" s="693">
        <f>SUMIF(Меню!$J$8:$DK$8,$C13,Меню!$J$146:$DK$146)/1000*$J$8</f>
        <v>0</v>
      </c>
      <c r="H13" s="693">
        <f>SUMIF(Меню!$J$8:$DK$8,$C13,Меню!$J$151:$DK$151)/1000*$J$9</f>
        <v>0</v>
      </c>
      <c r="I13" s="694">
        <f>SUM(E13:H13)</f>
        <v>0</v>
      </c>
      <c r="J13" s="692"/>
      <c r="K13" s="695"/>
    </row>
    <row r="14" spans="2:11" ht="15.75" x14ac:dyDescent="0.25">
      <c r="B14" s="64">
        <f>B13+1</f>
        <v>2</v>
      </c>
      <c r="C14" s="32" t="str">
        <f>инфо!C3</f>
        <v>Гречневая</v>
      </c>
      <c r="D14" s="1040">
        <f>_xlfn.XLOOKUP($C14,Меню!$J$8:$DK$8,Меню!$J$152:$DK$152,"нет такого",,-1)</f>
        <v>0</v>
      </c>
      <c r="E14" s="1041">
        <f>SUMIF(Меню!$J$8:$DK$8,$C14,Меню!$J$118:$DK$118)/1000*$J$6</f>
        <v>0</v>
      </c>
      <c r="F14" s="1041">
        <f>SUMIF(Меню!$J$8:$DK$8,$C14,Меню!$J$133:$DK$133)/1000*J$7</f>
        <v>0</v>
      </c>
      <c r="G14" s="1041">
        <f>SUMIF(Меню!$J$8:$DK$8,$C14,Меню!$J$146:$DK$146)/1000*$J$8</f>
        <v>0</v>
      </c>
      <c r="H14" s="1041">
        <f>SUMIF(Меню!$J$8:$DK$8,$C14,Меню!$J$151:$DK$151)/1000*$J$9</f>
        <v>0</v>
      </c>
      <c r="I14" s="36">
        <f t="shared" ref="I14:I53" si="0">SUM(E14:H14)</f>
        <v>0</v>
      </c>
      <c r="J14" s="33"/>
      <c r="K14" s="34"/>
    </row>
    <row r="15" spans="2:11" ht="15.75" x14ac:dyDescent="0.25">
      <c r="B15" s="64">
        <f t="shared" ref="B15:B78" si="1">B14+1</f>
        <v>3</v>
      </c>
      <c r="C15" s="32" t="str">
        <f>инфо!C4</f>
        <v>Манная</v>
      </c>
      <c r="D15" s="33">
        <f>_xlfn.XLOOKUP($C15,Меню!$J$8:$DK$8,Меню!$J$152:$DK$152,"нет такого",,-1)</f>
        <v>0</v>
      </c>
      <c r="E15" s="35">
        <f>SUMIF(Меню!$J$8:$DK$8,$C15,Меню!$J$118:$DK$118)/1000*$J$6</f>
        <v>0</v>
      </c>
      <c r="F15" s="35">
        <f>SUMIF(Меню!$J$8:$DK$8,$C15,Меню!$J$133:$DK$133)/1000*J$7</f>
        <v>0</v>
      </c>
      <c r="G15" s="35">
        <f>SUMIF(Меню!$J$8:$DK$8,$C15,Меню!$J$146:$DK$146)/1000*$J$8</f>
        <v>0</v>
      </c>
      <c r="H15" s="35">
        <f>SUMIF(Меню!$J$8:$DK$8,$C15,Меню!$J$151:$DK$151)/1000*$J$9</f>
        <v>0</v>
      </c>
      <c r="I15" s="36">
        <f t="shared" si="0"/>
        <v>0</v>
      </c>
      <c r="J15" s="33"/>
      <c r="K15" s="34"/>
    </row>
    <row r="16" spans="2:11" ht="15.75" x14ac:dyDescent="0.25">
      <c r="B16" s="64">
        <f t="shared" si="1"/>
        <v>4</v>
      </c>
      <c r="C16" s="32" t="str">
        <f>инфо!C5</f>
        <v>Овсяная</v>
      </c>
      <c r="D16" s="33">
        <f>_xlfn.XLOOKUP($C16,Меню!$J$8:$DK$8,Меню!$J$152:$DK$152,"нет такого",,-1)</f>
        <v>0</v>
      </c>
      <c r="E16" s="35">
        <f>SUMIF(Меню!$J$8:$DK$8,$C16,Меню!$J$118:$DK$118)/1000*$J$6</f>
        <v>0</v>
      </c>
      <c r="F16" s="35">
        <f>SUMIF(Меню!$J$8:$DK$8,$C16,Меню!$J$133:$DK$133)/1000*J$7</f>
        <v>0</v>
      </c>
      <c r="G16" s="35">
        <f>SUMIF(Меню!$J$8:$DK$8,$C16,Меню!$J$146:$DK$146)/1000*$J$8</f>
        <v>0</v>
      </c>
      <c r="H16" s="35">
        <f>SUMIF(Меню!$J$8:$DK$8,$C16,Меню!$J$151:$DK$151)/1000*$J$9</f>
        <v>0</v>
      </c>
      <c r="I16" s="35">
        <f t="shared" si="0"/>
        <v>0</v>
      </c>
      <c r="J16" s="33"/>
      <c r="K16" s="34"/>
    </row>
    <row r="17" spans="2:11" ht="15.75" x14ac:dyDescent="0.25">
      <c r="B17" s="64">
        <f t="shared" si="1"/>
        <v>5</v>
      </c>
      <c r="C17" s="32" t="str">
        <f>инфо!C6</f>
        <v>Перловая</v>
      </c>
      <c r="D17" s="33">
        <f>_xlfn.XLOOKUP($C17,Меню!$J$8:$DK$8,Меню!$J$152:$DK$152,"нет такого",,-1)</f>
        <v>0</v>
      </c>
      <c r="E17" s="35">
        <f>SUMIF(Меню!$J$8:$DK$8,$C17,Меню!$J$118:$DK$118)/1000*$J$6</f>
        <v>0</v>
      </c>
      <c r="F17" s="35">
        <f>SUMIF(Меню!$J$8:$DK$8,$C17,Меню!$J$133:$DK$133)/1000*J$7</f>
        <v>0</v>
      </c>
      <c r="G17" s="35">
        <f>SUMIF(Меню!$J$8:$DK$8,$C17,Меню!$J$146:$DK$146)/1000*$J$8</f>
        <v>0</v>
      </c>
      <c r="H17" s="35">
        <f>SUMIF(Меню!$J$8:$DK$8,$C17,Меню!$J$151:$DK$151)/1000*$J$9</f>
        <v>0</v>
      </c>
      <c r="I17" s="35">
        <f t="shared" si="0"/>
        <v>0</v>
      </c>
      <c r="J17" s="33"/>
      <c r="K17" s="34"/>
    </row>
    <row r="18" spans="2:11" ht="15.75" x14ac:dyDescent="0.25">
      <c r="B18" s="64">
        <f t="shared" si="1"/>
        <v>6</v>
      </c>
      <c r="C18" s="32" t="str">
        <f>инфо!C7</f>
        <v>Пшено</v>
      </c>
      <c r="D18" s="33">
        <f>_xlfn.XLOOKUP($C18,Меню!$J$8:$DK$8,Меню!$J$152:$DK$152,"нет такого",,-1)</f>
        <v>0</v>
      </c>
      <c r="E18" s="35">
        <f>SUMIF(Меню!$J$8:$DK$8,$C18,Меню!$J$118:$DK$118)/1000*$J$6</f>
        <v>0</v>
      </c>
      <c r="F18" s="35">
        <f>SUMIF(Меню!$J$8:$DK$8,$C18,Меню!$J$133:$DK$133)/1000*J$7</f>
        <v>0</v>
      </c>
      <c r="G18" s="35">
        <f>SUMIF(Меню!$J$8:$DK$8,$C18,Меню!$J$146:$DK$146)/1000*$J$8</f>
        <v>0</v>
      </c>
      <c r="H18" s="35">
        <f>SUMIF(Меню!$J$8:$DK$8,$C18,Меню!$J$151:$DK$151)/1000*$J$9</f>
        <v>0</v>
      </c>
      <c r="I18" s="36">
        <f t="shared" si="0"/>
        <v>0</v>
      </c>
      <c r="J18" s="33"/>
      <c r="K18" s="34"/>
    </row>
    <row r="19" spans="2:11" ht="15.75" x14ac:dyDescent="0.25">
      <c r="B19" s="64">
        <f t="shared" si="1"/>
        <v>7</v>
      </c>
      <c r="C19" s="32" t="str">
        <f>инфо!C8</f>
        <v>Рис</v>
      </c>
      <c r="D19" s="33">
        <f>_xlfn.XLOOKUP($C19,Меню!$J$8:$DK$8,Меню!$J$152:$DK$152,"нет такого",,-1)</f>
        <v>80</v>
      </c>
      <c r="E19" s="35">
        <f>SUMIF(Меню!$J$8:$DK$8,$C19,Меню!$J$118:$DK$118)/1000*$J$6</f>
        <v>0</v>
      </c>
      <c r="F19" s="35">
        <f>SUMIF(Меню!$J$8:$DK$8,$C19,Меню!$J$133:$DK$133)/1000*J$7</f>
        <v>0</v>
      </c>
      <c r="G19" s="35">
        <f>SUMIF(Меню!$J$8:$DK$8,$C19,Меню!$J$146:$DK$146)/1000*$J$8</f>
        <v>9.2000000000000011</v>
      </c>
      <c r="H19" s="35">
        <f>SUMIF(Меню!$J$8:$DK$8,$C19,Меню!$J$151:$DK$151)/1000*$J$9</f>
        <v>0</v>
      </c>
      <c r="I19" s="36">
        <f t="shared" si="0"/>
        <v>9.2000000000000011</v>
      </c>
      <c r="J19" s="33"/>
      <c r="K19" s="34" t="s">
        <v>123</v>
      </c>
    </row>
    <row r="20" spans="2:11" ht="15.75" x14ac:dyDescent="0.25">
      <c r="B20" s="64">
        <f t="shared" si="1"/>
        <v>8</v>
      </c>
      <c r="C20" s="32" t="str">
        <f>инфо!C9</f>
        <v>Ячневая</v>
      </c>
      <c r="D20" s="33">
        <f>_xlfn.XLOOKUP($C20,Меню!$J$8:$DK$8,Меню!$J$152:$DK$152,"нет такого",,-1)</f>
        <v>75</v>
      </c>
      <c r="E20" s="35">
        <f>SUMIF(Меню!$J$8:$DK$8,$C20,Меню!$J$118:$DK$118)/1000*$J$6</f>
        <v>8.625</v>
      </c>
      <c r="F20" s="35">
        <f>SUMIF(Меню!$J$8:$DK$8,$C20,Меню!$J$133:$DK$133)/1000*J$7</f>
        <v>0</v>
      </c>
      <c r="G20" s="35">
        <f>SUMIF(Меню!$J$8:$DK$8,$C20,Меню!$J$146:$DK$146)/1000*$J$8</f>
        <v>0</v>
      </c>
      <c r="H20" s="35">
        <f>SUMIF(Меню!$J$8:$DK$8,$C20,Меню!$J$151:$DK$151)/1000*$J$9</f>
        <v>0</v>
      </c>
      <c r="I20" s="36">
        <f t="shared" si="0"/>
        <v>8.625</v>
      </c>
      <c r="J20" s="33"/>
      <c r="K20" s="34"/>
    </row>
    <row r="21" spans="2:11" ht="15.75" x14ac:dyDescent="0.25">
      <c r="B21" s="64">
        <f t="shared" si="1"/>
        <v>9</v>
      </c>
      <c r="C21" s="32" t="str">
        <f>инфо!C10</f>
        <v>Фасоль</v>
      </c>
      <c r="D21" s="33">
        <f>_xlfn.XLOOKUP($C21,Меню!$J$8:$DK$8,Меню!$J$152:$DK$152,"нет такого",,-1)</f>
        <v>0</v>
      </c>
      <c r="E21" s="35">
        <f>SUMIF(Меню!$J$8:$DK$8,$C21,Меню!$J$118:$DK$118)/1000*$J$6</f>
        <v>0</v>
      </c>
      <c r="F21" s="35">
        <f>SUMIF(Меню!$J$8:$DK$8,$C21,Меню!$J$133:$DK$133)/1000*J$7</f>
        <v>0</v>
      </c>
      <c r="G21" s="35">
        <f>SUMIF(Меню!$J$8:$DK$8,$C21,Меню!$J$146:$DK$146)/1000*$J$8</f>
        <v>0</v>
      </c>
      <c r="H21" s="35">
        <f>SUMIF(Меню!$J$8:$DK$8,$C21,Меню!$J$151:$DK$151)/1000*$J$9</f>
        <v>0</v>
      </c>
      <c r="I21" s="36">
        <f t="shared" si="0"/>
        <v>0</v>
      </c>
      <c r="J21" s="33"/>
      <c r="K21" s="34"/>
    </row>
    <row r="22" spans="2:11" ht="15.75" x14ac:dyDescent="0.25">
      <c r="B22" s="64">
        <f t="shared" si="1"/>
        <v>10</v>
      </c>
      <c r="C22" s="32" t="str">
        <f>инфо!C11</f>
        <v>Крупа 1</v>
      </c>
      <c r="D22" s="33">
        <f>_xlfn.XLOOKUP($C22,Меню!$J$8:$DK$8,Меню!$J$152:$DK$152,"нет такого",,-1)</f>
        <v>0</v>
      </c>
      <c r="E22" s="35">
        <f>SUMIF(Меню!$J$8:$DK$8,$C22,Меню!$J$118:$DK$118)/1000*$J$6</f>
        <v>0</v>
      </c>
      <c r="F22" s="35">
        <f>SUMIF(Меню!$J$8:$DK$8,$C22,Меню!$J$133:$DK$133)/1000*J$7</f>
        <v>0</v>
      </c>
      <c r="G22" s="35">
        <f>SUMIF(Меню!$J$8:$DK$8,$C22,Меню!$J$146:$DK$146)/1000*$J$8</f>
        <v>0</v>
      </c>
      <c r="H22" s="35">
        <f>SUMIF(Меню!$J$8:$DK$8,$C22,Меню!$J$151:$DK$151)/1000*$J$9</f>
        <v>0</v>
      </c>
      <c r="I22" s="36">
        <f t="shared" si="0"/>
        <v>0</v>
      </c>
      <c r="J22" s="33"/>
      <c r="K22" s="34"/>
    </row>
    <row r="23" spans="2:11" ht="15.75" x14ac:dyDescent="0.25">
      <c r="B23" s="64">
        <f t="shared" si="1"/>
        <v>11</v>
      </c>
      <c r="C23" s="32" t="str">
        <f>инфо!C12</f>
        <v>Макаронные изделия</v>
      </c>
      <c r="D23" s="33">
        <f>_xlfn.XLOOKUP($C23,Меню!$J$8:$DK$8,Меню!$J$152:$DK$152,"нет такого",,-1)</f>
        <v>77</v>
      </c>
      <c r="E23" s="35">
        <f>SUMIF(Меню!$J$8:$DK$8,$C23,Меню!$J$118:$DK$118)/1000*$J$6</f>
        <v>0</v>
      </c>
      <c r="F23" s="35">
        <f>SUMIF(Меню!$J$8:$DK$8,$C23,Меню!$J$133:$DK$133)/1000*J$7</f>
        <v>8.8550000000000004</v>
      </c>
      <c r="G23" s="35">
        <f>SUMIF(Меню!$J$8:$DK$8,$C23,Меню!$J$146:$DK$146)/1000*$J$8</f>
        <v>0</v>
      </c>
      <c r="H23" s="35">
        <f>SUMIF(Меню!$J$8:$DK$8,$C23,Меню!$J$151:$DK$151)/1000*$J$9</f>
        <v>0</v>
      </c>
      <c r="I23" s="36">
        <f t="shared" si="0"/>
        <v>8.8550000000000004</v>
      </c>
      <c r="J23" s="33"/>
      <c r="K23" s="34"/>
    </row>
    <row r="24" spans="2:11" ht="15.75" x14ac:dyDescent="0.25">
      <c r="B24" s="64">
        <f t="shared" si="1"/>
        <v>12</v>
      </c>
      <c r="C24" s="32" t="str">
        <f>инфо!C13</f>
        <v>Горошек, фасоль, кукуруза консервированные</v>
      </c>
      <c r="D24" s="33">
        <f>_xlfn.XLOOKUP($C24,Меню!$J$8:$DK$8,Меню!$J$152:$DK$152,"нет такого",,-1)</f>
        <v>20</v>
      </c>
      <c r="E24" s="35">
        <f>SUMIF(Меню!$J$8:$DK$8,$C24,Меню!$J$118:$DK$118)/1000*$J$6</f>
        <v>2.3000000000000003</v>
      </c>
      <c r="F24" s="35">
        <f>SUMIF(Меню!$J$8:$DK$8,$C24,Меню!$J$133:$DK$133)/1000*J$7</f>
        <v>0</v>
      </c>
      <c r="G24" s="35">
        <f>SUMIF(Меню!$J$8:$DK$8,$C24,Меню!$J$146:$DK$146)/1000*$J$8</f>
        <v>0</v>
      </c>
      <c r="H24" s="35">
        <f>SUMIF(Меню!$J$8:$DK$8,$C24,Меню!$J$151:$DK$151)/1000*$J$9</f>
        <v>0</v>
      </c>
      <c r="I24" s="36">
        <f t="shared" si="0"/>
        <v>2.3000000000000003</v>
      </c>
      <c r="J24" s="33"/>
      <c r="K24" s="34"/>
    </row>
    <row r="25" spans="2:11" ht="15.75" x14ac:dyDescent="0.25">
      <c r="B25" s="64">
        <f t="shared" si="1"/>
        <v>13</v>
      </c>
      <c r="C25" s="32" t="str">
        <f>инфо!C14</f>
        <v>Капуста свежая/кваш.</v>
      </c>
      <c r="D25" s="33">
        <f>_xlfn.XLOOKUP($C25,Меню!$J$8:$DK$8,Меню!$J$152:$DK$152,"нет такого",,-1)</f>
        <v>0</v>
      </c>
      <c r="E25" s="35">
        <f>SUMIF(Меню!$J$8:$DK$8,$C25,Меню!$J$118:$DK$118)/1000*$J$6</f>
        <v>0</v>
      </c>
      <c r="F25" s="35">
        <f>SUMIF(Меню!$J$8:$DK$8,$C25,Меню!$J$133:$DK$133)/1000*J$7</f>
        <v>5.6349999999999998</v>
      </c>
      <c r="G25" s="35">
        <f>SUMIF(Меню!$J$8:$DK$8,$C25,Меню!$J$146:$DK$146)/1000*$J$8</f>
        <v>0</v>
      </c>
      <c r="H25" s="35">
        <f>SUMIF(Меню!$J$8:$DK$8,$C25,Меню!$J$151:$DK$151)/1000*$J$9</f>
        <v>0</v>
      </c>
      <c r="I25" s="35">
        <f t="shared" si="0"/>
        <v>5.6349999999999998</v>
      </c>
      <c r="J25" s="33"/>
      <c r="K25" s="34"/>
    </row>
    <row r="26" spans="2:11" ht="15.75" x14ac:dyDescent="0.25">
      <c r="B26" s="64">
        <f t="shared" si="1"/>
        <v>14</v>
      </c>
      <c r="C26" s="32" t="str">
        <f>инфо!C15</f>
        <v>Картофель</v>
      </c>
      <c r="D26" s="33">
        <f>_xlfn.XLOOKUP($C26,Меню!$J$8:$DK$8,Меню!$J$152:$DK$152,"нет такого",,-1)</f>
        <v>315</v>
      </c>
      <c r="E26" s="35">
        <f>SUMIF(Меню!$J$8:$DK$8,$C26,Меню!$J$118:$DK$118)/1000*$J$6</f>
        <v>0</v>
      </c>
      <c r="F26" s="35">
        <f>SUMIF(Меню!$J$8:$DK$8,$C26,Меню!$J$133:$DK$133)/1000*J$7</f>
        <v>13.799999999999999</v>
      </c>
      <c r="G26" s="35">
        <f>SUMIF(Меню!$J$8:$DK$8,$C26,Меню!$J$146:$DK$146)/1000*$J$8</f>
        <v>22.425000000000001</v>
      </c>
      <c r="H26" s="35">
        <f>SUMIF(Меню!$J$8:$DK$8,$C26,Меню!$J$151:$DK$151)/1000*$J$9</f>
        <v>0</v>
      </c>
      <c r="I26" s="36">
        <f t="shared" si="0"/>
        <v>36.225000000000001</v>
      </c>
      <c r="J26" s="33"/>
      <c r="K26" s="34"/>
    </row>
    <row r="27" spans="2:11" ht="15.75" x14ac:dyDescent="0.25">
      <c r="B27" s="64">
        <f t="shared" si="1"/>
        <v>15</v>
      </c>
      <c r="C27" s="32" t="str">
        <f>инфо!C16</f>
        <v>Лук репчатый</v>
      </c>
      <c r="D27" s="33">
        <f>_xlfn.XLOOKUP($C27,Меню!$J$8:$DK$8,Меню!$J$152:$DK$152,"нет такого",,-1)</f>
        <v>20</v>
      </c>
      <c r="E27" s="35">
        <f>SUMIF(Меню!$J$8:$DK$8,$C27,Меню!$J$118:$DK$118)/1000*$J$6</f>
        <v>0</v>
      </c>
      <c r="F27" s="35">
        <f>SUMIF(Меню!$J$8:$DK$8,$C27,Меню!$J$133:$DK$133)/1000*J$7</f>
        <v>1.1500000000000001</v>
      </c>
      <c r="G27" s="35">
        <f>SUMIF(Меню!$J$8:$DK$8,$C27,Меню!$J$146:$DK$146)/1000*$J$8</f>
        <v>1.1500000000000001</v>
      </c>
      <c r="H27" s="35">
        <f>SUMIF(Меню!$J$8:$DK$8,$C27,Меню!$J$151:$DK$151)/1000*$J$9</f>
        <v>0</v>
      </c>
      <c r="I27" s="36">
        <f>SUM(E27:H27)</f>
        <v>2.3000000000000003</v>
      </c>
      <c r="J27" s="33"/>
      <c r="K27" s="34"/>
    </row>
    <row r="28" spans="2:11" ht="15.75" x14ac:dyDescent="0.25">
      <c r="B28" s="64">
        <f t="shared" si="1"/>
        <v>16</v>
      </c>
      <c r="C28" s="32" t="str">
        <f>инфо!C17</f>
        <v>Морковь</v>
      </c>
      <c r="D28" s="33">
        <f>_xlfn.XLOOKUP($C28,Меню!$J$8:$DK$8,Меню!$J$152:$DK$152,"нет такого",,-1)</f>
        <v>30</v>
      </c>
      <c r="E28" s="35">
        <f>SUMIF(Меню!$J$8:$DK$8,$C28,Меню!$J$118:$DK$118)/1000*$J$6</f>
        <v>0</v>
      </c>
      <c r="F28" s="35">
        <f>SUMIF(Меню!$J$8:$DK$8,$C28,Меню!$J$133:$DK$133)/1000*J$7</f>
        <v>1.7249999999999999</v>
      </c>
      <c r="G28" s="35">
        <f>SUMIF(Меню!$J$8:$DK$8,$C28,Меню!$J$146:$DK$146)/1000*$J$8</f>
        <v>1.7249999999999999</v>
      </c>
      <c r="H28" s="35">
        <f>SUMIF(Меню!$J$8:$DK$8,$C28,Меню!$J$151:$DK$151)/1000*$J$9</f>
        <v>0</v>
      </c>
      <c r="I28" s="36">
        <f>SUM(E28:H28)</f>
        <v>3.4499999999999997</v>
      </c>
      <c r="J28" s="33"/>
      <c r="K28" s="34"/>
    </row>
    <row r="29" spans="2:11" ht="15.75" x14ac:dyDescent="0.25">
      <c r="B29" s="64">
        <f t="shared" si="1"/>
        <v>17</v>
      </c>
      <c r="C29" s="32" t="str">
        <f>инфо!C18</f>
        <v>Огурцы свежие/соленые</v>
      </c>
      <c r="D29" s="33">
        <f>_xlfn.XLOOKUP($C29,Меню!$J$8:$DK$8,Меню!$J$152:$DK$152,"нет такого",,-1)</f>
        <v>145</v>
      </c>
      <c r="E29" s="35">
        <f>SUMIF(Меню!$J$8:$DK$8,$C29,Меню!$J$118:$DK$118)/1000*$J$6</f>
        <v>0</v>
      </c>
      <c r="F29" s="35">
        <f>SUMIF(Меню!$J$8:$DK$8,$C29,Меню!$J$133:$DK$133)/1000*J$7</f>
        <v>12.074999999999999</v>
      </c>
      <c r="G29" s="35">
        <f>SUMIF(Меню!$J$8:$DK$8,$C29,Меню!$J$146:$DK$146)/1000*$J$8</f>
        <v>4.6000000000000005</v>
      </c>
      <c r="H29" s="35">
        <f>SUMIF(Меню!$J$8:$DK$8,$C29,Меню!$J$151:$DK$151)/1000*$J$9</f>
        <v>0</v>
      </c>
      <c r="I29" s="36">
        <f t="shared" si="0"/>
        <v>16.675000000000001</v>
      </c>
      <c r="J29" s="33"/>
      <c r="K29" s="34"/>
    </row>
    <row r="30" spans="2:11" ht="15.75" x14ac:dyDescent="0.25">
      <c r="B30" s="64">
        <f t="shared" si="1"/>
        <v>18</v>
      </c>
      <c r="C30" s="32" t="str">
        <f>инфо!C19</f>
        <v>Помидоры свежие/конс.</v>
      </c>
      <c r="D30" s="33">
        <f>_xlfn.XLOOKUP($C30,Меню!$J$8:$DK$8,Меню!$J$152:$DK$152,"нет такого",,-1)</f>
        <v>0</v>
      </c>
      <c r="E30" s="35">
        <f>SUMIF(Меню!$J$8:$DK$8,$C30,Меню!$J$118:$DK$118)/1000*$J$6</f>
        <v>0</v>
      </c>
      <c r="F30" s="35">
        <f>SUMIF(Меню!$J$8:$DK$8,$C30,Меню!$J$133:$DK$133)/1000*J$7</f>
        <v>0</v>
      </c>
      <c r="G30" s="35">
        <f>SUMIF(Меню!$J$8:$DK$8,$C30,Меню!$J$146:$DK$146)/1000*$J$8</f>
        <v>0</v>
      </c>
      <c r="H30" s="35">
        <f>SUMIF(Меню!$J$8:$DK$8,$C30,Меню!$J$151:$DK$151)/1000*$J$9</f>
        <v>0</v>
      </c>
      <c r="I30" s="36">
        <f t="shared" si="0"/>
        <v>0</v>
      </c>
      <c r="J30" s="33"/>
      <c r="K30" s="34"/>
    </row>
    <row r="31" spans="2:11" ht="15.75" x14ac:dyDescent="0.25">
      <c r="B31" s="64">
        <f t="shared" si="1"/>
        <v>19</v>
      </c>
      <c r="C31" s="32" t="str">
        <f>инфо!C23</f>
        <v>Свекла</v>
      </c>
      <c r="D31" s="33">
        <f>_xlfn.XLOOKUP($C31,Меню!$J$8:$DK$8,Меню!$J$152:$DK$152,"нет такого",,-1)</f>
        <v>70</v>
      </c>
      <c r="E31" s="35">
        <f>SUMIF(Меню!$J$8:$DK$8,$C31,Меню!$J$118:$DK$118)/1000*$J$6</f>
        <v>0</v>
      </c>
      <c r="F31" s="35">
        <f>SUMIF(Меню!$J$8:$DK$8,$C31,Меню!$J$133:$DK$133)/1000*J$7</f>
        <v>8.0500000000000007</v>
      </c>
      <c r="G31" s="35">
        <f>SUMIF(Меню!$J$8:$DK$8,$C31,Меню!$J$146:$DK$146)/1000*$J$8</f>
        <v>0</v>
      </c>
      <c r="H31" s="35">
        <f>SUMIF(Меню!$J$8:$DK$8,$C31,Меню!$J$151:$DK$151)/1000*$J$9</f>
        <v>0</v>
      </c>
      <c r="I31" s="36">
        <f t="shared" si="0"/>
        <v>8.0500000000000007</v>
      </c>
      <c r="J31" s="33"/>
      <c r="K31" s="34"/>
    </row>
    <row r="32" spans="2:11" ht="15.75" x14ac:dyDescent="0.25">
      <c r="B32" s="64">
        <f t="shared" si="1"/>
        <v>20</v>
      </c>
      <c r="C32" s="32" t="str">
        <f>инфо!C24</f>
        <v>Зелень</v>
      </c>
      <c r="D32" s="33">
        <f>_xlfn.XLOOKUP($C32,Меню!$J$8:$DK$8,Меню!$J$152:$DK$152,"нет такого",,-1)</f>
        <v>0</v>
      </c>
      <c r="E32" s="35">
        <f>SUMIF(Меню!$J$8:$DK$8,$C32,Меню!$J$118:$DK$118)/1000*$J$6</f>
        <v>0</v>
      </c>
      <c r="F32" s="35">
        <f>SUMIF(Меню!$J$8:$DK$8,$C32,Меню!$J$133:$DK$133)/1000*J$7</f>
        <v>0</v>
      </c>
      <c r="G32" s="35">
        <f>SUMIF(Меню!$J$8:$DK$8,$C32,Меню!$J$146:$DK$146)/1000*$J$8</f>
        <v>0</v>
      </c>
      <c r="H32" s="35">
        <f>SUMIF(Меню!$J$8:$DK$8,$C32,Меню!$J$151:$DK$151)/1000*$J$9</f>
        <v>0</v>
      </c>
      <c r="I32" s="35">
        <f t="shared" si="0"/>
        <v>0</v>
      </c>
      <c r="J32" s="33"/>
      <c r="K32" s="34"/>
    </row>
    <row r="33" spans="2:11" ht="15.75" x14ac:dyDescent="0.25">
      <c r="B33" s="64">
        <f t="shared" si="1"/>
        <v>21</v>
      </c>
      <c r="C33" s="32" t="str">
        <f>инфо!C25</f>
        <v xml:space="preserve">Консервы овощ. закусочные, лечо </v>
      </c>
      <c r="D33" s="33">
        <f>_xlfn.XLOOKUP($C33,Меню!$J$8:$DK$8,Меню!$J$152:$DK$152,"нет такого",,-1)</f>
        <v>17.5</v>
      </c>
      <c r="E33" s="35">
        <f>SUMIF(Меню!$J$8:$DK$8,$C33,Меню!$J$118:$DK$118)/1000*$J$6</f>
        <v>0</v>
      </c>
      <c r="F33" s="35">
        <f>SUMIF(Меню!$J$8:$DK$8,$C33,Меню!$J$133:$DK$133)/1000*J$7</f>
        <v>0</v>
      </c>
      <c r="G33" s="35">
        <f>SUMIF(Меню!$J$8:$DK$8,$C33,Меню!$J$146:$DK$146)/1000*$J$8</f>
        <v>2.0125000000000002</v>
      </c>
      <c r="H33" s="35">
        <f>SUMIF(Меню!$J$8:$DK$8,$C33,Меню!$J$151:$DK$151)/1000*$J$9</f>
        <v>0</v>
      </c>
      <c r="I33" s="36">
        <f t="shared" ref="I33:I38" si="2">SUM(E33:H33)</f>
        <v>2.0125000000000002</v>
      </c>
      <c r="J33" s="33"/>
      <c r="K33" s="34"/>
    </row>
    <row r="34" spans="2:11" ht="15.75" x14ac:dyDescent="0.25">
      <c r="B34" s="64">
        <f t="shared" si="1"/>
        <v>22</v>
      </c>
      <c r="C34" s="32" t="str">
        <f>инфо!C26</f>
        <v>Чеснок</v>
      </c>
      <c r="D34" s="33">
        <f>_xlfn.XLOOKUP($C34,Меню!$J$8:$DK$8,Меню!$J$152:$DK$152,"нет такого",,-1)</f>
        <v>0</v>
      </c>
      <c r="E34" s="35">
        <f>SUMIF(Меню!$J$8:$DK$8,$C34,Меню!$J$118:$DK$118)/1000*$J$6</f>
        <v>0</v>
      </c>
      <c r="F34" s="35">
        <f>SUMIF(Меню!$J$8:$DK$8,$C34,Меню!$J$133:$DK$133)/1000*J$7</f>
        <v>0</v>
      </c>
      <c r="G34" s="35">
        <f>SUMIF(Меню!$J$8:$DK$8,$C34,Меню!$J$146:$DK$146)/1000*$J$8</f>
        <v>0</v>
      </c>
      <c r="H34" s="35">
        <f>SUMIF(Меню!$J$8:$DK$8,$C34,Меню!$J$151:$DK$151)/1000*$J$9</f>
        <v>0</v>
      </c>
      <c r="I34" s="36">
        <f t="shared" si="2"/>
        <v>0</v>
      </c>
      <c r="J34" s="33"/>
      <c r="K34" s="34"/>
    </row>
    <row r="35" spans="2:11" ht="15.75" x14ac:dyDescent="0.25">
      <c r="B35" s="64">
        <f t="shared" si="1"/>
        <v>23</v>
      </c>
      <c r="C35" s="32" t="str">
        <f>инфо!C27</f>
        <v>Капуста свежая/кваш.</v>
      </c>
      <c r="D35" s="33">
        <f>_xlfn.XLOOKUP($C35,Меню!$J$8:$DK$8,Меню!$J$152:$DK$152,"нет такого",,-1)</f>
        <v>0</v>
      </c>
      <c r="E35" s="35">
        <f>SUMIF(Меню!$J$8:$DK$8,$C35,Меню!$J$118:$DK$118)/1000*$J$6</f>
        <v>0</v>
      </c>
      <c r="F35" s="35">
        <f>SUMIF(Меню!$J$8:$DK$8,$C35,Меню!$J$133:$DK$133)/1000*J$7</f>
        <v>5.6349999999999998</v>
      </c>
      <c r="G35" s="35">
        <f>SUMIF(Меню!$J$8:$DK$8,$C35,Меню!$J$146:$DK$146)/1000*$J$8</f>
        <v>0</v>
      </c>
      <c r="H35" s="35">
        <f>SUMIF(Меню!$J$8:$DK$8,$C35,Меню!$J$151:$DK$151)/1000*$J$9</f>
        <v>0</v>
      </c>
      <c r="I35" s="36">
        <f t="shared" si="2"/>
        <v>5.6349999999999998</v>
      </c>
      <c r="J35" s="33"/>
      <c r="K35" s="34"/>
    </row>
    <row r="36" spans="2:11" ht="15.75" x14ac:dyDescent="0.25">
      <c r="B36" s="64">
        <f t="shared" si="1"/>
        <v>24</v>
      </c>
      <c r="C36" s="32" t="str">
        <f>инфо!C33</f>
        <v>Овощи запас 2</v>
      </c>
      <c r="D36" s="33">
        <f>_xlfn.XLOOKUP($C36,Меню!$J$8:$DK$8,Меню!$J$152:$DK$152,"нет такого",,-1)</f>
        <v>0</v>
      </c>
      <c r="E36" s="35">
        <f>SUMIF(Меню!$J$8:$DK$8,$C36,Меню!$J$118:$DK$118)/1000*$J$6</f>
        <v>0</v>
      </c>
      <c r="F36" s="35">
        <f>SUMIF(Меню!$J$8:$DK$8,$C36,Меню!$J$133:$DK$133)/1000*J$7</f>
        <v>0</v>
      </c>
      <c r="G36" s="35">
        <f>SUMIF(Меню!$J$8:$DK$8,$C36,Меню!$J$146:$DK$146)/1000*$J$8</f>
        <v>0</v>
      </c>
      <c r="H36" s="35">
        <f>SUMIF(Меню!$J$8:$DK$8,$C36,Меню!$J$151:$DK$151)/1000*$J$9</f>
        <v>0</v>
      </c>
      <c r="I36" s="36">
        <f t="shared" si="2"/>
        <v>0</v>
      </c>
      <c r="J36" s="33"/>
      <c r="K36" s="34"/>
    </row>
    <row r="37" spans="2:11" ht="15.75" x14ac:dyDescent="0.25">
      <c r="B37" s="64">
        <f t="shared" si="1"/>
        <v>25</v>
      </c>
      <c r="C37" s="32" t="str">
        <f>инфо!C34</f>
        <v xml:space="preserve">Мука пшеничная   1 с </v>
      </c>
      <c r="D37" s="33">
        <f>_xlfn.XLOOKUP($C37,Меню!$J$8:$DK$8,Меню!$J$152:$DK$152,"нет такого",,-1)</f>
        <v>2</v>
      </c>
      <c r="E37" s="35">
        <f>SUMIF(Меню!$J$8:$DK$8,$C37,Меню!$J$118:$DK$118)/1000*$J$6</f>
        <v>0</v>
      </c>
      <c r="F37" s="35">
        <f>SUMIF(Меню!$J$8:$DK$8,$C37,Меню!$J$133:$DK$133)/1000*J$7</f>
        <v>0.23</v>
      </c>
      <c r="G37" s="35">
        <f>SUMIF(Меню!$J$8:$DK$8,$C37,Меню!$J$146:$DK$146)/1000*$J$8</f>
        <v>0</v>
      </c>
      <c r="H37" s="35">
        <f>SUMIF(Меню!$J$8:$DK$8,$C37,Меню!$J$151:$DK$151)/1000*$J$9</f>
        <v>0</v>
      </c>
      <c r="I37" s="36">
        <f t="shared" si="2"/>
        <v>0.23</v>
      </c>
      <c r="J37" s="33"/>
      <c r="K37" s="34"/>
    </row>
    <row r="38" spans="2:11" ht="15.75" x14ac:dyDescent="0.25">
      <c r="B38" s="64">
        <f t="shared" si="1"/>
        <v>26</v>
      </c>
      <c r="C38" s="32" t="str">
        <f>инфо!C36</f>
        <v>Хлеб дарницкий</v>
      </c>
      <c r="D38" s="33">
        <f>_xlfn.XLOOKUP($C38,Меню!$J$8:$DK$8,Меню!$J$152:$DK$152,"нет такого",,-1)</f>
        <v>150</v>
      </c>
      <c r="E38" s="35">
        <f>SUMIF(Меню!$J$8:$DK$8,$C38,Меню!$J$118:$DK$118)/1000*$J$6</f>
        <v>5.75</v>
      </c>
      <c r="F38" s="35">
        <f>SUMIF(Меню!$J$8:$DK$8,$C38,Меню!$J$133:$DK$133)/1000*J$7</f>
        <v>5.75</v>
      </c>
      <c r="G38" s="35">
        <f>SUMIF(Меню!$J$8:$DK$8,$C38,Меню!$J$146:$DK$146)/1000*$J$8</f>
        <v>5.75</v>
      </c>
      <c r="H38" s="35">
        <f>SUMIF(Меню!$J$8:$DK$8,$C38,Меню!$J$151:$DK$151)/1000*$J$9</f>
        <v>0</v>
      </c>
      <c r="I38" s="36">
        <f t="shared" si="2"/>
        <v>17.25</v>
      </c>
      <c r="J38" s="33"/>
      <c r="K38" s="34"/>
    </row>
    <row r="39" spans="2:11" ht="15.75" x14ac:dyDescent="0.25">
      <c r="B39" s="64">
        <f t="shared" si="1"/>
        <v>27</v>
      </c>
      <c r="C39" s="32" t="str">
        <f>инфо!C37</f>
        <v>Хлеб из муки пш. 1  сорта</v>
      </c>
      <c r="D39" s="33">
        <f>_xlfn.XLOOKUP($C39,Меню!$J$8:$DK$8,Меню!$J$152:$DK$152,"нет такого",,-1)</f>
        <v>300</v>
      </c>
      <c r="E39" s="35">
        <f>SUMIF(Меню!$J$8:$DK$8,$C39,Меню!$J$118:$DK$118)/1000*$J$6</f>
        <v>11.5</v>
      </c>
      <c r="F39" s="35">
        <f>SUMIF(Меню!$J$8:$DK$8,$C39,Меню!$J$133:$DK$133)/1000*J$7</f>
        <v>11.5</v>
      </c>
      <c r="G39" s="35">
        <f>SUMIF(Меню!$J$8:$DK$8,$C39,Меню!$J$146:$DK$146)/1000*$J$8</f>
        <v>11.5</v>
      </c>
      <c r="H39" s="35">
        <f>SUMIF(Меню!$J$8:$DK$8,$C39,Меню!$J$151:$DK$151)/1000*$J$9</f>
        <v>0</v>
      </c>
      <c r="I39" s="36">
        <f t="shared" si="0"/>
        <v>34.5</v>
      </c>
      <c r="J39" s="33" t="s">
        <v>123</v>
      </c>
      <c r="K39" s="34"/>
    </row>
    <row r="40" spans="2:11" ht="15.75" x14ac:dyDescent="0.25">
      <c r="B40" s="64">
        <f t="shared" si="1"/>
        <v>28</v>
      </c>
      <c r="C40" s="32" t="str">
        <f>инфо!C38</f>
        <v>Мучное 1</v>
      </c>
      <c r="D40" s="33">
        <f>_xlfn.XLOOKUP($C40,Меню!$J$8:$DK$8,Меню!$J$152:$DK$152,"нет такого",,-1)</f>
        <v>0</v>
      </c>
      <c r="E40" s="35">
        <f>SUMIF(Меню!$J$8:$DK$8,$C40,Меню!$J$118:$DK$118)/1000*$J$6</f>
        <v>0</v>
      </c>
      <c r="F40" s="35">
        <f>SUMIF(Меню!$J$8:$DK$8,$C40,Меню!$J$133:$DK$133)/1000*J$7</f>
        <v>0</v>
      </c>
      <c r="G40" s="35">
        <f>SUMIF(Меню!$J$8:$DK$8,$C40,Меню!$J$146:$DK$146)/1000*$J$8</f>
        <v>0</v>
      </c>
      <c r="H40" s="35">
        <f>SUMIF(Меню!$J$8:$DK$8,$C40,Меню!$J$151:$DK$151)/1000*$J$9</f>
        <v>0</v>
      </c>
      <c r="I40" s="36">
        <f t="shared" si="0"/>
        <v>0</v>
      </c>
      <c r="J40" s="33"/>
      <c r="K40" s="34"/>
    </row>
    <row r="41" spans="2:11" ht="15.75" x14ac:dyDescent="0.25">
      <c r="B41" s="64">
        <f t="shared" si="1"/>
        <v>29</v>
      </c>
      <c r="C41" s="32" t="str">
        <f>инфо!C39</f>
        <v>Молоко коровье</v>
      </c>
      <c r="D41" s="33">
        <f>_xlfn.XLOOKUP($C41,Меню!$J$8:$DK$8,Меню!$J$152:$DK$152,"нет такого",,-1)</f>
        <v>200</v>
      </c>
      <c r="E41" s="35">
        <f>SUMIF(Меню!$J$8:$DK$8,$C41,Меню!$J$118:$DK$118)/1000*$J$6</f>
        <v>23</v>
      </c>
      <c r="F41" s="35">
        <f>SUMIF(Меню!$J$8:$DK$8,$C41,Меню!$J$133:$DK$133)/1000*J$7</f>
        <v>0</v>
      </c>
      <c r="G41" s="35">
        <f>SUMIF(Меню!$J$8:$DK$8,$C41,Меню!$J$146:$DK$146)/1000*$J$8</f>
        <v>0</v>
      </c>
      <c r="H41" s="35">
        <f>SUMIF(Меню!$J$8:$DK$8,$C41,Меню!$J$151:$DK$151)/1000*$J$9</f>
        <v>0</v>
      </c>
      <c r="I41" s="36">
        <f t="shared" si="0"/>
        <v>23</v>
      </c>
      <c r="J41" s="33"/>
      <c r="K41" s="34"/>
    </row>
    <row r="42" spans="2:11" ht="15.75" x14ac:dyDescent="0.25">
      <c r="B42" s="64">
        <f t="shared" si="1"/>
        <v>30</v>
      </c>
      <c r="C42" s="32" t="str">
        <f>инфо!C40</f>
        <v>Кефир</v>
      </c>
      <c r="D42" s="33">
        <f>_xlfn.XLOOKUP($C42,Меню!$J$8:$DK$8,Меню!$J$152:$DK$152,"нет такого",,-1)</f>
        <v>0</v>
      </c>
      <c r="E42" s="35">
        <f>SUMIF(Меню!$J$8:$DK$8,$C42,Меню!$J$118:$DK$118)/1000*$J$6</f>
        <v>0</v>
      </c>
      <c r="F42" s="35">
        <f>SUMIF(Меню!$J$8:$DK$8,$C42,Меню!$J$133:$DK$133)/1000*J$7</f>
        <v>0</v>
      </c>
      <c r="G42" s="35">
        <f>SUMIF(Меню!$J$8:$DK$8,$C42,Меню!$J$146:$DK$146)/1000*$J$8</f>
        <v>0</v>
      </c>
      <c r="H42" s="35">
        <f>SUMIF(Меню!$J$8:$DK$8,$C42,Меню!$J$151:$DK$151)/1000*$J$9</f>
        <v>0</v>
      </c>
      <c r="I42" s="36">
        <f t="shared" si="0"/>
        <v>0</v>
      </c>
      <c r="J42" s="33"/>
      <c r="K42" s="34"/>
    </row>
    <row r="43" spans="2:11" ht="15.75" x14ac:dyDescent="0.25">
      <c r="B43" s="64">
        <f t="shared" si="1"/>
        <v>31</v>
      </c>
      <c r="C43" s="32" t="str">
        <f>инфо!C41</f>
        <v>Сметана</v>
      </c>
      <c r="D43" s="33">
        <f>_xlfn.XLOOKUP($C43,Меню!$J$8:$DK$8,Меню!$J$152:$DK$152,"нет такого",,-1)</f>
        <v>0</v>
      </c>
      <c r="E43" s="35">
        <f>SUMIF(Меню!$J$8:$DK$8,$C43,Меню!$J$118:$DK$118)/1000*$J$6</f>
        <v>0</v>
      </c>
      <c r="F43" s="35">
        <f>SUMIF(Меню!$J$8:$DK$8,$C43,Меню!$J$133:$DK$133)/1000*J$7</f>
        <v>0</v>
      </c>
      <c r="G43" s="35">
        <f>SUMIF(Меню!$J$8:$DK$8,$C43,Меню!$J$146:$DK$146)/1000*$J$8</f>
        <v>0</v>
      </c>
      <c r="H43" s="35">
        <f>SUMIF(Меню!$J$8:$DK$8,$C43,Меню!$J$151:$DK$151)/1000*$J$9</f>
        <v>0</v>
      </c>
      <c r="I43" s="36">
        <f t="shared" si="0"/>
        <v>0</v>
      </c>
      <c r="J43" s="33"/>
      <c r="K43" s="34"/>
    </row>
    <row r="44" spans="2:11" ht="15.75" x14ac:dyDescent="0.25">
      <c r="B44" s="64">
        <f t="shared" si="1"/>
        <v>32</v>
      </c>
      <c r="C44" s="32" t="str">
        <f>инфо!C44</f>
        <v xml:space="preserve">Молоко сгущ. </v>
      </c>
      <c r="D44" s="33">
        <f>_xlfn.XLOOKUP($C44,Меню!$J$8:$DK$8,Меню!$J$152:$DK$152,"нет такого",,-1)</f>
        <v>0</v>
      </c>
      <c r="E44" s="35">
        <f>SUMIF(Меню!$J$8:$DK$8,$C44,Меню!$J$118:$DK$118)/1000*$J$6</f>
        <v>0</v>
      </c>
      <c r="F44" s="35">
        <f>SUMIF(Меню!$J$8:$DK$8,$C44,Меню!$J$133:$DK$133)/1000*J$7</f>
        <v>0</v>
      </c>
      <c r="G44" s="35">
        <f>SUMIF(Меню!$J$8:$DK$8,$C44,Меню!$J$146:$DK$146)/1000*$J$8</f>
        <v>0</v>
      </c>
      <c r="H44" s="35">
        <f>SUMIF(Меню!$J$8:$DK$8,$C44,Меню!$J$151:$DK$151)/1000*$J$9</f>
        <v>0</v>
      </c>
      <c r="I44" s="36">
        <f>D44*H8/1000</f>
        <v>0</v>
      </c>
      <c r="J44" s="33"/>
      <c r="K44" s="34"/>
    </row>
    <row r="45" spans="2:11" ht="15.75" x14ac:dyDescent="0.25">
      <c r="B45" s="64">
        <f t="shared" si="1"/>
        <v>33</v>
      </c>
      <c r="C45" s="32" t="str">
        <f>инфо!C46</f>
        <v>Сыр плавленный</v>
      </c>
      <c r="D45" s="33">
        <f>_xlfn.XLOOKUP($C45,Меню!$J$8:$DK$8,Меню!$J$152:$DK$152,"нет такого",,-1)</f>
        <v>17.5</v>
      </c>
      <c r="E45" s="35">
        <f>SUMIF(Меню!$J$8:$DK$8,$C45,Меню!$J$118:$DK$118)/1000*$J$6</f>
        <v>2.0125000000000002</v>
      </c>
      <c r="F45" s="35">
        <f>SUMIF(Меню!$J$8:$DK$8,$C45,Меню!$J$133:$DK$133)/1000*J$7</f>
        <v>0</v>
      </c>
      <c r="G45" s="35">
        <f>SUMIF(Меню!$J$8:$DK$8,$C45,Меню!$J$146:$DK$146)/1000*$J$8</f>
        <v>0</v>
      </c>
      <c r="H45" s="35">
        <f>SUMIF(Меню!$J$8:$DK$8,$C45,Меню!$J$151:$DK$151)/1000*$J$9</f>
        <v>0</v>
      </c>
      <c r="I45" s="35">
        <f t="shared" si="0"/>
        <v>2.0125000000000002</v>
      </c>
      <c r="J45" s="33"/>
      <c r="K45" s="34"/>
    </row>
    <row r="46" spans="2:11" ht="15.75" x14ac:dyDescent="0.25">
      <c r="B46" s="64">
        <f t="shared" si="1"/>
        <v>34</v>
      </c>
      <c r="C46" s="32" t="str">
        <f>инфо!C47</f>
        <v>Яйцо</v>
      </c>
      <c r="D46" s="33">
        <f>_xlfn.XLOOKUP($C46,Меню!$J$8:$DK$8,Меню!$J$152:$DK$152,"нет такого",,-1)</f>
        <v>1</v>
      </c>
      <c r="E46" s="35">
        <f>SUMIF(Меню!$J$8:$DK$8,$C46,Меню!$J$118:$DK$118)/1000*$J$6</f>
        <v>0.115</v>
      </c>
      <c r="F46" s="35">
        <f>SUMIF(Меню!$J$8:$DK$8,$C46,Меню!$J$133:$DK$133)/1000*J$7</f>
        <v>0</v>
      </c>
      <c r="G46" s="35">
        <f>SUMIF(Меню!$J$8:$DK$8,$C46,Меню!$J$146:$DK$146)/1000*$J$8</f>
        <v>0</v>
      </c>
      <c r="H46" s="35">
        <f>SUMIF(Меню!$J$8:$DK$8,$C46,Меню!$J$151:$DK$151)/1000*$J$9</f>
        <v>0</v>
      </c>
      <c r="I46" s="35">
        <f t="shared" si="0"/>
        <v>0.115</v>
      </c>
      <c r="J46" s="33"/>
      <c r="K46" s="34"/>
    </row>
    <row r="47" spans="2:11" ht="15.75" x14ac:dyDescent="0.25">
      <c r="B47" s="64">
        <f t="shared" si="1"/>
        <v>35</v>
      </c>
      <c r="C47" s="32" t="str">
        <f>инфо!C48</f>
        <v>Разное 1</v>
      </c>
      <c r="D47" s="33">
        <f>_xlfn.XLOOKUP($C47,Меню!$J$8:$DK$8,Меню!$J$152:$DK$152,"нет такого",,-1)</f>
        <v>0</v>
      </c>
      <c r="E47" s="35">
        <f>SUMIF(Меню!$J$8:$DK$8,$C47,Меню!$J$118:$DK$118)/1000*$J$6</f>
        <v>0</v>
      </c>
      <c r="F47" s="35">
        <f>SUMIF(Меню!$J$8:$DK$8,$C47,Меню!$J$133:$DK$133)/1000*J$7</f>
        <v>0</v>
      </c>
      <c r="G47" s="35">
        <f>SUMIF(Меню!$J$8:$DK$8,$C47,Меню!$J$146:$DK$146)/1000*$J$8</f>
        <v>0</v>
      </c>
      <c r="H47" s="35">
        <f>SUMIF(Меню!$J$8:$DK$8,$C47,Меню!$J$151:$DK$151)/1000*$J$9</f>
        <v>0</v>
      </c>
      <c r="I47" s="35">
        <f t="shared" si="0"/>
        <v>0</v>
      </c>
      <c r="J47" s="33"/>
      <c r="K47" s="34"/>
    </row>
    <row r="48" spans="2:11" ht="15.75" x14ac:dyDescent="0.25">
      <c r="B48" s="64">
        <f t="shared" si="1"/>
        <v>36</v>
      </c>
      <c r="C48" s="32" t="str">
        <f>инфо!C49</f>
        <v>Разное 2</v>
      </c>
      <c r="D48" s="33">
        <f>_xlfn.XLOOKUP($C48,Меню!$J$8:$DK$8,Меню!$J$152:$DK$152,"нет такого",,-1)</f>
        <v>0</v>
      </c>
      <c r="E48" s="35">
        <f>SUMIF(Меню!$J$8:$DK$8,$C48,Меню!$J$118:$DK$118)/1000*$J$6</f>
        <v>0</v>
      </c>
      <c r="F48" s="35">
        <f>SUMIF(Меню!$J$8:$DK$8,$C48,Меню!$J$133:$DK$133)/1000*J$7</f>
        <v>0</v>
      </c>
      <c r="G48" s="35">
        <f>SUMIF(Меню!$J$8:$DK$8,$C48,Меню!$J$146:$DK$146)/1000*$J$8</f>
        <v>0</v>
      </c>
      <c r="H48" s="35">
        <f>SUMIF(Меню!$J$8:$DK$8,$C48,Меню!$J$151:$DK$151)/1000*$J$9</f>
        <v>0</v>
      </c>
      <c r="I48" s="35">
        <f t="shared" si="0"/>
        <v>0</v>
      </c>
      <c r="J48" s="33"/>
      <c r="K48" s="34"/>
    </row>
    <row r="49" spans="2:11" ht="15.75" x14ac:dyDescent="0.25">
      <c r="B49" s="64">
        <f t="shared" si="1"/>
        <v>37</v>
      </c>
      <c r="C49" s="32" t="str">
        <f>инфо!C50</f>
        <v>Масло коровье</v>
      </c>
      <c r="D49" s="33">
        <f>_xlfn.XLOOKUP($C49,Меню!$J$8:$DK$8,Меню!$J$152:$DK$152,"нет такого",,-1)</f>
        <v>15</v>
      </c>
      <c r="E49" s="35">
        <f>SUMIF(Меню!$J$8:$DK$8,$C49,Меню!$J$118:$DK$118)/1000*$J$6</f>
        <v>0</v>
      </c>
      <c r="F49" s="35">
        <f>SUMIF(Меню!$J$8:$DK$8,$C49,Меню!$J$133:$DK$133)/1000*J$7</f>
        <v>0</v>
      </c>
      <c r="G49" s="35">
        <f>SUMIF(Меню!$J$8:$DK$8,$C49,Меню!$J$146:$DK$146)/1000*$J$8</f>
        <v>1.7249999999999999</v>
      </c>
      <c r="H49" s="35">
        <f>SUMIF(Меню!$J$8:$DK$8,$C49,Меню!$J$151:$DK$151)/1000*$J$9</f>
        <v>0</v>
      </c>
      <c r="I49" s="36">
        <f t="shared" si="0"/>
        <v>1.7249999999999999</v>
      </c>
      <c r="J49" s="33"/>
      <c r="K49" s="34"/>
    </row>
    <row r="50" spans="2:11" ht="15.75" x14ac:dyDescent="0.25">
      <c r="B50" s="64">
        <f t="shared" si="1"/>
        <v>38</v>
      </c>
      <c r="C50" s="32" t="str">
        <f>инфо!C51</f>
        <v>Масло растительное</v>
      </c>
      <c r="D50" s="33">
        <f>_xlfn.XLOOKUP($C50,Меню!$J$8:$DK$8,Меню!$J$152:$DK$152,"нет такого",,-1)</f>
        <v>40</v>
      </c>
      <c r="E50" s="35">
        <f>SUMIF(Меню!$J$8:$DK$8,$C50,Меню!$J$118:$DK$118)/1000*$J$6</f>
        <v>1.1500000000000001</v>
      </c>
      <c r="F50" s="35">
        <f>SUMIF(Меню!$J$8:$DK$8,$C50,Меню!$J$133:$DK$133)/1000*J$7</f>
        <v>1.7249999999999999</v>
      </c>
      <c r="G50" s="35">
        <f>SUMIF(Меню!$J$8:$DK$8,$C50,Меню!$J$146:$DK$146)/1000*$J$8</f>
        <v>0</v>
      </c>
      <c r="H50" s="35">
        <f>SUMIF(Меню!$J$8:$DK$8,$C50,Меню!$J$151:$DK$151)/1000*$J$9</f>
        <v>1.7249999999999999</v>
      </c>
      <c r="I50" s="35">
        <f t="shared" si="0"/>
        <v>4.5999999999999996</v>
      </c>
      <c r="J50" s="33"/>
      <c r="K50" s="34"/>
    </row>
    <row r="51" spans="2:11" ht="15.75" x14ac:dyDescent="0.25">
      <c r="B51" s="64">
        <f t="shared" si="1"/>
        <v>39</v>
      </c>
      <c r="C51" s="32" t="str">
        <f>инфо!C52</f>
        <v>Сало-шпик</v>
      </c>
      <c r="D51" s="33">
        <f>_xlfn.XLOOKUP($C51,Меню!$J$8:$DK$8,Меню!$J$152:$DK$152,"нет такого",,-1)</f>
        <v>15</v>
      </c>
      <c r="E51" s="35">
        <f>SUMIF(Меню!$J$8:$DK$8,$C51,Меню!$J$118:$DK$118)/1000*$J$6</f>
        <v>0</v>
      </c>
      <c r="F51" s="35">
        <f>SUMIF(Меню!$J$8:$DK$8,$C51,Меню!$J$133:$DK$133)/1000*J$7</f>
        <v>1.7249999999999999</v>
      </c>
      <c r="G51" s="35">
        <f>SUMIF(Меню!$J$8:$DK$8,$C51,Меню!$J$146:$DK$146)/1000*$J$8</f>
        <v>0</v>
      </c>
      <c r="H51" s="35">
        <f>SUMIF(Меню!$J$8:$DK$8,$C51,Меню!$J$151:$DK$151)/1000*$J$9</f>
        <v>0</v>
      </c>
      <c r="I51" s="35">
        <f t="shared" si="0"/>
        <v>1.7249999999999999</v>
      </c>
      <c r="J51" s="33"/>
      <c r="K51" s="34"/>
    </row>
    <row r="52" spans="2:11" ht="15.75" x14ac:dyDescent="0.25">
      <c r="B52" s="64">
        <f t="shared" si="1"/>
        <v>40</v>
      </c>
      <c r="C52" s="32" t="str">
        <f>инфо!C53</f>
        <v>Жиры 1</v>
      </c>
      <c r="D52" s="33">
        <f>_xlfn.XLOOKUP($C52,Меню!$J$8:$DK$8,Меню!$J$152:$DK$152,"нет такого",,-1)</f>
        <v>0</v>
      </c>
      <c r="E52" s="35">
        <f>SUMIF(Меню!$J$8:$DK$8,$C52,Меню!$J$118:$DK$118)/1000*$J$6</f>
        <v>0</v>
      </c>
      <c r="F52" s="35">
        <f>SUMIF(Меню!$J$8:$DK$8,$C52,Меню!$J$133:$DK$133)/1000*J$7</f>
        <v>0</v>
      </c>
      <c r="G52" s="35">
        <f>SUMIF(Меню!$J$8:$DK$8,$C52,Меню!$J$146:$DK$146)/1000*$J$8</f>
        <v>0</v>
      </c>
      <c r="H52" s="35">
        <f>SUMIF(Меню!$J$8:$DK$8,$C52,Меню!$J$151:$DK$151)/1000*$J$9</f>
        <v>0</v>
      </c>
      <c r="I52" s="36">
        <f t="shared" si="0"/>
        <v>0</v>
      </c>
      <c r="J52" s="33"/>
      <c r="K52" s="34"/>
    </row>
    <row r="53" spans="2:11" ht="15.75" x14ac:dyDescent="0.25">
      <c r="B53" s="64">
        <f t="shared" si="1"/>
        <v>41</v>
      </c>
      <c r="C53" s="32" t="str">
        <f>инфо!C54</f>
        <v>Жиры 2</v>
      </c>
      <c r="D53" s="33">
        <f>_xlfn.XLOOKUP($C53,Меню!$J$8:$DK$8,Меню!$J$152:$DK$152,"нет такого",,-1)</f>
        <v>0</v>
      </c>
      <c r="E53" s="35">
        <f>SUMIF(Меню!$J$8:$DK$8,$C53,Меню!$J$118:$DK$118)/1000*$J$6</f>
        <v>0</v>
      </c>
      <c r="F53" s="35">
        <f>SUMIF(Меню!$J$8:$DK$8,$C53,Меню!$J$133:$DK$133)/1000*J$7</f>
        <v>0</v>
      </c>
      <c r="G53" s="35">
        <f>SUMIF(Меню!$J$8:$DK$8,$C53,Меню!$J$146:$DK$146)/1000*$J$8</f>
        <v>0</v>
      </c>
      <c r="H53" s="35">
        <f>SUMIF(Меню!$J$8:$DK$8,$C53,Меню!$J$151:$DK$151)/1000*$J$9</f>
        <v>0</v>
      </c>
      <c r="I53" s="36">
        <f t="shared" si="0"/>
        <v>0</v>
      </c>
      <c r="J53" s="33"/>
      <c r="K53" s="34"/>
    </row>
    <row r="54" spans="2:11" ht="15.75" x14ac:dyDescent="0.25">
      <c r="B54" s="64">
        <f t="shared" si="1"/>
        <v>42</v>
      </c>
      <c r="C54" s="32" t="str">
        <f>инфо!C55</f>
        <v>Жиры 3</v>
      </c>
      <c r="D54" s="33">
        <f>_xlfn.XLOOKUP($C54,Меню!$J$8:$DK$8,Меню!$J$152:$DK$152,"нет такого",,-1)</f>
        <v>0</v>
      </c>
      <c r="E54" s="35">
        <f>SUMIF(Меню!$J$8:$DK$8,$C54,Меню!$J$118:$DK$118)/1000*$J$6</f>
        <v>0</v>
      </c>
      <c r="F54" s="35">
        <f>SUMIF(Меню!$J$8:$DK$8,$C54,Меню!$J$133:$DK$133)/1000*J$7</f>
        <v>0</v>
      </c>
      <c r="G54" s="35">
        <f>SUMIF(Меню!$J$8:$DK$8,$C54,Меню!$J$146:$DK$146)/1000*$J$8</f>
        <v>0</v>
      </c>
      <c r="H54" s="35">
        <f>SUMIF(Меню!$J$8:$DK$8,$C54,Меню!$J$151:$DK$151)/1000*$J$9</f>
        <v>0</v>
      </c>
      <c r="I54" s="36">
        <v>0</v>
      </c>
      <c r="J54" s="33"/>
      <c r="K54" s="34"/>
    </row>
    <row r="55" spans="2:11" ht="15.75" x14ac:dyDescent="0.25">
      <c r="B55" s="64">
        <f t="shared" si="1"/>
        <v>43</v>
      </c>
      <c r="C55" s="32" t="str">
        <f>инфо!C56</f>
        <v>Говядина б/к ,печень</v>
      </c>
      <c r="D55" s="33">
        <f>_xlfn.XLOOKUP($C55,Меню!$J$8:$DK$8,Меню!$J$152:$DK$152,"нет такого",,-1)</f>
        <v>112.5</v>
      </c>
      <c r="E55" s="35">
        <f>SUMIF(Меню!$J$8:$DK$8,$C55,Меню!$J$118:$DK$118)/1000*$J$6</f>
        <v>0</v>
      </c>
      <c r="F55" s="35">
        <f>SUMIF(Меню!$J$8:$DK$8,$C55,Меню!$J$133:$DK$133)/1000*J$7</f>
        <v>12.9375</v>
      </c>
      <c r="G55" s="35">
        <f>SUMIF(Меню!$J$8:$DK$8,$C55,Меню!$J$146:$DK$146)/1000*$J$8</f>
        <v>0</v>
      </c>
      <c r="H55" s="35">
        <f>SUMIF(Меню!$J$8:$DK$8,$C55,Меню!$J$151:$DK$151)/1000*$J$9</f>
        <v>0</v>
      </c>
      <c r="I55" s="36">
        <v>0</v>
      </c>
      <c r="J55" s="33"/>
      <c r="K55" s="34"/>
    </row>
    <row r="56" spans="2:11" ht="15.75" x14ac:dyDescent="0.25">
      <c r="B56" s="64">
        <f t="shared" si="1"/>
        <v>44</v>
      </c>
      <c r="C56" s="32" t="str">
        <f>инфо!C57</f>
        <v>Говядина на кости</v>
      </c>
      <c r="D56" s="33">
        <f>_xlfn.XLOOKUP($C56,Меню!$J$8:$DK$8,Меню!$J$152:$DK$152,"нет такого",,-1)</f>
        <v>25</v>
      </c>
      <c r="E56" s="35">
        <f>SUMIF(Меню!$J$8:$DK$8,$C56,Меню!$J$118:$DK$118)/1000*$J$6</f>
        <v>2.875</v>
      </c>
      <c r="F56" s="35">
        <f>SUMIF(Меню!$J$8:$DK$8,$C56,Меню!$J$133:$DK$133)/1000*J$7</f>
        <v>0</v>
      </c>
      <c r="G56" s="35">
        <f>SUMIF(Меню!$J$8:$DK$8,$C56,Меню!$J$146:$DK$146)/1000*$J$8</f>
        <v>0</v>
      </c>
      <c r="H56" s="35">
        <f>SUMIF(Меню!$J$8:$DK$8,$C56,Меню!$J$151:$DK$151)/1000*$J$9</f>
        <v>0</v>
      </c>
      <c r="I56" s="36">
        <v>0</v>
      </c>
      <c r="J56" s="33"/>
      <c r="K56" s="34"/>
    </row>
    <row r="57" spans="2:11" ht="15.75" x14ac:dyDescent="0.25">
      <c r="B57" s="64">
        <f t="shared" si="1"/>
        <v>45</v>
      </c>
      <c r="C57" s="32" t="str">
        <f>инфо!C58</f>
        <v>Мясо птицы</v>
      </c>
      <c r="D57" s="33">
        <f>_xlfn.XLOOKUP($C57,Меню!$J$8:$DK$8,Меню!$J$152:$DK$152,"нет такого",,-1)</f>
        <v>0</v>
      </c>
      <c r="E57" s="35">
        <f>SUMIF(Меню!$J$8:$DK$8,$C57,Меню!$J$118:$DK$118)/1000*$J$6</f>
        <v>0</v>
      </c>
      <c r="F57" s="35">
        <f>SUMIF(Меню!$J$8:$DK$8,$C57,Меню!$J$133:$DK$133)/1000*J$7</f>
        <v>0</v>
      </c>
      <c r="G57" s="35">
        <f>SUMIF(Меню!$J$8:$DK$8,$C57,Меню!$J$146:$DK$146)/1000*$J$8</f>
        <v>0</v>
      </c>
      <c r="H57" s="35">
        <f>SUMIF(Меню!$J$8:$DK$8,$C57,Меню!$J$151:$DK$151)/1000*$J$9</f>
        <v>0</v>
      </c>
      <c r="I57" s="36">
        <v>0</v>
      </c>
      <c r="J57" s="33"/>
      <c r="K57" s="34"/>
    </row>
    <row r="58" spans="2:11" ht="15.75" x14ac:dyDescent="0.25">
      <c r="B58" s="64">
        <f t="shared" si="1"/>
        <v>46</v>
      </c>
      <c r="C58" s="32" t="str">
        <f>инфо!C59</f>
        <v>Сардельки, сосиски</v>
      </c>
      <c r="D58" s="33">
        <f>_xlfn.XLOOKUP($C58,Меню!$J$8:$DK$8,Меню!$J$152:$DK$152,"нет такого",,-1)</f>
        <v>0</v>
      </c>
      <c r="E58" s="35">
        <f>SUMIF(Меню!$J$8:$DK$8,$C58,Меню!$J$118:$DK$118)/1000*$J$6</f>
        <v>0</v>
      </c>
      <c r="F58" s="35">
        <f>SUMIF(Меню!$J$8:$DK$8,$C58,Меню!$J$133:$DK$133)/1000*J$7</f>
        <v>0</v>
      </c>
      <c r="G58" s="35">
        <f>SUMIF(Меню!$J$8:$DK$8,$C58,Меню!$J$146:$DK$146)/1000*$J$8</f>
        <v>0</v>
      </c>
      <c r="H58" s="35">
        <f>SUMIF(Меню!$J$8:$DK$8,$C58,Меню!$J$151:$DK$151)/1000*$J$9</f>
        <v>0</v>
      </c>
      <c r="I58" s="36">
        <v>0</v>
      </c>
      <c r="J58" s="33"/>
      <c r="K58" s="34"/>
    </row>
    <row r="59" spans="2:11" ht="15.75" x14ac:dyDescent="0.25">
      <c r="B59" s="64">
        <f t="shared" si="1"/>
        <v>47</v>
      </c>
      <c r="C59" s="32" t="str">
        <f>инфо!C60</f>
        <v>Свинина б/к</v>
      </c>
      <c r="D59" s="33">
        <f>_xlfn.XLOOKUP($C59,Меню!$J$8:$DK$8,Меню!$J$152:$DK$152,"нет такого",,-1)</f>
        <v>120</v>
      </c>
      <c r="E59" s="35">
        <f>SUMIF(Меню!$J$8:$DK$8,$C59,Меню!$J$118:$DK$118)/1000*$J$6</f>
        <v>0</v>
      </c>
      <c r="F59" s="35">
        <f>SUMIF(Меню!$J$8:$DK$8,$C59,Меню!$J$133:$DK$133)/1000*J$7</f>
        <v>0</v>
      </c>
      <c r="G59" s="35">
        <f>SUMIF(Меню!$J$8:$DK$8,$C59,Меню!$J$146:$DK$146)/1000*$J$8</f>
        <v>13.799999999999999</v>
      </c>
      <c r="H59" s="35">
        <f>SUMIF(Меню!$J$8:$DK$8,$C59,Меню!$J$151:$DK$151)/1000*$J$9</f>
        <v>0</v>
      </c>
      <c r="I59" s="36">
        <f>SUM(E59:H59)</f>
        <v>13.799999999999999</v>
      </c>
      <c r="J59" s="33"/>
      <c r="K59" s="34"/>
    </row>
    <row r="60" spans="2:11" ht="15.75" x14ac:dyDescent="0.25">
      <c r="B60" s="64">
        <f t="shared" si="1"/>
        <v>48</v>
      </c>
      <c r="C60" s="32" t="str">
        <f>инфо!C61</f>
        <v>Свинина на кости</v>
      </c>
      <c r="D60" s="33">
        <f>_xlfn.XLOOKUP($C60,Меню!$J$8:$DK$8,Меню!$J$152:$DK$152,"нет такого",,-1)</f>
        <v>80</v>
      </c>
      <c r="E60" s="35">
        <f>SUMIF(Меню!$J$8:$DK$8,$C60,Меню!$J$118:$DK$118)/1000*$J$6</f>
        <v>9.2000000000000011</v>
      </c>
      <c r="F60" s="35">
        <f>SUMIF(Меню!$J$8:$DK$8,$C60,Меню!$J$133:$DK$133)/1000*J$7</f>
        <v>0</v>
      </c>
      <c r="G60" s="35">
        <f>SUMIF(Меню!$J$8:$DK$8,$C60,Меню!$J$146:$DK$146)/1000*$J$8</f>
        <v>0</v>
      </c>
      <c r="H60" s="35">
        <f>SUMIF(Меню!$J$8:$DK$8,$C60,Меню!$J$151:$DK$151)/1000*$J$9</f>
        <v>0</v>
      </c>
      <c r="I60" s="36">
        <f t="shared" ref="I60:I65" si="3">SUM(E60:H60)</f>
        <v>9.2000000000000011</v>
      </c>
      <c r="J60" s="33"/>
      <c r="K60" s="34"/>
    </row>
    <row r="61" spans="2:11" ht="15.75" x14ac:dyDescent="0.25">
      <c r="B61" s="64">
        <f t="shared" si="1"/>
        <v>49</v>
      </c>
      <c r="C61" s="32" t="str">
        <f>инфо!C62</f>
        <v>Колбаса с/к</v>
      </c>
      <c r="D61" s="33">
        <f>_xlfn.XLOOKUP($C61,Меню!$J$8:$DK$8,Меню!$J$152:$DK$152,"нет такого",,-1)</f>
        <v>0</v>
      </c>
      <c r="E61" s="35">
        <f>SUMIF(Меню!$J$8:$DK$8,$C61,Меню!$J$118:$DK$118)/1000*$J$6</f>
        <v>0</v>
      </c>
      <c r="F61" s="35">
        <f>SUMIF(Меню!$J$8:$DK$8,$C61,Меню!$J$133:$DK$133)/1000*J$7</f>
        <v>0</v>
      </c>
      <c r="G61" s="35">
        <f>SUMIF(Меню!$J$8:$DK$8,$C61,Меню!$J$146:$DK$146)/1000*$J$8</f>
        <v>0</v>
      </c>
      <c r="H61" s="35">
        <f>SUMIF(Меню!$J$8:$DK$8,$C61,Меню!$J$151:$DK$151)/1000*$J$9</f>
        <v>0</v>
      </c>
      <c r="I61" s="36">
        <f t="shared" si="3"/>
        <v>0</v>
      </c>
      <c r="J61" s="33"/>
      <c r="K61" s="34"/>
    </row>
    <row r="62" spans="2:11" ht="15.75" x14ac:dyDescent="0.25">
      <c r="B62" s="64">
        <f t="shared" si="1"/>
        <v>50</v>
      </c>
      <c r="C62" s="32" t="str">
        <f>инфо!C63</f>
        <v>Колбаса п/к</v>
      </c>
      <c r="D62" s="33">
        <f>_xlfn.XLOOKUP($C62,Меню!$J$8:$DK$8,Меню!$J$152:$DK$152,"нет такого",,-1)</f>
        <v>0</v>
      </c>
      <c r="E62" s="35">
        <f>SUMIF(Меню!$J$8:$DK$8,$C62,Меню!$J$118:$DK$118)/1000*$J$6</f>
        <v>0</v>
      </c>
      <c r="F62" s="35">
        <f>SUMIF(Меню!$J$8:$DK$8,$C62,Меню!$J$133:$DK$133)/1000*J$7</f>
        <v>0</v>
      </c>
      <c r="G62" s="35">
        <f>SUMIF(Меню!$J$8:$DK$8,$C62,Меню!$J$146:$DK$146)/1000*$J$8</f>
        <v>0</v>
      </c>
      <c r="H62" s="35">
        <f>SUMIF(Меню!$J$8:$DK$8,$C62,Меню!$J$151:$DK$151)/1000*$J$9</f>
        <v>0</v>
      </c>
      <c r="I62" s="36">
        <f t="shared" si="3"/>
        <v>0</v>
      </c>
      <c r="J62" s="33"/>
      <c r="K62" s="34"/>
    </row>
    <row r="63" spans="2:11" ht="15.75" x14ac:dyDescent="0.25">
      <c r="B63" s="64">
        <f t="shared" si="1"/>
        <v>51</v>
      </c>
      <c r="C63" s="32" t="str">
        <f>инфо!C66</f>
        <v xml:space="preserve">Рыба с/м </v>
      </c>
      <c r="D63" s="33">
        <f>_xlfn.XLOOKUP($C63,Меню!$J$8:$DK$8,Меню!$J$152:$DK$152,"нет такого",,-1)</f>
        <v>0</v>
      </c>
      <c r="E63" s="35">
        <f>SUMIF(Меню!$J$8:$DK$8,$C63,Меню!$J$118:$DK$118)/1000*$J$6</f>
        <v>0</v>
      </c>
      <c r="F63" s="35">
        <f>SUMIF(Меню!$J$8:$DK$8,$C63,Меню!$J$133:$DK$133)/1000*J$7</f>
        <v>0</v>
      </c>
      <c r="G63" s="35">
        <f>SUMIF(Меню!$J$8:$DK$8,$C63,Меню!$J$146:$DK$146)/1000*$J$8</f>
        <v>0</v>
      </c>
      <c r="H63" s="35">
        <f>SUMIF(Меню!$J$8:$DK$8,$C63,Меню!$J$151:$DK$151)/1000*$J$9</f>
        <v>0</v>
      </c>
      <c r="I63" s="36">
        <f t="shared" si="3"/>
        <v>0</v>
      </c>
      <c r="J63" s="33"/>
      <c r="K63" s="34"/>
    </row>
    <row r="64" spans="2:11" ht="15.75" x14ac:dyDescent="0.25">
      <c r="B64" s="64">
        <f t="shared" si="1"/>
        <v>52</v>
      </c>
      <c r="C64" s="32" t="str">
        <f>инфо!C67</f>
        <v>Мясо-рыба запас</v>
      </c>
      <c r="D64" s="33">
        <f>_xlfn.XLOOKUP($C64,Меню!$J$8:$DK$8,Меню!$J$152:$DK$152,"нет такого",,-1)</f>
        <v>0</v>
      </c>
      <c r="E64" s="35">
        <f>SUMIF(Меню!$J$8:$DK$8,$C64,Меню!$J$118:$DK$118)/1000*$J$6</f>
        <v>0</v>
      </c>
      <c r="F64" s="35">
        <f>SUMIF(Меню!$J$8:$DK$8,$C64,Меню!$J$133:$DK$133)/1000*J$7</f>
        <v>0</v>
      </c>
      <c r="G64" s="35">
        <f>SUMIF(Меню!$J$8:$DK$8,$C64,Меню!$J$146:$DK$146)/1000*$J$8</f>
        <v>0</v>
      </c>
      <c r="H64" s="35">
        <f>SUMIF(Меню!$J$8:$DK$8,$C64,Меню!$J$151:$DK$151)/1000*$J$9</f>
        <v>0</v>
      </c>
      <c r="I64" s="36">
        <f t="shared" si="3"/>
        <v>0</v>
      </c>
      <c r="J64" s="33"/>
      <c r="K64" s="34"/>
    </row>
    <row r="65" spans="2:11" ht="15.75" x14ac:dyDescent="0.25">
      <c r="B65" s="64">
        <f t="shared" si="1"/>
        <v>53</v>
      </c>
      <c r="C65" s="32" t="str">
        <f>инфо!C68</f>
        <v>Гексавит</v>
      </c>
      <c r="D65" s="33">
        <f>_xlfn.XLOOKUP($C65,Меню!$J$8:$DK$8,Меню!$J$152:$DK$152,"нет такого",,-1)</f>
        <v>0</v>
      </c>
      <c r="E65" s="35">
        <f>SUMIF(Меню!$J$8:$DK$8,$C65,Меню!$J$118:$DK$118)/1000*$J$6</f>
        <v>0</v>
      </c>
      <c r="F65" s="35">
        <f>SUMIF(Меню!$J$8:$DK$8,$C65,Меню!$J$133:$DK$133)/1000*J$7</f>
        <v>0</v>
      </c>
      <c r="G65" s="35">
        <f>SUMIF(Меню!$J$8:$DK$8,$C65,Меню!$J$146:$DK$146)/1000*$J$8</f>
        <v>0</v>
      </c>
      <c r="H65" s="35">
        <f>SUMIF(Меню!$J$8:$DK$8,$C65,Меню!$J$151:$DK$151)/1000*$J$9</f>
        <v>0</v>
      </c>
      <c r="I65" s="36">
        <f t="shared" si="3"/>
        <v>0</v>
      </c>
      <c r="J65" s="33"/>
      <c r="K65" s="34"/>
    </row>
    <row r="66" spans="2:11" ht="15.75" x14ac:dyDescent="0.25">
      <c r="B66" s="64">
        <f t="shared" si="1"/>
        <v>54</v>
      </c>
      <c r="C66" s="32" t="str">
        <f>инфо!C69</f>
        <v>Горчичный порошок</v>
      </c>
      <c r="D66" s="33">
        <f>_xlfn.XLOOKUP($C66,Меню!$J$8:$DK$8,Меню!$J$152:$DK$152,"нет такого",,-1)</f>
        <v>0.5</v>
      </c>
      <c r="E66" s="35">
        <f>SUMIF(Меню!$J$8:$DK$8,$C66,Меню!$J$118:$DK$118)/1000*$J$6</f>
        <v>0</v>
      </c>
      <c r="F66" s="35">
        <f>SUMIF(Меню!$J$8:$DK$8,$C66,Меню!$J$133:$DK$133)/1000*J$7</f>
        <v>5.7500000000000002E-2</v>
      </c>
      <c r="G66" s="35">
        <f>SUMIF(Меню!$J$8:$DK$8,$C66,Меню!$J$146:$DK$146)/1000*$J$8</f>
        <v>0</v>
      </c>
      <c r="H66" s="35">
        <f>SUMIF(Меню!$J$8:$DK$8,$C66,Меню!$J$151:$DK$151)/1000*$J$9</f>
        <v>0</v>
      </c>
      <c r="I66" s="36">
        <f>SUM(E66:H66)</f>
        <v>5.7500000000000002E-2</v>
      </c>
      <c r="J66" s="33"/>
      <c r="K66" s="34"/>
    </row>
    <row r="67" spans="2:11" ht="15.75" x14ac:dyDescent="0.25">
      <c r="B67" s="64">
        <f t="shared" si="1"/>
        <v>55</v>
      </c>
      <c r="C67" s="32" t="str">
        <f>инфо!C70</f>
        <v>Томат-паста</v>
      </c>
      <c r="D67" s="33">
        <f>_xlfn.XLOOKUP($C67,Меню!$J$8:$DK$8,Меню!$J$152:$DK$152,"нет такого",,-1)</f>
        <v>0</v>
      </c>
      <c r="E67" s="35">
        <f>SUMIF(Меню!$J$8:$DK$8,$C67,Меню!$J$118:$DK$118)/1000*$J$6</f>
        <v>0</v>
      </c>
      <c r="F67" s="35">
        <f>SUMIF(Меню!$J$8:$DK$8,$C67,Меню!$J$133:$DK$133)/1000*J$7</f>
        <v>0</v>
      </c>
      <c r="G67" s="35">
        <f>SUMIF(Меню!$J$8:$DK$8,$C67,Меню!$J$146:$DK$146)/1000*$J$8</f>
        <v>0</v>
      </c>
      <c r="H67" s="35">
        <f>SUMIF(Меню!$J$8:$DK$8,$C67,Меню!$J$151:$DK$151)/1000*$J$9</f>
        <v>0</v>
      </c>
      <c r="I67" s="36">
        <f t="shared" ref="I67:I105" si="4">SUM(E67:H67)</f>
        <v>0</v>
      </c>
      <c r="J67" s="33"/>
      <c r="K67" s="34"/>
    </row>
    <row r="68" spans="2:11" ht="15.75" x14ac:dyDescent="0.25">
      <c r="B68" s="64">
        <f t="shared" si="1"/>
        <v>56</v>
      </c>
      <c r="C68" s="32" t="str">
        <f>инфо!C71</f>
        <v>Уксус</v>
      </c>
      <c r="D68" s="33">
        <f>_xlfn.XLOOKUP($C68,Меню!$J$8:$DK$8,Меню!$J$152:$DK$152,"нет такого",,-1)</f>
        <v>0</v>
      </c>
      <c r="E68" s="35">
        <f>SUMIF(Меню!$J$8:$DK$8,$C68,Меню!$J$118:$DK$118)/1000*$J$6</f>
        <v>0</v>
      </c>
      <c r="F68" s="35">
        <f>SUMIF(Меню!$J$8:$DK$8,$C68,Меню!$J$133:$DK$133)/1000*J$7</f>
        <v>0</v>
      </c>
      <c r="G68" s="35">
        <f>SUMIF(Меню!$J$8:$DK$8,$C68,Меню!$J$146:$DK$146)/1000*$J$8</f>
        <v>0</v>
      </c>
      <c r="H68" s="35">
        <f>SUMIF(Меню!$J$8:$DK$8,$C68,Меню!$J$151:$DK$151)/1000*$J$9</f>
        <v>0</v>
      </c>
      <c r="I68" s="36">
        <f t="shared" si="4"/>
        <v>0</v>
      </c>
      <c r="J68" s="33"/>
      <c r="K68" s="34"/>
    </row>
    <row r="69" spans="2:11" ht="15.75" x14ac:dyDescent="0.25">
      <c r="B69" s="64">
        <f t="shared" si="1"/>
        <v>57</v>
      </c>
      <c r="C69" s="32" t="str">
        <f>инфо!C72</f>
        <v>Лавровый лист</v>
      </c>
      <c r="D69" s="33">
        <f>_xlfn.XLOOKUP($C69,Меню!$J$8:$DK$8,Меню!$J$152:$DK$152,"нет такого",,-1)</f>
        <v>0</v>
      </c>
      <c r="E69" s="35">
        <f>SUMIF(Меню!$J$8:$DK$8,$C69,Меню!$J$118:$DK$118)/1000*$J$6</f>
        <v>0</v>
      </c>
      <c r="F69" s="35">
        <f>SUMIF(Меню!$J$8:$DK$8,$C69,Меню!$J$133:$DK$133)/1000*J$7</f>
        <v>0</v>
      </c>
      <c r="G69" s="35">
        <f>SUMIF(Меню!$J$8:$DK$8,$C69,Меню!$J$146:$DK$146)/1000*$J$8</f>
        <v>0</v>
      </c>
      <c r="H69" s="35">
        <f>SUMIF(Меню!$J$8:$DK$8,$C69,Меню!$J$151:$DK$151)/1000*$J$9</f>
        <v>0</v>
      </c>
      <c r="I69" s="36">
        <f t="shared" si="4"/>
        <v>0</v>
      </c>
      <c r="J69" s="33"/>
      <c r="K69" s="34"/>
    </row>
    <row r="70" spans="2:11" ht="15.75" x14ac:dyDescent="0.25">
      <c r="B70" s="64">
        <f t="shared" si="1"/>
        <v>58</v>
      </c>
      <c r="C70" s="32" t="str">
        <f>инфо!C74</f>
        <v>Перец</v>
      </c>
      <c r="D70" s="33">
        <f>_xlfn.XLOOKUP($C70,Меню!$J$8:$DK$8,Меню!$J$152:$DK$152,"нет такого",,-1)</f>
        <v>0</v>
      </c>
      <c r="E70" s="35">
        <f>SUMIF(Меню!$J$8:$DK$8,$C70,Меню!$J$118:$DK$118)/1000*$J$6</f>
        <v>0</v>
      </c>
      <c r="F70" s="35">
        <f>SUMIF(Меню!$J$8:$DK$8,$C70,Меню!$J$133:$DK$133)/1000*J$7</f>
        <v>0</v>
      </c>
      <c r="G70" s="35">
        <f>SUMIF(Меню!$J$8:$DK$8,$C70,Меню!$J$146:$DK$146)/1000*$J$8</f>
        <v>0</v>
      </c>
      <c r="H70" s="35">
        <f>SUMIF(Меню!$J$8:$DK$8,$C70,Меню!$J$151:$DK$151)/1000*$J$9</f>
        <v>0</v>
      </c>
      <c r="I70" s="36">
        <f t="shared" si="4"/>
        <v>0</v>
      </c>
      <c r="J70" s="33"/>
      <c r="K70" s="34"/>
    </row>
    <row r="71" spans="2:11" ht="15.75" x14ac:dyDescent="0.25">
      <c r="B71" s="64">
        <f t="shared" si="1"/>
        <v>59</v>
      </c>
      <c r="C71" s="32" t="str">
        <f>инфо!C75</f>
        <v>Соль</v>
      </c>
      <c r="D71" s="33">
        <f>_xlfn.XLOOKUP($C71,Меню!$J$8:$DK$8,Меню!$J$152:$DK$152,"нет такого",,-1)</f>
        <v>0</v>
      </c>
      <c r="E71" s="35">
        <f>SUMIF(Меню!$J$8:$DK$8,$C71,Меню!$J$118:$DK$118)/1000*$J$6</f>
        <v>0</v>
      </c>
      <c r="F71" s="35">
        <f>SUMIF(Меню!$J$8:$DK$8,$C71,Меню!$J$133:$DK$133)/1000*J$7</f>
        <v>0</v>
      </c>
      <c r="G71" s="35">
        <f>SUMIF(Меню!$J$8:$DK$8,$C71,Меню!$J$146:$DK$146)/1000*$J$8</f>
        <v>0</v>
      </c>
      <c r="H71" s="35">
        <f>SUMIF(Меню!$J$8:$DK$8,$C71,Меню!$J$151:$DK$151)/1000*$J$9</f>
        <v>0</v>
      </c>
      <c r="I71" s="36">
        <f t="shared" si="4"/>
        <v>0</v>
      </c>
      <c r="J71" s="33"/>
      <c r="K71" s="34"/>
    </row>
    <row r="72" spans="2:11" ht="15.75" x14ac:dyDescent="0.25">
      <c r="B72" s="64">
        <f t="shared" si="1"/>
        <v>60</v>
      </c>
      <c r="C72" s="32" t="str">
        <f>инфо!C76</f>
        <v>Сахар</v>
      </c>
      <c r="D72" s="33">
        <f>_xlfn.XLOOKUP($C72,Меню!$J$8:$DK$8,Меню!$J$152:$DK$152,"нет такого",,-1)</f>
        <v>70</v>
      </c>
      <c r="E72" s="35">
        <f>SUMIF(Меню!$J$8:$DK$8,$C72,Меню!$J$118:$DK$118)/1000*$J$6</f>
        <v>2.875</v>
      </c>
      <c r="F72" s="35">
        <f>SUMIF(Меню!$J$8:$DK$8,$C72,Меню!$J$133:$DK$133)/1000*J$7</f>
        <v>2.3000000000000003</v>
      </c>
      <c r="G72" s="35">
        <f>SUMIF(Меню!$J$8:$DK$8,$C72,Меню!$J$146:$DK$146)/1000*$J$8</f>
        <v>0</v>
      </c>
      <c r="H72" s="35">
        <f>SUMIF(Меню!$J$8:$DK$8,$C72,Меню!$J$151:$DK$151)/1000*$J$9</f>
        <v>2.875</v>
      </c>
      <c r="I72" s="36">
        <f t="shared" si="4"/>
        <v>8.0500000000000007</v>
      </c>
      <c r="J72" s="33"/>
      <c r="K72" s="34"/>
    </row>
    <row r="73" spans="2:11" ht="15.75" x14ac:dyDescent="0.25">
      <c r="B73" s="64">
        <f t="shared" si="1"/>
        <v>61</v>
      </c>
      <c r="C73" s="32" t="str">
        <f>инфо!C77</f>
        <v>Чай</v>
      </c>
      <c r="D73" s="33">
        <f>_xlfn.XLOOKUP($C73,Меню!$J$8:$DK$8,Меню!$J$152:$DK$152,"нет такого",,-1)</f>
        <v>1</v>
      </c>
      <c r="E73" s="35">
        <f>SUMIF(Меню!$J$8:$DK$8,$C73,Меню!$J$118:$DK$118)/1000*$J$6</f>
        <v>0</v>
      </c>
      <c r="F73" s="35">
        <f>SUMIF(Меню!$J$8:$DK$8,$C73,Меню!$J$133:$DK$133)/1000*J$7</f>
        <v>0</v>
      </c>
      <c r="G73" s="35">
        <f>SUMIF(Меню!$J$8:$DK$8,$C73,Меню!$J$146:$DK$146)/1000*$J$8</f>
        <v>0</v>
      </c>
      <c r="H73" s="35">
        <f>SUMIF(Меню!$J$8:$DK$8,$C73,Меню!$J$151:$DK$151)/1000*$J$9</f>
        <v>0.115</v>
      </c>
      <c r="I73" s="36">
        <f t="shared" si="4"/>
        <v>0.115</v>
      </c>
      <c r="J73" s="33"/>
      <c r="K73" s="34"/>
    </row>
    <row r="74" spans="2:11" ht="15.75" x14ac:dyDescent="0.25">
      <c r="B74" s="64">
        <f t="shared" si="1"/>
        <v>62</v>
      </c>
      <c r="C74" s="32" t="str">
        <f>инфо!C78</f>
        <v>Кофе растворимый</v>
      </c>
      <c r="D74" s="33">
        <f>_xlfn.XLOOKUP($C74,Меню!$J$8:$DK$8,Меню!$J$152:$DK$152,"нет такого",,-1)</f>
        <v>1.5</v>
      </c>
      <c r="E74" s="35">
        <f>SUMIF(Меню!$J$8:$DK$8,$C74,Меню!$J$118:$DK$118)/1000*$J$6</f>
        <v>0.17250000000000001</v>
      </c>
      <c r="F74" s="35">
        <f>SUMIF(Меню!$J$8:$DK$8,$C74,Меню!$J$133:$DK$133)/1000*J$7</f>
        <v>0</v>
      </c>
      <c r="G74" s="35">
        <f>SUMIF(Меню!$J$8:$DK$8,$C74,Меню!$J$146:$DK$146)/1000*$J$8</f>
        <v>0</v>
      </c>
      <c r="H74" s="35">
        <f>SUMIF(Меню!$J$8:$DK$8,$C74,Меню!$J$151:$DK$151)/1000*$J$9</f>
        <v>0</v>
      </c>
      <c r="I74" s="36">
        <f t="shared" si="4"/>
        <v>0.17250000000000001</v>
      </c>
      <c r="J74" s="33"/>
      <c r="K74" s="34"/>
    </row>
    <row r="75" spans="2:11" ht="15.75" x14ac:dyDescent="0.25">
      <c r="B75" s="64">
        <f t="shared" si="1"/>
        <v>63</v>
      </c>
      <c r="C75" s="32" t="str">
        <f>инфо!C79</f>
        <v>Сок п/я</v>
      </c>
      <c r="D75" s="33">
        <f>_xlfn.XLOOKUP($C75,Меню!$J$8:$DK$8,Меню!$J$152:$DK$152,"нет такого",,-1)</f>
        <v>200</v>
      </c>
      <c r="E75" s="35">
        <f>SUMIF(Меню!$J$8:$DK$8,$C75,Меню!$J$118:$DK$118)/1000*$J$6</f>
        <v>0</v>
      </c>
      <c r="F75" s="35">
        <f>SUMIF(Меню!$J$8:$DK$8,$C75,Меню!$J$133:$DK$133)/1000*J$7</f>
        <v>0</v>
      </c>
      <c r="G75" s="35">
        <f>SUMIF(Меню!$J$8:$DK$8,$C75,Меню!$J$146:$DK$146)/1000*$J$8</f>
        <v>23</v>
      </c>
      <c r="H75" s="35">
        <f>SUMIF(Меню!$J$8:$DK$8,$C75,Меню!$J$151:$DK$151)/1000*$J$9</f>
        <v>0</v>
      </c>
      <c r="I75" s="36">
        <f t="shared" si="4"/>
        <v>23</v>
      </c>
      <c r="J75" s="33"/>
      <c r="K75" s="34"/>
    </row>
    <row r="76" spans="2:11" ht="15.75" x14ac:dyDescent="0.25">
      <c r="B76" s="64">
        <f t="shared" si="1"/>
        <v>64</v>
      </c>
      <c r="C76" s="32" t="str">
        <f>инфо!C80</f>
        <v>Кофе БС</v>
      </c>
      <c r="D76" s="33">
        <f>_xlfn.XLOOKUP($C76,Меню!$J$8:$DK$8,Меню!$J$152:$DK$152,"нет такого",,-1)</f>
        <v>0</v>
      </c>
      <c r="E76" s="35">
        <f>SUMIF(Меню!$J$8:$DK$8,$C76,Меню!$J$118:$DK$118)/1000*$J$6</f>
        <v>0</v>
      </c>
      <c r="F76" s="35">
        <f>SUMIF(Меню!$J$8:$DK$8,$C76,Меню!$J$133:$DK$133)/1000*J$7</f>
        <v>0</v>
      </c>
      <c r="G76" s="35">
        <f>SUMIF(Меню!$J$8:$DK$8,$C76,Меню!$J$146:$DK$146)/1000*$J$8</f>
        <v>0</v>
      </c>
      <c r="H76" s="35">
        <f>SUMIF(Меню!$J$8:$DK$8,$C76,Меню!$J$151:$DK$151)/1000*$J$9</f>
        <v>0</v>
      </c>
      <c r="I76" s="36">
        <f t="shared" si="4"/>
        <v>0</v>
      </c>
      <c r="J76" s="33"/>
      <c r="K76" s="34"/>
    </row>
    <row r="77" spans="2:11" ht="15.75" x14ac:dyDescent="0.25">
      <c r="B77" s="64">
        <f t="shared" si="1"/>
        <v>65</v>
      </c>
      <c r="C77" s="32" t="str">
        <f>инфо!C81</f>
        <v>Курага</v>
      </c>
      <c r="D77" s="33">
        <f>_xlfn.XLOOKUP($C77,Меню!$J$8:$DK$8,Меню!$J$152:$DK$152,"нет такого",,-1)</f>
        <v>8</v>
      </c>
      <c r="E77" s="35">
        <f>SUMIF(Меню!$J$8:$DK$8,$C77,Меню!$J$118:$DK$118)/1000*$J$6</f>
        <v>0</v>
      </c>
      <c r="F77" s="35">
        <f>SUMIF(Меню!$J$8:$DK$8,$C77,Меню!$J$133:$DK$133)/1000*J$7</f>
        <v>0.92</v>
      </c>
      <c r="G77" s="35">
        <f>SUMIF(Меню!$J$8:$DK$8,$C77,Меню!$J$146:$DK$146)/1000*$J$8</f>
        <v>0</v>
      </c>
      <c r="H77" s="35">
        <f>SUMIF(Меню!$J$8:$DK$8,$C77,Меню!$J$151:$DK$151)/1000*$J$9</f>
        <v>0</v>
      </c>
      <c r="I77" s="36">
        <f t="shared" ref="I77:I92" si="5">SUM(E77:H77)</f>
        <v>0.92</v>
      </c>
      <c r="J77" s="33"/>
      <c r="K77" s="34"/>
    </row>
    <row r="78" spans="2:11" ht="15.75" x14ac:dyDescent="0.25">
      <c r="B78" s="64">
        <f t="shared" si="1"/>
        <v>66</v>
      </c>
      <c r="C78" s="32" t="str">
        <f>инфо!C82</f>
        <v>Изюм</v>
      </c>
      <c r="D78" s="33">
        <f>_xlfn.XLOOKUP($C78,Меню!$J$8:$DK$8,Меню!$J$152:$DK$152,"нет такого",,-1)</f>
        <v>8</v>
      </c>
      <c r="E78" s="35">
        <f>SUMIF(Меню!$J$8:$DK$8,$C78,Меню!$J$118:$DK$118)/1000*$J$6</f>
        <v>0</v>
      </c>
      <c r="F78" s="35">
        <f>SUMIF(Меню!$J$8:$DK$8,$C78,Меню!$J$133:$DK$133)/1000*J$7</f>
        <v>0.92</v>
      </c>
      <c r="G78" s="35">
        <f>SUMIF(Меню!$J$8:$DK$8,$C78,Меню!$J$146:$DK$146)/1000*$J$8</f>
        <v>0</v>
      </c>
      <c r="H78" s="35">
        <f>SUMIF(Меню!$J$8:$DK$8,$C78,Меню!$J$151:$DK$151)/1000*$J$9</f>
        <v>0</v>
      </c>
      <c r="I78" s="36">
        <f t="shared" si="5"/>
        <v>0.92</v>
      </c>
      <c r="J78" s="33"/>
      <c r="K78" s="34"/>
    </row>
    <row r="79" spans="2:11" ht="15.75" x14ac:dyDescent="0.25">
      <c r="B79" s="64">
        <f t="shared" ref="B79:B104" si="6">B78+1</f>
        <v>67</v>
      </c>
      <c r="C79" s="32" t="str">
        <f>инфо!C83</f>
        <v>Чернослив</v>
      </c>
      <c r="D79" s="33">
        <f>_xlfn.XLOOKUP($C79,Меню!$J$8:$DK$8,Меню!$J$152:$DK$152,"нет такого",,-1)</f>
        <v>4</v>
      </c>
      <c r="E79" s="35">
        <f>SUMIF(Меню!$J$8:$DK$8,$C79,Меню!$J$118:$DK$118)/1000*$J$6</f>
        <v>0</v>
      </c>
      <c r="F79" s="35">
        <f>SUMIF(Меню!$J$8:$DK$8,$C79,Меню!$J$133:$DK$133)/1000*J$7</f>
        <v>0.46</v>
      </c>
      <c r="G79" s="35">
        <f>SUMIF(Меню!$J$8:$DK$8,$C79,Меню!$J$146:$DK$146)/1000*$J$8</f>
        <v>0</v>
      </c>
      <c r="H79" s="35">
        <f>SUMIF(Меню!$J$8:$DK$8,$C79,Меню!$J$151:$DK$151)/1000*$J$9</f>
        <v>0</v>
      </c>
      <c r="I79" s="36">
        <f t="shared" si="5"/>
        <v>0.46</v>
      </c>
      <c r="J79" s="33"/>
      <c r="K79" s="34"/>
    </row>
    <row r="80" spans="2:11" ht="15.75" x14ac:dyDescent="0.25">
      <c r="B80" s="64">
        <f t="shared" si="6"/>
        <v>68</v>
      </c>
      <c r="C80" s="32" t="str">
        <f>инфо!C84</f>
        <v>Вода</v>
      </c>
      <c r="D80" s="33">
        <f>_xlfn.XLOOKUP($C80,Меню!$J$8:$DK$8,Меню!$J$152:$DK$152,"нет такого",,-1)</f>
        <v>0</v>
      </c>
      <c r="E80" s="35">
        <f>SUMIF(Меню!$J$8:$DK$8,$C80,Меню!$J$118:$DK$118)/1000*$J$6</f>
        <v>0</v>
      </c>
      <c r="F80" s="35">
        <f>SUMIF(Меню!$J$8:$DK$8,$C80,Меню!$J$133:$DK$133)/1000*J$7</f>
        <v>0</v>
      </c>
      <c r="G80" s="35">
        <f>SUMIF(Меню!$J$8:$DK$8,$C80,Меню!$J$146:$DK$146)/1000*$J$8</f>
        <v>0</v>
      </c>
      <c r="H80" s="35">
        <f>SUMIF(Меню!$J$8:$DK$8,$C80,Меню!$J$151:$DK$151)/1000*$J$9</f>
        <v>0</v>
      </c>
      <c r="I80" s="36">
        <f t="shared" si="5"/>
        <v>0</v>
      </c>
      <c r="J80" s="33"/>
      <c r="K80" s="34"/>
    </row>
    <row r="81" spans="2:11" ht="15.75" x14ac:dyDescent="0.25">
      <c r="B81" s="64">
        <f t="shared" si="6"/>
        <v>69</v>
      </c>
      <c r="C81" s="32" t="str">
        <f>инфо!C85</f>
        <v>Прочие 1</v>
      </c>
      <c r="D81" s="33">
        <f>_xlfn.XLOOKUP($C81,Меню!$J$8:$DK$8,Меню!$J$152:$DK$152,"нет такого",,-1)</f>
        <v>0</v>
      </c>
      <c r="E81" s="35">
        <f>SUMIF(Меню!$J$8:$DK$8,$C81,Меню!$J$118:$DK$118)/1000*$J$6</f>
        <v>0</v>
      </c>
      <c r="F81" s="35">
        <f>SUMIF(Меню!$J$8:$DK$8,$C81,Меню!$J$133:$DK$133)/1000*J$7</f>
        <v>0</v>
      </c>
      <c r="G81" s="35">
        <f>SUMIF(Меню!$J$8:$DK$8,$C81,Меню!$J$146:$DK$146)/1000*$J$8</f>
        <v>0</v>
      </c>
      <c r="H81" s="35">
        <f>SUMIF(Меню!$J$8:$DK$8,$C81,Меню!$J$151:$DK$151)/1000*$J$9</f>
        <v>0</v>
      </c>
      <c r="I81" s="36">
        <f t="shared" si="5"/>
        <v>0</v>
      </c>
      <c r="J81" s="33"/>
      <c r="K81" s="34"/>
    </row>
    <row r="82" spans="2:11" ht="15.75" x14ac:dyDescent="0.25">
      <c r="B82" s="64">
        <f t="shared" si="6"/>
        <v>70</v>
      </c>
      <c r="C82" s="32" t="str">
        <f>инфо!C86</f>
        <v>Апельсины</v>
      </c>
      <c r="D82" s="33">
        <f>_xlfn.XLOOKUP($C82,Меню!$J$8:$DK$8,Меню!$J$152:$DK$152,"нет такого",,-1)</f>
        <v>0</v>
      </c>
      <c r="E82" s="35">
        <f>SUMIF(Меню!$J$8:$DK$8,$C82,Меню!$J$118:$DK$118)/1000*$J$6</f>
        <v>0</v>
      </c>
      <c r="F82" s="35">
        <f>SUMIF(Меню!$J$8:$DK$8,$C82,Меню!$J$133:$DK$133)/1000*J$7</f>
        <v>0</v>
      </c>
      <c r="G82" s="35">
        <f>SUMIF(Меню!$J$8:$DK$8,$C82,Меню!$J$146:$DK$146)/1000*$J$8</f>
        <v>0</v>
      </c>
      <c r="H82" s="35">
        <f>SUMIF(Меню!$J$8:$DK$8,$C82,Меню!$J$151:$DK$151)/1000*$J$9</f>
        <v>0</v>
      </c>
      <c r="I82" s="36">
        <f t="shared" si="5"/>
        <v>0</v>
      </c>
      <c r="J82" s="33"/>
      <c r="K82" s="34"/>
    </row>
    <row r="83" spans="2:11" ht="15.75" x14ac:dyDescent="0.25">
      <c r="B83" s="64">
        <f t="shared" si="6"/>
        <v>71</v>
      </c>
      <c r="C83" s="32" t="str">
        <f>инфо!C87</f>
        <v>Вафли</v>
      </c>
      <c r="D83" s="33">
        <f>_xlfn.XLOOKUP($C83,Меню!$J$8:$DK$8,Меню!$J$152:$DK$152,"нет такого",,-1)</f>
        <v>0</v>
      </c>
      <c r="E83" s="35">
        <f>SUMIF(Меню!$J$8:$DK$8,$C83,Меню!$J$118:$DK$118)/1000*$J$6</f>
        <v>0</v>
      </c>
      <c r="F83" s="35">
        <f>SUMIF(Меню!$J$8:$DK$8,$C83,Меню!$J$133:$DK$133)/1000*J$7</f>
        <v>0</v>
      </c>
      <c r="G83" s="35">
        <f>SUMIF(Меню!$J$8:$DK$8,$C83,Меню!$J$146:$DK$146)/1000*$J$8</f>
        <v>0</v>
      </c>
      <c r="H83" s="35">
        <f>SUMIF(Меню!$J$8:$DK$8,$C83,Меню!$J$151:$DK$151)/1000*$J$9</f>
        <v>0</v>
      </c>
      <c r="I83" s="36">
        <f t="shared" si="5"/>
        <v>0</v>
      </c>
      <c r="J83" s="33"/>
      <c r="K83" s="34"/>
    </row>
    <row r="84" spans="2:11" ht="15.75" x14ac:dyDescent="0.25">
      <c r="B84" s="64">
        <f t="shared" si="6"/>
        <v>72</v>
      </c>
      <c r="C84" s="32" t="str">
        <f>инфо!C88</f>
        <v>Карамель</v>
      </c>
      <c r="D84" s="33">
        <f>_xlfn.XLOOKUP($C84,Меню!$J$8:$DK$8,Меню!$J$152:$DK$152,"нет такого",,-1)</f>
        <v>20</v>
      </c>
      <c r="E84" s="35">
        <f>SUMIF(Меню!$J$8:$DK$8,$C84,Меню!$J$118:$DK$118)/1000*$J$6</f>
        <v>0</v>
      </c>
      <c r="F84" s="35">
        <f>SUMIF(Меню!$J$8:$DK$8,$C84,Меню!$J$133:$DK$133)/1000*J$7</f>
        <v>2.3000000000000003</v>
      </c>
      <c r="G84" s="35">
        <f>SUMIF(Меню!$J$8:$DK$8,$C84,Меню!$J$146:$DK$146)/1000*$J$8</f>
        <v>0</v>
      </c>
      <c r="H84" s="35">
        <f>SUMIF(Меню!$J$8:$DK$8,$C84,Меню!$J$151:$DK$151)/1000*$J$9</f>
        <v>0</v>
      </c>
      <c r="I84" s="36">
        <f t="shared" si="5"/>
        <v>2.3000000000000003</v>
      </c>
      <c r="J84" s="33"/>
      <c r="K84" s="34"/>
    </row>
    <row r="85" spans="2:11" ht="15.75" x14ac:dyDescent="0.25">
      <c r="B85" s="64">
        <f t="shared" si="6"/>
        <v>73</v>
      </c>
      <c r="C85" s="32" t="str">
        <f>инфо!C89</f>
        <v>Конфеты шоколадные</v>
      </c>
      <c r="D85" s="33">
        <f>_xlfn.XLOOKUP($C85,Меню!$J$8:$DK$8,Меню!$J$152:$DK$152,"нет такого",,-1)</f>
        <v>0</v>
      </c>
      <c r="E85" s="35">
        <f>SUMIF(Меню!$J$8:$DK$8,$C85,Меню!$J$118:$DK$118)/1000*$J$6</f>
        <v>0</v>
      </c>
      <c r="F85" s="35">
        <f>SUMIF(Меню!$J$8:$DK$8,$C85,Меню!$J$133:$DK$133)/1000*J$7</f>
        <v>0</v>
      </c>
      <c r="G85" s="35">
        <f>SUMIF(Меню!$J$8:$DK$8,$C85,Меню!$J$146:$DK$146)/1000*$J$8</f>
        <v>0</v>
      </c>
      <c r="H85" s="35">
        <f>SUMIF(Меню!$J$8:$DK$8,$C85,Меню!$J$151:$DK$151)/1000*$J$9</f>
        <v>0</v>
      </c>
      <c r="I85" s="36">
        <f t="shared" si="5"/>
        <v>0</v>
      </c>
      <c r="J85" s="33"/>
      <c r="K85" s="34"/>
    </row>
    <row r="86" spans="2:11" ht="15.75" x14ac:dyDescent="0.25">
      <c r="B86" s="64">
        <f t="shared" si="6"/>
        <v>74</v>
      </c>
      <c r="C86" s="32" t="str">
        <f>инфо!C90</f>
        <v>Яблоки свежие</v>
      </c>
      <c r="D86" s="33">
        <f>_xlfn.XLOOKUP($C86,Меню!$J$8:$DK$8,Меню!$J$152:$DK$152,"нет такого",,-1)</f>
        <v>0</v>
      </c>
      <c r="E86" s="35">
        <f>SUMIF(Меню!$J$8:$DK$8,$C86,Меню!$J$118:$DK$118)/1000*$J$6</f>
        <v>0</v>
      </c>
      <c r="F86" s="35">
        <f>SUMIF(Меню!$J$8:$DK$8,$C86,Меню!$J$133:$DK$133)/1000*J$7</f>
        <v>0</v>
      </c>
      <c r="G86" s="35">
        <f>SUMIF(Меню!$J$8:$DK$8,$C86,Меню!$J$146:$DK$146)/1000*$J$8</f>
        <v>0</v>
      </c>
      <c r="H86" s="35">
        <f>SUMIF(Меню!$J$8:$DK$8,$C86,Меню!$J$151:$DK$151)/1000*$J$9</f>
        <v>0</v>
      </c>
      <c r="I86" s="36">
        <f t="shared" si="5"/>
        <v>0</v>
      </c>
      <c r="J86" s="33"/>
      <c r="K86" s="34"/>
    </row>
    <row r="87" spans="2:11" ht="15.75" x14ac:dyDescent="0.25">
      <c r="B87" s="64">
        <f t="shared" si="6"/>
        <v>75</v>
      </c>
      <c r="C87" s="32" t="str">
        <f>инфо!C91</f>
        <v>Печенье</v>
      </c>
      <c r="D87" s="33">
        <f>_xlfn.XLOOKUP($C87,Меню!$J$8:$DK$8,Меню!$J$152:$DK$152,"нет такого",,-1)</f>
        <v>60</v>
      </c>
      <c r="E87" s="35">
        <f>SUMIF(Меню!$J$8:$DK$8,$C87,Меню!$J$118:$DK$118)/1000*$J$6</f>
        <v>0</v>
      </c>
      <c r="F87" s="35">
        <f>SUMIF(Меню!$J$8:$DK$8,$C87,Меню!$J$133:$DK$133)/1000*J$7</f>
        <v>0</v>
      </c>
      <c r="G87" s="35">
        <f>SUMIF(Меню!$J$8:$DK$8,$C87,Меню!$J$146:$DK$146)/1000*$J$8</f>
        <v>0</v>
      </c>
      <c r="H87" s="35">
        <f>SUMIF(Меню!$J$8:$DK$8,$C87,Меню!$J$151:$DK$151)/1000*$J$9</f>
        <v>6.8999999999999995</v>
      </c>
      <c r="I87" s="36">
        <f t="shared" si="5"/>
        <v>6.8999999999999995</v>
      </c>
      <c r="J87" s="33"/>
      <c r="K87" s="34"/>
    </row>
    <row r="88" spans="2:11" ht="15.75" x14ac:dyDescent="0.25">
      <c r="B88" s="64">
        <f t="shared" si="6"/>
        <v>76</v>
      </c>
      <c r="C88" s="32" t="str">
        <f>инфо!C92</f>
        <v>Печенье БС</v>
      </c>
      <c r="D88" s="33">
        <f>_xlfn.XLOOKUP($C88,Меню!$J$8:$DK$8,Меню!$J$152:$DK$152,"нет такого",,-1)</f>
        <v>0</v>
      </c>
      <c r="E88" s="35">
        <f>SUMIF(Меню!$J$8:$DK$8,$C88,Меню!$J$118:$DK$118)/1000*$J$6</f>
        <v>0</v>
      </c>
      <c r="F88" s="35">
        <f>SUMIF(Меню!$J$8:$DK$8,$C88,Меню!$J$133:$DK$133)/1000*J$7</f>
        <v>0</v>
      </c>
      <c r="G88" s="35">
        <f>SUMIF(Меню!$J$8:$DK$8,$C88,Меню!$J$146:$DK$146)/1000*$J$8</f>
        <v>0</v>
      </c>
      <c r="H88" s="35">
        <f>SUMIF(Меню!$J$8:$DK$8,$C88,Меню!$J$151:$DK$151)/1000*$J$9</f>
        <v>0</v>
      </c>
      <c r="I88" s="36">
        <f t="shared" si="5"/>
        <v>0</v>
      </c>
      <c r="J88" s="33"/>
      <c r="K88" s="34"/>
    </row>
    <row r="89" spans="2:11" ht="15.75" x14ac:dyDescent="0.25">
      <c r="B89" s="64">
        <f t="shared" si="6"/>
        <v>77</v>
      </c>
      <c r="C89" s="32" t="str">
        <f>инфо!C93</f>
        <v>Пряники, печенье</v>
      </c>
      <c r="D89" s="33">
        <f>_xlfn.XLOOKUP($C89,Меню!$J$8:$DK$8,Меню!$J$152:$DK$152,"нет такого",,-1)</f>
        <v>0</v>
      </c>
      <c r="E89" s="35">
        <f>SUMIF(Меню!$J$8:$DK$8,$C89,Меню!$J$118:$DK$118)/1000*$J$6</f>
        <v>0</v>
      </c>
      <c r="F89" s="35">
        <f>SUMIF(Меню!$J$8:$DK$8,$C89,Меню!$J$133:$DK$133)/1000*J$7</f>
        <v>0</v>
      </c>
      <c r="G89" s="35">
        <f>SUMIF(Меню!$J$8:$DK$8,$C89,Меню!$J$146:$DK$146)/1000*$J$8</f>
        <v>0</v>
      </c>
      <c r="H89" s="35">
        <f>SUMIF(Меню!$J$8:$DK$8,$C89,Меню!$J$151:$DK$151)/1000*$J$9</f>
        <v>0</v>
      </c>
      <c r="I89" s="36">
        <f t="shared" si="5"/>
        <v>0</v>
      </c>
      <c r="J89" s="33"/>
      <c r="K89" s="34"/>
    </row>
    <row r="90" spans="2:11" ht="15.75" x14ac:dyDescent="0.25">
      <c r="B90" s="64">
        <f t="shared" si="6"/>
        <v>78</v>
      </c>
      <c r="C90" s="32" t="str">
        <f>инфо!C94</f>
        <v>Сок яблочный</v>
      </c>
      <c r="D90" s="33">
        <f>_xlfn.XLOOKUP($C90,Меню!$J$8:$DK$8,Меню!$J$152:$DK$152,"нет такого",,-1)</f>
        <v>0</v>
      </c>
      <c r="E90" s="35">
        <f>SUMIF(Меню!$J$8:$DK$8,$C90,Меню!$J$118:$DK$118)/1000*$J$6</f>
        <v>0</v>
      </c>
      <c r="F90" s="35">
        <f>SUMIF(Меню!$J$8:$DK$8,$C90,Меню!$J$133:$DK$133)/1000*J$7</f>
        <v>0</v>
      </c>
      <c r="G90" s="35">
        <f>SUMIF(Меню!$J$8:$DK$8,$C90,Меню!$J$146:$DK$146)/1000*$J$8</f>
        <v>0</v>
      </c>
      <c r="H90" s="35">
        <f>SUMIF(Меню!$J$8:$DK$8,$C90,Меню!$J$151:$DK$151)/1000*$J$9</f>
        <v>0</v>
      </c>
      <c r="I90" s="36">
        <f t="shared" si="5"/>
        <v>0</v>
      </c>
      <c r="J90" s="33"/>
      <c r="K90" s="34"/>
    </row>
    <row r="91" spans="2:11" ht="15.75" x14ac:dyDescent="0.25">
      <c r="B91" s="64">
        <f t="shared" si="6"/>
        <v>79</v>
      </c>
      <c r="C91" s="32" t="str">
        <f>инфо!C95</f>
        <v>Доп.продукт 1</v>
      </c>
      <c r="D91" s="33">
        <f>_xlfn.XLOOKUP($C91,Меню!$J$8:$DK$8,Меню!$J$152:$DK$152,"нет такого",,-1)</f>
        <v>0</v>
      </c>
      <c r="E91" s="35">
        <f>SUMIF(Меню!$J$8:$DK$8,$C91,Меню!$J$118:$DK$118)/1000*$J$6</f>
        <v>0</v>
      </c>
      <c r="F91" s="35">
        <f>SUMIF(Меню!$J$8:$DK$8,$C91,Меню!$J$133:$DK$133)/1000*J$7</f>
        <v>0</v>
      </c>
      <c r="G91" s="35">
        <f>SUMIF(Меню!$J$8:$DK$8,$C91,Меню!$J$146:$DK$146)/1000*$J$8</f>
        <v>0</v>
      </c>
      <c r="H91" s="35">
        <f>SUMIF(Меню!$J$8:$DK$8,$C91,Меню!$J$151:$DK$151)/1000*$J$9</f>
        <v>0</v>
      </c>
      <c r="I91" s="36">
        <f t="shared" si="5"/>
        <v>0</v>
      </c>
      <c r="J91" s="33"/>
      <c r="K91" s="34"/>
    </row>
    <row r="92" spans="2:11" ht="15.75" x14ac:dyDescent="0.25">
      <c r="B92" s="64">
        <f t="shared" si="6"/>
        <v>80</v>
      </c>
      <c r="C92" s="32" t="str">
        <f>инфо!C96</f>
        <v>Доп.продукт 2</v>
      </c>
      <c r="D92" s="33">
        <f>_xlfn.XLOOKUP($C92,Меню!$J$8:$DK$8,Меню!$J$152:$DK$152,"нет такого",,-1)</f>
        <v>0</v>
      </c>
      <c r="E92" s="35">
        <f>SUMIF(Меню!$J$8:$DK$8,$C92,Меню!$J$118:$DK$118)/1000*$J$6</f>
        <v>0</v>
      </c>
      <c r="F92" s="35">
        <f>SUMIF(Меню!$J$8:$DK$8,$C92,Меню!$J$133:$DK$133)/1000*J$7</f>
        <v>0</v>
      </c>
      <c r="G92" s="35">
        <f>SUMIF(Меню!$J$8:$DK$8,$C92,Меню!$J$146:$DK$146)/1000*$J$8</f>
        <v>0</v>
      </c>
      <c r="H92" s="35">
        <f>SUMIF(Меню!$J$8:$DK$8,$C92,Меню!$J$151:$DK$151)/1000*$J$9</f>
        <v>0</v>
      </c>
      <c r="I92" s="36">
        <f t="shared" si="5"/>
        <v>0</v>
      </c>
      <c r="J92" s="33"/>
      <c r="K92" s="34"/>
    </row>
    <row r="93" spans="2:11" ht="15.75" x14ac:dyDescent="0.25">
      <c r="B93" s="64">
        <f t="shared" si="6"/>
        <v>81</v>
      </c>
      <c r="C93" s="32" t="str">
        <f>инфо!C97</f>
        <v>Доп.продукт 3</v>
      </c>
      <c r="D93" s="33">
        <f>_xlfn.XLOOKUP($C93,Меню!$J$8:$DK$8,Меню!$J$152:$DK$152,"нет такого",,-1)</f>
        <v>0</v>
      </c>
      <c r="E93" s="35">
        <f>SUMIF(Меню!$J$8:$DK$8,$C93,Меню!$J$118:$DK$118)/1000*$J$6</f>
        <v>0</v>
      </c>
      <c r="F93" s="35">
        <f>SUMIF(Меню!$J$8:$DK$8,$C93,Меню!$J$133:$DK$133)/1000*J$7</f>
        <v>0</v>
      </c>
      <c r="G93" s="35">
        <f>SUMIF(Меню!$J$8:$DK$8,$C93,Меню!$J$146:$DK$146)/1000*$J$8</f>
        <v>0</v>
      </c>
      <c r="H93" s="35">
        <f>SUMIF(Меню!$J$8:$DK$8,$C93,Меню!$J$151:$DK$151)/1000*$J$9</f>
        <v>0</v>
      </c>
      <c r="I93" s="36">
        <f t="shared" ref="I93:I104" si="7">SUM(E93:H93)</f>
        <v>0</v>
      </c>
      <c r="J93" s="33"/>
      <c r="K93" s="34"/>
    </row>
    <row r="94" spans="2:11" ht="15.75" x14ac:dyDescent="0.25">
      <c r="B94" s="64">
        <f t="shared" si="6"/>
        <v>82</v>
      </c>
      <c r="C94" s="32" t="str">
        <f>инфо!C98</f>
        <v>Доп.продукт 4</v>
      </c>
      <c r="D94" s="33">
        <f>_xlfn.XLOOKUP($C94,Меню!$J$8:$DK$8,Меню!$J$152:$DK$152,"нет такого",,-1)</f>
        <v>0</v>
      </c>
      <c r="E94" s="35">
        <f>SUMIF(Меню!$J$8:$DK$8,$C94,Меню!$J$118:$DK$118)/1000*$J$6</f>
        <v>0</v>
      </c>
      <c r="F94" s="35">
        <f>SUMIF(Меню!$J$8:$DK$8,$C94,Меню!$J$133:$DK$133)/1000*J$7</f>
        <v>0</v>
      </c>
      <c r="G94" s="35">
        <f>SUMIF(Меню!$J$8:$DK$8,$C94,Меню!$J$146:$DK$146)/1000*$J$8</f>
        <v>0</v>
      </c>
      <c r="H94" s="35">
        <f>SUMIF(Меню!$J$8:$DK$8,$C94,Меню!$J$151:$DK$151)/1000*$J$9</f>
        <v>0</v>
      </c>
      <c r="I94" s="36">
        <f t="shared" si="7"/>
        <v>0</v>
      </c>
      <c r="J94" s="33"/>
      <c r="K94" s="34"/>
    </row>
    <row r="95" spans="2:11" ht="15.75" x14ac:dyDescent="0.25">
      <c r="B95" s="64">
        <f t="shared" si="6"/>
        <v>83</v>
      </c>
      <c r="C95" s="32" t="str">
        <f>инфо!C99</f>
        <v>Доп.продукт 5</v>
      </c>
      <c r="D95" s="33">
        <f>_xlfn.XLOOKUP($C95,Меню!$J$8:$DK$8,Меню!$J$152:$DK$152,"нет такого",,-1)</f>
        <v>0</v>
      </c>
      <c r="E95" s="35">
        <f>SUMIF(Меню!$J$8:$DK$8,$C95,Меню!$J$118:$DK$118)/1000*$J$6</f>
        <v>0</v>
      </c>
      <c r="F95" s="35">
        <f>SUMIF(Меню!$J$8:$DK$8,$C95,Меню!$J$133:$DK$133)/1000*J$7</f>
        <v>0</v>
      </c>
      <c r="G95" s="35">
        <f>SUMIF(Меню!$J$8:$DK$8,$C95,Меню!$J$146:$DK$146)/1000*$J$8</f>
        <v>0</v>
      </c>
      <c r="H95" s="35">
        <f>SUMIF(Меню!$J$8:$DK$8,$C95,Меню!$J$151:$DK$151)/1000*$J$9</f>
        <v>0</v>
      </c>
      <c r="I95" s="36">
        <f t="shared" si="7"/>
        <v>0</v>
      </c>
      <c r="J95" s="33"/>
      <c r="K95" s="34"/>
    </row>
    <row r="96" spans="2:11" ht="15.75" x14ac:dyDescent="0.25">
      <c r="B96" s="64">
        <f t="shared" si="6"/>
        <v>84</v>
      </c>
      <c r="C96" s="32" t="str">
        <f>инфо!C100</f>
        <v>Новый продукт</v>
      </c>
      <c r="D96" s="33">
        <f>_xlfn.XLOOKUP($C96,Меню!$J$8:$DK$8,Меню!$J$152:$DK$152,"нет такого",,-1)</f>
        <v>0</v>
      </c>
      <c r="E96" s="35">
        <f>SUMIF(Меню!$J$8:$DK$8,$C96,Меню!$J$118:$DK$118)/1000*$J$6</f>
        <v>0</v>
      </c>
      <c r="F96" s="35">
        <f>SUMIF(Меню!$J$8:$DK$8,$C96,Меню!$J$133:$DK$133)/1000*J$7</f>
        <v>0</v>
      </c>
      <c r="G96" s="35">
        <f>SUMIF(Меню!$J$8:$DK$8,$C96,Меню!$J$146:$DK$146)/1000*$J$8</f>
        <v>0</v>
      </c>
      <c r="H96" s="35">
        <f>SUMIF(Меню!$J$8:$DK$8,$C96,Меню!$J$151:$DK$151)/1000*$J$9</f>
        <v>0</v>
      </c>
      <c r="I96" s="36">
        <f t="shared" si="7"/>
        <v>0</v>
      </c>
      <c r="J96" s="33"/>
      <c r="K96" s="34"/>
    </row>
    <row r="97" spans="2:11" ht="15.75" x14ac:dyDescent="0.25">
      <c r="B97" s="64">
        <f t="shared" si="6"/>
        <v>85</v>
      </c>
      <c r="C97" s="32" t="str">
        <f>инфо!C101</f>
        <v>Новый продукт</v>
      </c>
      <c r="D97" s="33">
        <f>_xlfn.XLOOKUP($C97,Меню!$J$8:$DK$8,Меню!$J$152:$DK$152,"нет такого",,-1)</f>
        <v>0</v>
      </c>
      <c r="E97" s="35">
        <f>SUMIF(Меню!$J$8:$DK$8,$C97,Меню!$J$118:$DK$118)/1000*$J$6</f>
        <v>0</v>
      </c>
      <c r="F97" s="35">
        <f>SUMIF(Меню!$J$8:$DK$8,$C97,Меню!$J$133:$DK$133)/1000*J$7</f>
        <v>0</v>
      </c>
      <c r="G97" s="35">
        <f>SUMIF(Меню!$J$8:$DK$8,$C97,Меню!$J$146:$DK$146)/1000*$J$8</f>
        <v>0</v>
      </c>
      <c r="H97" s="35">
        <f>SUMIF(Меню!$J$8:$DK$8,$C97,Меню!$J$151:$DK$151)/1000*$J$9</f>
        <v>0</v>
      </c>
      <c r="I97" s="36">
        <f t="shared" si="7"/>
        <v>0</v>
      </c>
      <c r="J97" s="33"/>
      <c r="K97" s="34"/>
    </row>
    <row r="98" spans="2:11" ht="15.75" x14ac:dyDescent="0.25">
      <c r="B98" s="64">
        <f t="shared" si="6"/>
        <v>86</v>
      </c>
      <c r="C98" s="32" t="str">
        <f>инфо!C102</f>
        <v>Новый продукт</v>
      </c>
      <c r="D98" s="33">
        <f>_xlfn.XLOOKUP($C98,Меню!$J$8:$DK$8,Меню!$J$152:$DK$152,"нет такого",,-1)</f>
        <v>0</v>
      </c>
      <c r="E98" s="35">
        <f>SUMIF(Меню!$J$8:$DK$8,$C98,Меню!$J$118:$DK$118)/1000*$J$6</f>
        <v>0</v>
      </c>
      <c r="F98" s="35">
        <f>SUMIF(Меню!$J$8:$DK$8,$C98,Меню!$J$133:$DK$133)/1000*J$7</f>
        <v>0</v>
      </c>
      <c r="G98" s="35">
        <f>SUMIF(Меню!$J$8:$DK$8,$C98,Меню!$J$146:$DK$146)/1000*$J$8</f>
        <v>0</v>
      </c>
      <c r="H98" s="35">
        <f>SUMIF(Меню!$J$8:$DK$8,$C98,Меню!$J$151:$DK$151)/1000*$J$9</f>
        <v>0</v>
      </c>
      <c r="I98" s="36">
        <f t="shared" si="7"/>
        <v>0</v>
      </c>
      <c r="J98" s="33"/>
      <c r="K98" s="34"/>
    </row>
    <row r="99" spans="2:11" ht="15.75" x14ac:dyDescent="0.25">
      <c r="B99" s="64">
        <f t="shared" si="6"/>
        <v>87</v>
      </c>
      <c r="C99" s="32" t="str">
        <f>инфо!C103</f>
        <v>Новый продукт</v>
      </c>
      <c r="D99" s="33">
        <f>_xlfn.XLOOKUP($C99,Меню!$J$8:$DK$8,Меню!$J$152:$DK$152,"нет такого",,-1)</f>
        <v>0</v>
      </c>
      <c r="E99" s="35">
        <f>SUMIF(Меню!$J$8:$DK$8,$C99,Меню!$J$118:$DK$118)/1000*$J$6</f>
        <v>0</v>
      </c>
      <c r="F99" s="35">
        <f>SUMIF(Меню!$J$8:$DK$8,$C99,Меню!$J$133:$DK$133)/1000*J$7</f>
        <v>0</v>
      </c>
      <c r="G99" s="35">
        <f>SUMIF(Меню!$J$8:$DK$8,$C99,Меню!$J$146:$DK$146)/1000*$J$8</f>
        <v>0</v>
      </c>
      <c r="H99" s="35">
        <f>SUMIF(Меню!$J$8:$DK$8,$C99,Меню!$J$151:$DK$151)/1000*$J$9</f>
        <v>0</v>
      </c>
      <c r="I99" s="36">
        <f t="shared" si="7"/>
        <v>0</v>
      </c>
      <c r="J99" s="33"/>
      <c r="K99" s="34"/>
    </row>
    <row r="100" spans="2:11" ht="15.75" x14ac:dyDescent="0.25">
      <c r="B100" s="64">
        <f t="shared" si="6"/>
        <v>88</v>
      </c>
      <c r="C100" s="32" t="str">
        <f>инфо!C104</f>
        <v>Новый продукт</v>
      </c>
      <c r="D100" s="33">
        <f>_xlfn.XLOOKUP($C100,Меню!$J$8:$DK$8,Меню!$J$152:$DK$152,"нет такого",,-1)</f>
        <v>0</v>
      </c>
      <c r="E100" s="35">
        <f>SUMIF(Меню!$J$8:$DK$8,$C100,Меню!$J$118:$DK$118)/1000*$J$6</f>
        <v>0</v>
      </c>
      <c r="F100" s="35">
        <f>SUMIF(Меню!$J$8:$DK$8,$C100,Меню!$J$133:$DK$133)/1000*J$7</f>
        <v>0</v>
      </c>
      <c r="G100" s="35">
        <f>SUMIF(Меню!$J$8:$DK$8,$C100,Меню!$J$146:$DK$146)/1000*$J$8</f>
        <v>0</v>
      </c>
      <c r="H100" s="35">
        <f>SUMIF(Меню!$J$8:$DK$8,$C100,Меню!$J$151:$DK$151)/1000*$J$9</f>
        <v>0</v>
      </c>
      <c r="I100" s="36">
        <f t="shared" si="7"/>
        <v>0</v>
      </c>
      <c r="J100" s="33"/>
      <c r="K100" s="34"/>
    </row>
    <row r="101" spans="2:11" ht="15.75" x14ac:dyDescent="0.25">
      <c r="B101" s="64">
        <f t="shared" si="6"/>
        <v>89</v>
      </c>
      <c r="C101" s="32" t="str">
        <f>инфо!C105</f>
        <v>Новый продукт</v>
      </c>
      <c r="D101" s="33">
        <f>_xlfn.XLOOKUP($C101,Меню!$J$8:$DK$8,Меню!$J$152:$DK$152,"нет такого",,-1)</f>
        <v>0</v>
      </c>
      <c r="E101" s="35">
        <f>SUMIF(Меню!$J$8:$DK$8,$C101,Меню!$J$118:$DK$118)/1000*$J$6</f>
        <v>0</v>
      </c>
      <c r="F101" s="35">
        <f>SUMIF(Меню!$J$8:$DK$8,$C101,Меню!$J$133:$DK$133)/1000*J$7</f>
        <v>0</v>
      </c>
      <c r="G101" s="35">
        <f>SUMIF(Меню!$J$8:$DK$8,$C101,Меню!$J$146:$DK$146)/1000*$J$8</f>
        <v>0</v>
      </c>
      <c r="H101" s="35">
        <f>SUMIF(Меню!$J$8:$DK$8,$C101,Меню!$J$151:$DK$151)/1000*$J$9</f>
        <v>0</v>
      </c>
      <c r="I101" s="36">
        <f t="shared" si="7"/>
        <v>0</v>
      </c>
      <c r="J101" s="33"/>
      <c r="K101" s="34"/>
    </row>
    <row r="102" spans="2:11" ht="15.75" x14ac:dyDescent="0.25">
      <c r="B102" s="64">
        <f t="shared" si="6"/>
        <v>90</v>
      </c>
      <c r="C102" s="32" t="str">
        <f>инфо!C106</f>
        <v>Новый продукт</v>
      </c>
      <c r="D102" s="33">
        <f>_xlfn.XLOOKUP($C102,Меню!$J$8:$DK$8,Меню!$J$152:$DK$152,"нет такого",,-1)</f>
        <v>0</v>
      </c>
      <c r="E102" s="35">
        <f>SUMIF(Меню!$J$8:$DK$8,$C102,Меню!$J$118:$DK$118)/1000*$J$6</f>
        <v>0</v>
      </c>
      <c r="F102" s="35">
        <f>SUMIF(Меню!$J$8:$DK$8,$C102,Меню!$J$133:$DK$133)/1000*J$7</f>
        <v>0</v>
      </c>
      <c r="G102" s="35">
        <f>SUMIF(Меню!$J$8:$DK$8,$C102,Меню!$J$146:$DK$146)/1000*$J$8</f>
        <v>0</v>
      </c>
      <c r="H102" s="35">
        <f>SUMIF(Меню!$J$8:$DK$8,$C102,Меню!$J$151:$DK$151)/1000*$J$9</f>
        <v>0</v>
      </c>
      <c r="I102" s="36">
        <f t="shared" si="7"/>
        <v>0</v>
      </c>
      <c r="J102" s="33"/>
      <c r="K102" s="34"/>
    </row>
    <row r="103" spans="2:11" ht="15.75" x14ac:dyDescent="0.25">
      <c r="B103" s="64">
        <f t="shared" si="6"/>
        <v>91</v>
      </c>
      <c r="C103" s="32" t="str">
        <f>инфо!C107</f>
        <v>Новый продукт</v>
      </c>
      <c r="D103" s="33">
        <f>_xlfn.XLOOKUP($C103,Меню!$J$8:$DK$8,Меню!$J$152:$DK$152,"нет такого",,-1)</f>
        <v>0</v>
      </c>
      <c r="E103" s="35">
        <f>SUMIF(Меню!$J$8:$DK$8,$C103,Меню!$J$118:$DK$118)/1000*$J$6</f>
        <v>0</v>
      </c>
      <c r="F103" s="35">
        <f>SUMIF(Меню!$J$8:$DK$8,$C103,Меню!$J$133:$DK$133)/1000*J$7</f>
        <v>0</v>
      </c>
      <c r="G103" s="35">
        <f>SUMIF(Меню!$J$8:$DK$8,$C103,Меню!$J$146:$DK$146)/1000*$J$8</f>
        <v>0</v>
      </c>
      <c r="H103" s="35">
        <f>SUMIF(Меню!$J$8:$DK$8,$C103,Меню!$J$151:$DK$151)/1000*$J$9</f>
        <v>0</v>
      </c>
      <c r="I103" s="36">
        <f t="shared" si="7"/>
        <v>0</v>
      </c>
      <c r="J103" s="33"/>
      <c r="K103" s="34"/>
    </row>
    <row r="104" spans="2:11" ht="15.75" x14ac:dyDescent="0.25">
      <c r="B104" s="64">
        <f t="shared" si="6"/>
        <v>92</v>
      </c>
      <c r="C104" s="32" t="str">
        <f>инфо!C108</f>
        <v>Новый продукт</v>
      </c>
      <c r="D104" s="33">
        <f>_xlfn.XLOOKUP($C104,Меню!$J$8:$DK$8,Меню!$J$152:$DK$152,"нет такого",,-1)</f>
        <v>0</v>
      </c>
      <c r="E104" s="35">
        <f>SUMIF(Меню!$J$8:$DK$8,$C104,Меню!$J$118:$DK$118)/1000*$J$6</f>
        <v>0</v>
      </c>
      <c r="F104" s="35">
        <f>SUMIF(Меню!$J$8:$DK$8,$C104,Меню!$J$133:$DK$133)/1000*J$7</f>
        <v>0</v>
      </c>
      <c r="G104" s="35">
        <f>SUMIF(Меню!$J$8:$DK$8,$C104,Меню!$J$146:$DK$146)/1000*$J$8</f>
        <v>0</v>
      </c>
      <c r="H104" s="35">
        <f>SUMIF(Меню!$J$8:$DK$8,$C104,Меню!$J$151:$DK$151)/1000*$J$9</f>
        <v>0</v>
      </c>
      <c r="I104" s="36">
        <f t="shared" si="7"/>
        <v>0</v>
      </c>
      <c r="J104" s="33"/>
      <c r="K104" s="34"/>
    </row>
    <row r="105" spans="2:11" ht="15.75" x14ac:dyDescent="0.25">
      <c r="B105" s="64">
        <v>68</v>
      </c>
      <c r="C105" s="32" t="str">
        <f>Меню!DL6</f>
        <v>ОКГ</v>
      </c>
      <c r="D105" s="33">
        <f>Меню!DL28</f>
        <v>425</v>
      </c>
      <c r="E105" s="33"/>
      <c r="F105" s="33"/>
      <c r="G105" s="33"/>
      <c r="H105" s="33"/>
      <c r="I105" s="36">
        <f>SUM(D105)</f>
        <v>425</v>
      </c>
      <c r="J105" s="33"/>
      <c r="K105" s="34"/>
    </row>
    <row r="106" spans="2:11" ht="15.75" x14ac:dyDescent="0.25">
      <c r="B106" s="64">
        <v>69</v>
      </c>
      <c r="C106" s="32" t="s">
        <v>166</v>
      </c>
      <c r="D106" s="33">
        <v>5.4000000000000003E-3</v>
      </c>
      <c r="E106" s="33"/>
      <c r="F106" s="33"/>
      <c r="G106" s="33"/>
      <c r="H106" s="33"/>
      <c r="I106" s="36">
        <f>SUM(D106)</f>
        <v>5.4000000000000003E-3</v>
      </c>
      <c r="J106" s="33"/>
      <c r="K106" s="34"/>
    </row>
    <row r="107" spans="2:11" ht="15.75" x14ac:dyDescent="0.25">
      <c r="B107" s="64">
        <v>70</v>
      </c>
      <c r="C107" s="32" t="s">
        <v>167</v>
      </c>
      <c r="D107" s="33">
        <v>1.75E-3</v>
      </c>
      <c r="E107" s="33"/>
      <c r="F107" s="33"/>
      <c r="G107" s="33"/>
      <c r="H107" s="33"/>
      <c r="I107" s="36">
        <f>SUM(D107)</f>
        <v>1.75E-3</v>
      </c>
      <c r="J107" s="33"/>
      <c r="K107" s="34"/>
    </row>
    <row r="108" spans="2:11" ht="15.75" thickBot="1" x14ac:dyDescent="0.3">
      <c r="B108" s="199" t="s">
        <v>276</v>
      </c>
      <c r="C108" s="65"/>
      <c r="D108" s="65">
        <f>COUNTIF(I13:I107,"&gt;0")</f>
        <v>36</v>
      </c>
      <c r="E108" s="65"/>
      <c r="F108" s="65"/>
      <c r="G108" s="65"/>
      <c r="H108" s="65"/>
      <c r="I108" s="65"/>
      <c r="J108" s="65"/>
      <c r="K108" s="66"/>
    </row>
    <row r="109" spans="2:11" x14ac:dyDescent="0.25">
      <c r="B109" s="37"/>
      <c r="C109" s="27"/>
      <c r="D109" s="38"/>
      <c r="E109" s="38"/>
      <c r="F109" s="38"/>
      <c r="G109" s="38"/>
      <c r="H109" s="38"/>
      <c r="I109" s="63"/>
      <c r="J109" s="37"/>
      <c r="K109" s="38"/>
    </row>
    <row r="110" spans="2:11" x14ac:dyDescent="0.25">
      <c r="B110" s="37"/>
      <c r="C110" s="758"/>
      <c r="D110" s="758"/>
      <c r="E110" s="758"/>
      <c r="F110" s="758"/>
      <c r="G110" s="758"/>
      <c r="H110" s="758"/>
      <c r="I110" s="758"/>
      <c r="J110" s="40"/>
      <c r="K110" s="38"/>
    </row>
    <row r="111" spans="2:11" x14ac:dyDescent="0.25">
      <c r="B111" s="38"/>
      <c r="C111" s="27"/>
      <c r="D111" s="38"/>
      <c r="E111" s="38"/>
      <c r="F111" s="38"/>
      <c r="G111" s="38"/>
      <c r="H111" s="38"/>
      <c r="I111" s="41"/>
      <c r="J111" s="38"/>
      <c r="K111" s="38"/>
    </row>
    <row r="112" spans="2:11" x14ac:dyDescent="0.25">
      <c r="B112" s="38"/>
      <c r="C112" s="27" t="s">
        <v>252</v>
      </c>
      <c r="D112" s="40"/>
      <c r="E112" s="27" t="s">
        <v>253</v>
      </c>
      <c r="F112" s="40"/>
      <c r="G112" s="40"/>
      <c r="H112" s="40"/>
      <c r="I112" s="40"/>
      <c r="J112" s="38"/>
      <c r="K112" s="38"/>
    </row>
    <row r="113" spans="2:11" x14ac:dyDescent="0.25">
      <c r="B113" s="38"/>
      <c r="C113" s="42"/>
      <c r="D113" s="37"/>
      <c r="E113" s="43"/>
      <c r="F113" s="43"/>
      <c r="G113" s="43"/>
      <c r="H113" s="43"/>
      <c r="I113" s="44"/>
      <c r="J113" s="43"/>
      <c r="K113" s="43"/>
    </row>
    <row r="114" spans="2:11" x14ac:dyDescent="0.25">
      <c r="B114" s="37"/>
      <c r="C114" s="45"/>
      <c r="D114" s="46"/>
      <c r="E114" s="88" t="s">
        <v>168</v>
      </c>
      <c r="F114" s="48"/>
      <c r="G114" s="47"/>
      <c r="H114" s="49" t="s">
        <v>169</v>
      </c>
      <c r="I114" s="48"/>
      <c r="J114" s="47" t="s">
        <v>170</v>
      </c>
      <c r="K114" s="48"/>
    </row>
    <row r="115" spans="2:11" ht="15.75" x14ac:dyDescent="0.25">
      <c r="B115" s="50"/>
      <c r="C115" s="51" t="s">
        <v>250</v>
      </c>
      <c r="D115" s="151" t="s">
        <v>248</v>
      </c>
      <c r="E115" s="52"/>
      <c r="F115" s="53"/>
      <c r="G115" s="52"/>
      <c r="H115" s="54"/>
      <c r="I115" s="55"/>
      <c r="J115" s="54"/>
      <c r="K115" s="53"/>
    </row>
    <row r="116" spans="2:11" ht="15.75" x14ac:dyDescent="0.25">
      <c r="B116" s="50"/>
      <c r="C116" s="51" t="s">
        <v>251</v>
      </c>
      <c r="D116" s="151" t="s">
        <v>249</v>
      </c>
      <c r="E116" s="52"/>
      <c r="F116" s="53"/>
      <c r="G116" s="52"/>
      <c r="H116" s="54"/>
      <c r="I116" s="55"/>
      <c r="J116" s="54"/>
      <c r="K116" s="53"/>
    </row>
    <row r="117" spans="2:11" x14ac:dyDescent="0.25">
      <c r="B117" s="50"/>
      <c r="C117" s="56" t="s">
        <v>171</v>
      </c>
      <c r="D117" s="57"/>
      <c r="E117" s="58"/>
      <c r="F117" s="57"/>
      <c r="G117" s="58"/>
      <c r="H117" s="39"/>
      <c r="I117" s="59"/>
      <c r="J117" s="39"/>
      <c r="K117" s="57"/>
    </row>
    <row r="118" spans="2:11" x14ac:dyDescent="0.25">
      <c r="B118" s="50"/>
      <c r="C118" s="60" t="s">
        <v>172</v>
      </c>
      <c r="D118" s="46"/>
      <c r="E118" s="61"/>
      <c r="F118" s="46"/>
      <c r="G118" s="61"/>
      <c r="H118" s="43"/>
      <c r="I118" s="62"/>
      <c r="J118" s="43"/>
      <c r="K118" s="46"/>
    </row>
  </sheetData>
  <mergeCells count="10">
    <mergeCell ref="I11:I12"/>
    <mergeCell ref="J11:J12"/>
    <mergeCell ref="K11:K12"/>
    <mergeCell ref="C110:I110"/>
    <mergeCell ref="E4:F4"/>
    <mergeCell ref="H7:H8"/>
    <mergeCell ref="B11:B12"/>
    <mergeCell ref="C11:C12"/>
    <mergeCell ref="D11:D12"/>
    <mergeCell ref="E11:H11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CAAF906-0CEF-478D-930C-20645464642C}">
          <x14:formula1>
            <xm:f>инфо!$K$1:$K$20</xm:f>
          </x14:formula1>
          <xm:sqref>D115:D116</xm:sqref>
        </x14:dataValidation>
        <x14:dataValidation type="list" allowBlank="1" showInputMessage="1" showErrorMessage="1" xr:uid="{52D1A427-73B1-4E2E-8097-C548D60D1C7A}">
          <x14:formula1>
            <xm:f>инфо!$K$2:$K$20</xm:f>
          </x14:formula1>
          <xm:sqref>E112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Q214"/>
  <sheetViews>
    <sheetView topLeftCell="A46" zoomScale="85" zoomScaleNormal="85" workbookViewId="0">
      <selection activeCell="C82" sqref="C82"/>
    </sheetView>
  </sheetViews>
  <sheetFormatPr defaultRowHeight="15" x14ac:dyDescent="0.25"/>
  <cols>
    <col min="1" max="1" width="5.42578125" customWidth="1"/>
    <col min="2" max="2" width="23.7109375" customWidth="1"/>
    <col min="3" max="3" width="20.7109375" customWidth="1"/>
    <col min="4" max="5" width="9.7109375" customWidth="1"/>
    <col min="11" max="11" width="18.42578125" customWidth="1"/>
    <col min="15" max="15" width="23.85546875" customWidth="1"/>
    <col min="16" max="16" width="39" customWidth="1"/>
    <col min="17" max="17" width="32.5703125" customWidth="1"/>
  </cols>
  <sheetData>
    <row r="1" spans="1:17" x14ac:dyDescent="0.25">
      <c r="A1" t="s">
        <v>39</v>
      </c>
      <c r="B1" s="17" t="s">
        <v>40</v>
      </c>
      <c r="C1" s="17" t="s">
        <v>41</v>
      </c>
      <c r="D1" s="17" t="s">
        <v>23</v>
      </c>
      <c r="E1" s="17" t="s">
        <v>24</v>
      </c>
      <c r="F1" s="17" t="s">
        <v>208</v>
      </c>
      <c r="G1" s="17" t="s">
        <v>209</v>
      </c>
      <c r="H1" s="17" t="s">
        <v>210</v>
      </c>
      <c r="K1" s="17" t="s">
        <v>278</v>
      </c>
      <c r="M1" t="s">
        <v>39</v>
      </c>
      <c r="N1" s="17" t="s">
        <v>40</v>
      </c>
      <c r="O1" t="s">
        <v>424</v>
      </c>
      <c r="P1" t="s">
        <v>453</v>
      </c>
      <c r="Q1" t="s">
        <v>424</v>
      </c>
    </row>
    <row r="2" spans="1:17" x14ac:dyDescent="0.25">
      <c r="A2">
        <v>1</v>
      </c>
      <c r="B2" t="s">
        <v>442</v>
      </c>
      <c r="C2" t="s">
        <v>29</v>
      </c>
      <c r="E2" t="s">
        <v>42</v>
      </c>
      <c r="K2" s="191" t="s">
        <v>248</v>
      </c>
      <c r="M2">
        <v>1</v>
      </c>
      <c r="N2" t="s">
        <v>442</v>
      </c>
      <c r="O2" t="s">
        <v>29</v>
      </c>
      <c r="P2" t="s">
        <v>314</v>
      </c>
      <c r="Q2" t="s">
        <v>29</v>
      </c>
    </row>
    <row r="3" spans="1:17" x14ac:dyDescent="0.25">
      <c r="A3">
        <v>1</v>
      </c>
      <c r="B3" t="s">
        <v>442</v>
      </c>
      <c r="C3" t="s">
        <v>43</v>
      </c>
      <c r="E3" t="s">
        <v>42</v>
      </c>
      <c r="K3" s="191" t="s">
        <v>249</v>
      </c>
      <c r="M3">
        <v>1</v>
      </c>
      <c r="N3" t="s">
        <v>442</v>
      </c>
      <c r="O3" t="s">
        <v>29</v>
      </c>
      <c r="P3" t="s">
        <v>29</v>
      </c>
      <c r="Q3" t="s">
        <v>29</v>
      </c>
    </row>
    <row r="4" spans="1:17" x14ac:dyDescent="0.25">
      <c r="A4">
        <v>1</v>
      </c>
      <c r="B4" t="s">
        <v>442</v>
      </c>
      <c r="C4" t="s">
        <v>44</v>
      </c>
      <c r="E4" t="s">
        <v>42</v>
      </c>
      <c r="K4" s="191" t="s">
        <v>194</v>
      </c>
      <c r="M4">
        <v>1</v>
      </c>
      <c r="N4" t="s">
        <v>442</v>
      </c>
      <c r="O4" t="s">
        <v>43</v>
      </c>
      <c r="P4" t="s">
        <v>43</v>
      </c>
      <c r="Q4" t="s">
        <v>43</v>
      </c>
    </row>
    <row r="5" spans="1:17" x14ac:dyDescent="0.25">
      <c r="A5">
        <v>1</v>
      </c>
      <c r="B5" t="s">
        <v>442</v>
      </c>
      <c r="C5" t="s">
        <v>30</v>
      </c>
      <c r="E5" t="s">
        <v>42</v>
      </c>
      <c r="K5" s="191" t="s">
        <v>263</v>
      </c>
      <c r="M5">
        <v>1</v>
      </c>
      <c r="N5" t="s">
        <v>442</v>
      </c>
      <c r="O5" t="s">
        <v>43</v>
      </c>
      <c r="P5" t="s">
        <v>310</v>
      </c>
      <c r="Q5" t="s">
        <v>43</v>
      </c>
    </row>
    <row r="6" spans="1:17" x14ac:dyDescent="0.25">
      <c r="A6">
        <v>1</v>
      </c>
      <c r="B6" t="s">
        <v>442</v>
      </c>
      <c r="C6" t="s">
        <v>35</v>
      </c>
      <c r="E6" t="s">
        <v>42</v>
      </c>
      <c r="K6" s="191" t="s">
        <v>264</v>
      </c>
      <c r="M6">
        <v>1</v>
      </c>
      <c r="N6" t="s">
        <v>442</v>
      </c>
      <c r="O6" t="s">
        <v>44</v>
      </c>
      <c r="P6" t="s">
        <v>317</v>
      </c>
      <c r="Q6" t="s">
        <v>44</v>
      </c>
    </row>
    <row r="7" spans="1:17" x14ac:dyDescent="0.25">
      <c r="A7">
        <v>1</v>
      </c>
      <c r="B7" t="s">
        <v>442</v>
      </c>
      <c r="C7" t="s">
        <v>37</v>
      </c>
      <c r="E7" t="s">
        <v>42</v>
      </c>
      <c r="K7" s="191"/>
      <c r="M7">
        <v>1</v>
      </c>
      <c r="N7" t="s">
        <v>442</v>
      </c>
      <c r="O7" t="s">
        <v>44</v>
      </c>
      <c r="P7" t="s">
        <v>44</v>
      </c>
      <c r="Q7" t="s">
        <v>44</v>
      </c>
    </row>
    <row r="8" spans="1:17" x14ac:dyDescent="0.25">
      <c r="A8">
        <v>1</v>
      </c>
      <c r="B8" t="s">
        <v>442</v>
      </c>
      <c r="C8" t="s">
        <v>31</v>
      </c>
      <c r="E8" t="s">
        <v>42</v>
      </c>
      <c r="K8" s="191"/>
      <c r="M8">
        <v>1</v>
      </c>
      <c r="N8" t="s">
        <v>442</v>
      </c>
      <c r="O8" t="s">
        <v>30</v>
      </c>
      <c r="P8" t="s">
        <v>308</v>
      </c>
      <c r="Q8" t="s">
        <v>30</v>
      </c>
    </row>
    <row r="9" spans="1:17" x14ac:dyDescent="0.25">
      <c r="A9">
        <v>1</v>
      </c>
      <c r="B9" t="s">
        <v>442</v>
      </c>
      <c r="C9" t="s">
        <v>45</v>
      </c>
      <c r="E9" t="s">
        <v>42</v>
      </c>
      <c r="K9" s="191"/>
      <c r="M9">
        <v>1</v>
      </c>
      <c r="N9" t="s">
        <v>442</v>
      </c>
      <c r="O9" t="s">
        <v>30</v>
      </c>
      <c r="P9" t="s">
        <v>309</v>
      </c>
      <c r="Q9" t="s">
        <v>30</v>
      </c>
    </row>
    <row r="10" spans="1:17" x14ac:dyDescent="0.25">
      <c r="A10">
        <v>1</v>
      </c>
      <c r="B10" t="s">
        <v>442</v>
      </c>
      <c r="C10" t="s">
        <v>425</v>
      </c>
      <c r="E10" t="s">
        <v>42</v>
      </c>
      <c r="K10" s="191"/>
      <c r="M10">
        <v>1</v>
      </c>
      <c r="N10" t="s">
        <v>442</v>
      </c>
      <c r="O10" t="s">
        <v>30</v>
      </c>
      <c r="P10" t="s">
        <v>30</v>
      </c>
      <c r="Q10" t="s">
        <v>30</v>
      </c>
    </row>
    <row r="11" spans="1:17" x14ac:dyDescent="0.25">
      <c r="A11">
        <v>1</v>
      </c>
      <c r="B11" t="s">
        <v>442</v>
      </c>
      <c r="C11" t="s">
        <v>198</v>
      </c>
      <c r="E11" t="s">
        <v>42</v>
      </c>
      <c r="F11" t="s">
        <v>208</v>
      </c>
      <c r="K11" s="191"/>
      <c r="M11">
        <v>1</v>
      </c>
      <c r="N11" t="s">
        <v>442</v>
      </c>
      <c r="O11" t="s">
        <v>35</v>
      </c>
      <c r="P11" t="s">
        <v>306</v>
      </c>
      <c r="Q11" t="s">
        <v>35</v>
      </c>
    </row>
    <row r="12" spans="1:17" x14ac:dyDescent="0.25">
      <c r="A12">
        <v>2</v>
      </c>
      <c r="B12" t="s">
        <v>46</v>
      </c>
      <c r="C12" t="s">
        <v>46</v>
      </c>
      <c r="E12" t="s">
        <v>42</v>
      </c>
      <c r="K12" s="191"/>
      <c r="M12">
        <v>1</v>
      </c>
      <c r="N12" t="s">
        <v>442</v>
      </c>
      <c r="O12" t="s">
        <v>35</v>
      </c>
      <c r="P12" t="s">
        <v>35</v>
      </c>
      <c r="Q12" t="s">
        <v>35</v>
      </c>
    </row>
    <row r="13" spans="1:17" x14ac:dyDescent="0.25">
      <c r="A13">
        <v>3</v>
      </c>
      <c r="B13" t="s">
        <v>47</v>
      </c>
      <c r="C13" t="s">
        <v>48</v>
      </c>
      <c r="E13" t="s">
        <v>42</v>
      </c>
      <c r="K13" s="191"/>
      <c r="M13">
        <v>1</v>
      </c>
      <c r="N13" t="s">
        <v>442</v>
      </c>
      <c r="O13" t="s">
        <v>37</v>
      </c>
      <c r="P13" t="s">
        <v>312</v>
      </c>
      <c r="Q13" t="s">
        <v>37</v>
      </c>
    </row>
    <row r="14" spans="1:17" x14ac:dyDescent="0.25">
      <c r="A14">
        <v>3</v>
      </c>
      <c r="B14" t="s">
        <v>47</v>
      </c>
      <c r="C14" t="s">
        <v>450</v>
      </c>
      <c r="E14" t="s">
        <v>42</v>
      </c>
      <c r="K14" s="191"/>
      <c r="M14">
        <v>1</v>
      </c>
      <c r="N14" t="s">
        <v>442</v>
      </c>
      <c r="O14" t="s">
        <v>37</v>
      </c>
      <c r="P14" t="s">
        <v>311</v>
      </c>
      <c r="Q14" t="s">
        <v>37</v>
      </c>
    </row>
    <row r="15" spans="1:17" x14ac:dyDescent="0.25">
      <c r="A15">
        <v>3</v>
      </c>
      <c r="B15" t="s">
        <v>47</v>
      </c>
      <c r="C15" t="s">
        <v>50</v>
      </c>
      <c r="E15" t="s">
        <v>42</v>
      </c>
      <c r="K15" s="191"/>
      <c r="M15">
        <v>1</v>
      </c>
      <c r="N15" t="s">
        <v>442</v>
      </c>
      <c r="O15" t="s">
        <v>37</v>
      </c>
      <c r="P15" t="s">
        <v>37</v>
      </c>
      <c r="Q15" t="s">
        <v>37</v>
      </c>
    </row>
    <row r="16" spans="1:17" x14ac:dyDescent="0.25">
      <c r="A16">
        <v>3</v>
      </c>
      <c r="B16" t="s">
        <v>47</v>
      </c>
      <c r="C16" t="s">
        <v>36</v>
      </c>
      <c r="E16" t="s">
        <v>42</v>
      </c>
      <c r="K16" s="191"/>
      <c r="M16">
        <v>1</v>
      </c>
      <c r="N16" t="s">
        <v>442</v>
      </c>
      <c r="O16" t="s">
        <v>31</v>
      </c>
      <c r="P16" t="s">
        <v>307</v>
      </c>
      <c r="Q16" t="s">
        <v>31</v>
      </c>
    </row>
    <row r="17" spans="1:17" x14ac:dyDescent="0.25">
      <c r="A17">
        <v>3</v>
      </c>
      <c r="B17" t="s">
        <v>47</v>
      </c>
      <c r="C17" t="s">
        <v>51</v>
      </c>
      <c r="E17" t="s">
        <v>42</v>
      </c>
      <c r="K17" s="191"/>
      <c r="M17">
        <v>1</v>
      </c>
      <c r="N17" t="s">
        <v>442</v>
      </c>
      <c r="O17" t="s">
        <v>31</v>
      </c>
      <c r="P17" t="s">
        <v>31</v>
      </c>
      <c r="Q17" t="s">
        <v>31</v>
      </c>
    </row>
    <row r="18" spans="1:17" x14ac:dyDescent="0.25">
      <c r="A18">
        <v>3</v>
      </c>
      <c r="B18" t="s">
        <v>47</v>
      </c>
      <c r="C18" t="s">
        <v>451</v>
      </c>
      <c r="E18" t="s">
        <v>42</v>
      </c>
      <c r="K18" s="191"/>
      <c r="M18">
        <v>1</v>
      </c>
      <c r="N18" t="s">
        <v>442</v>
      </c>
      <c r="O18" t="s">
        <v>425</v>
      </c>
      <c r="P18" t="s">
        <v>315</v>
      </c>
      <c r="Q18" t="s">
        <v>425</v>
      </c>
    </row>
    <row r="19" spans="1:17" x14ac:dyDescent="0.25">
      <c r="A19">
        <v>3</v>
      </c>
      <c r="B19" t="s">
        <v>47</v>
      </c>
      <c r="C19" t="s">
        <v>452</v>
      </c>
      <c r="E19" t="s">
        <v>42</v>
      </c>
      <c r="K19" s="191"/>
      <c r="M19">
        <v>1</v>
      </c>
      <c r="N19" t="s">
        <v>442</v>
      </c>
      <c r="O19" t="s">
        <v>425</v>
      </c>
      <c r="P19" t="s">
        <v>425</v>
      </c>
      <c r="Q19" t="s">
        <v>425</v>
      </c>
    </row>
    <row r="20" spans="1:17" x14ac:dyDescent="0.25">
      <c r="A20">
        <v>3</v>
      </c>
      <c r="B20" t="s">
        <v>47</v>
      </c>
      <c r="C20" t="s">
        <v>429</v>
      </c>
      <c r="E20" t="s">
        <v>42</v>
      </c>
      <c r="K20" s="191"/>
      <c r="M20">
        <v>1</v>
      </c>
      <c r="N20" t="s">
        <v>442</v>
      </c>
      <c r="O20" t="s">
        <v>45</v>
      </c>
      <c r="P20" t="s">
        <v>313</v>
      </c>
      <c r="Q20" t="s">
        <v>45</v>
      </c>
    </row>
    <row r="21" spans="1:17" x14ac:dyDescent="0.25">
      <c r="A21">
        <v>3</v>
      </c>
      <c r="B21" t="s">
        <v>47</v>
      </c>
      <c r="C21" t="s">
        <v>436</v>
      </c>
      <c r="E21" t="s">
        <v>42</v>
      </c>
      <c r="M21">
        <v>1</v>
      </c>
      <c r="N21" t="s">
        <v>442</v>
      </c>
      <c r="O21" t="s">
        <v>45</v>
      </c>
      <c r="P21" t="s">
        <v>45</v>
      </c>
      <c r="Q21" t="s">
        <v>45</v>
      </c>
    </row>
    <row r="22" spans="1:17" x14ac:dyDescent="0.25">
      <c r="A22">
        <v>3</v>
      </c>
      <c r="B22" t="s">
        <v>47</v>
      </c>
      <c r="C22" t="s">
        <v>432</v>
      </c>
      <c r="E22" t="s">
        <v>42</v>
      </c>
      <c r="M22">
        <v>2</v>
      </c>
      <c r="N22" t="s">
        <v>46</v>
      </c>
      <c r="O22" t="s">
        <v>46</v>
      </c>
      <c r="P22" t="s">
        <v>316</v>
      </c>
      <c r="Q22" t="s">
        <v>46</v>
      </c>
    </row>
    <row r="23" spans="1:17" x14ac:dyDescent="0.25">
      <c r="A23">
        <v>3</v>
      </c>
      <c r="B23" t="s">
        <v>47</v>
      </c>
      <c r="C23" t="s">
        <v>53</v>
      </c>
      <c r="E23" t="s">
        <v>42</v>
      </c>
      <c r="M23">
        <v>2</v>
      </c>
      <c r="N23" t="s">
        <v>46</v>
      </c>
      <c r="O23" t="s">
        <v>46</v>
      </c>
      <c r="P23" t="s">
        <v>46</v>
      </c>
      <c r="Q23" t="s">
        <v>46</v>
      </c>
    </row>
    <row r="24" spans="1:17" x14ac:dyDescent="0.25">
      <c r="A24">
        <v>3</v>
      </c>
      <c r="B24" t="s">
        <v>47</v>
      </c>
      <c r="C24" t="s">
        <v>78</v>
      </c>
      <c r="E24" t="s">
        <v>42</v>
      </c>
      <c r="M24">
        <v>3</v>
      </c>
      <c r="N24" t="s">
        <v>261</v>
      </c>
      <c r="O24" t="s">
        <v>304</v>
      </c>
      <c r="P24" t="s">
        <v>304</v>
      </c>
      <c r="Q24" t="s">
        <v>304</v>
      </c>
    </row>
    <row r="25" spans="1:17" x14ac:dyDescent="0.25">
      <c r="A25">
        <v>3</v>
      </c>
      <c r="B25" t="s">
        <v>47</v>
      </c>
      <c r="C25" t="s">
        <v>81</v>
      </c>
      <c r="E25" t="s">
        <v>42</v>
      </c>
      <c r="M25">
        <v>3</v>
      </c>
      <c r="N25" t="s">
        <v>261</v>
      </c>
      <c r="O25" t="s">
        <v>304</v>
      </c>
      <c r="P25" t="s">
        <v>305</v>
      </c>
      <c r="Q25" t="s">
        <v>304</v>
      </c>
    </row>
    <row r="26" spans="1:17" x14ac:dyDescent="0.25">
      <c r="A26">
        <v>3</v>
      </c>
      <c r="B26" t="s">
        <v>47</v>
      </c>
      <c r="C26" t="s">
        <v>54</v>
      </c>
      <c r="E26" t="s">
        <v>42</v>
      </c>
      <c r="M26">
        <v>3</v>
      </c>
      <c r="N26" t="s">
        <v>261</v>
      </c>
      <c r="O26" t="s">
        <v>55</v>
      </c>
      <c r="P26" t="s">
        <v>303</v>
      </c>
      <c r="Q26" t="s">
        <v>55</v>
      </c>
    </row>
    <row r="27" spans="1:17" x14ac:dyDescent="0.25">
      <c r="A27">
        <v>3</v>
      </c>
      <c r="B27" t="s">
        <v>47</v>
      </c>
      <c r="C27" t="s">
        <v>450</v>
      </c>
      <c r="E27" t="s">
        <v>42</v>
      </c>
      <c r="M27">
        <v>3</v>
      </c>
      <c r="N27" t="s">
        <v>261</v>
      </c>
      <c r="O27" t="s">
        <v>55</v>
      </c>
      <c r="P27" t="s">
        <v>55</v>
      </c>
      <c r="Q27" t="s">
        <v>55</v>
      </c>
    </row>
    <row r="28" spans="1:17" x14ac:dyDescent="0.25">
      <c r="A28">
        <v>3</v>
      </c>
      <c r="B28" t="s">
        <v>47</v>
      </c>
      <c r="C28" t="s">
        <v>435</v>
      </c>
      <c r="E28" t="s">
        <v>42</v>
      </c>
      <c r="M28">
        <v>3</v>
      </c>
      <c r="N28" t="s">
        <v>261</v>
      </c>
      <c r="O28" t="s">
        <v>57</v>
      </c>
      <c r="P28" t="s">
        <v>57</v>
      </c>
      <c r="Q28" t="s">
        <v>57</v>
      </c>
    </row>
    <row r="29" spans="1:17" x14ac:dyDescent="0.25">
      <c r="A29">
        <v>3</v>
      </c>
      <c r="B29" t="s">
        <v>47</v>
      </c>
      <c r="C29" t="s">
        <v>439</v>
      </c>
      <c r="E29" t="s">
        <v>42</v>
      </c>
      <c r="M29">
        <v>3</v>
      </c>
      <c r="N29" t="s">
        <v>261</v>
      </c>
      <c r="O29" t="s">
        <v>57</v>
      </c>
      <c r="P29" t="s">
        <v>297</v>
      </c>
      <c r="Q29" t="s">
        <v>57</v>
      </c>
    </row>
    <row r="30" spans="1:17" x14ac:dyDescent="0.25">
      <c r="A30">
        <v>3</v>
      </c>
      <c r="B30" t="s">
        <v>47</v>
      </c>
      <c r="C30" t="s">
        <v>440</v>
      </c>
      <c r="E30" t="s">
        <v>42</v>
      </c>
      <c r="M30">
        <v>3</v>
      </c>
      <c r="N30" t="s">
        <v>261</v>
      </c>
      <c r="O30" t="s">
        <v>58</v>
      </c>
      <c r="P30" t="s">
        <v>298</v>
      </c>
      <c r="Q30" t="s">
        <v>58</v>
      </c>
    </row>
    <row r="31" spans="1:17" x14ac:dyDescent="0.25">
      <c r="A31">
        <v>3</v>
      </c>
      <c r="B31" t="s">
        <v>47</v>
      </c>
      <c r="C31" t="s">
        <v>441</v>
      </c>
      <c r="E31" t="s">
        <v>42</v>
      </c>
      <c r="M31">
        <v>3</v>
      </c>
      <c r="N31" t="s">
        <v>261</v>
      </c>
      <c r="O31" t="s">
        <v>58</v>
      </c>
      <c r="P31" t="s">
        <v>299</v>
      </c>
      <c r="Q31" t="s">
        <v>58</v>
      </c>
    </row>
    <row r="32" spans="1:17" x14ac:dyDescent="0.25">
      <c r="A32">
        <v>3</v>
      </c>
      <c r="B32" t="s">
        <v>47</v>
      </c>
      <c r="C32" t="s">
        <v>443</v>
      </c>
      <c r="E32" t="s">
        <v>42</v>
      </c>
      <c r="M32">
        <v>3</v>
      </c>
      <c r="N32" t="s">
        <v>261</v>
      </c>
      <c r="O32" t="s">
        <v>58</v>
      </c>
      <c r="P32" t="s">
        <v>58</v>
      </c>
      <c r="Q32" t="s">
        <v>58</v>
      </c>
    </row>
    <row r="33" spans="1:17" x14ac:dyDescent="0.25">
      <c r="A33">
        <v>3</v>
      </c>
      <c r="B33" t="s">
        <v>47</v>
      </c>
      <c r="C33" t="s">
        <v>444</v>
      </c>
      <c r="E33" t="s">
        <v>42</v>
      </c>
      <c r="M33">
        <v>3</v>
      </c>
      <c r="N33" t="s">
        <v>47</v>
      </c>
      <c r="O33" t="s">
        <v>436</v>
      </c>
      <c r="P33" t="s">
        <v>436</v>
      </c>
      <c r="Q33" t="s">
        <v>436</v>
      </c>
    </row>
    <row r="34" spans="1:17" x14ac:dyDescent="0.25">
      <c r="A34">
        <v>3</v>
      </c>
      <c r="B34" t="s">
        <v>261</v>
      </c>
      <c r="C34" t="s">
        <v>55</v>
      </c>
      <c r="E34" t="s">
        <v>42</v>
      </c>
      <c r="M34">
        <v>3</v>
      </c>
      <c r="N34" t="s">
        <v>47</v>
      </c>
      <c r="O34" t="s">
        <v>436</v>
      </c>
      <c r="P34" t="s">
        <v>388</v>
      </c>
      <c r="Q34" t="s">
        <v>436</v>
      </c>
    </row>
    <row r="35" spans="1:17" x14ac:dyDescent="0.25">
      <c r="A35">
        <v>3</v>
      </c>
      <c r="B35" t="s">
        <v>261</v>
      </c>
      <c r="C35" t="s">
        <v>304</v>
      </c>
      <c r="E35" t="s">
        <v>42</v>
      </c>
      <c r="M35">
        <v>3</v>
      </c>
      <c r="N35" t="s">
        <v>47</v>
      </c>
      <c r="O35" t="s">
        <v>48</v>
      </c>
      <c r="P35" t="s">
        <v>48</v>
      </c>
      <c r="Q35" t="s">
        <v>48</v>
      </c>
    </row>
    <row r="36" spans="1:17" x14ac:dyDescent="0.25">
      <c r="A36">
        <v>3</v>
      </c>
      <c r="B36" t="s">
        <v>261</v>
      </c>
      <c r="C36" t="s">
        <v>57</v>
      </c>
      <c r="E36" t="s">
        <v>42</v>
      </c>
      <c r="M36">
        <v>3</v>
      </c>
      <c r="N36" t="s">
        <v>47</v>
      </c>
      <c r="O36" t="s">
        <v>48</v>
      </c>
      <c r="P36" t="s">
        <v>391</v>
      </c>
      <c r="Q36" t="s">
        <v>48</v>
      </c>
    </row>
    <row r="37" spans="1:17" x14ac:dyDescent="0.25">
      <c r="A37">
        <v>3</v>
      </c>
      <c r="B37" t="s">
        <v>261</v>
      </c>
      <c r="C37" t="s">
        <v>58</v>
      </c>
      <c r="E37" t="s">
        <v>42</v>
      </c>
      <c r="M37">
        <v>3</v>
      </c>
      <c r="N37" t="s">
        <v>47</v>
      </c>
      <c r="O37" t="s">
        <v>48</v>
      </c>
      <c r="P37" t="s">
        <v>394</v>
      </c>
      <c r="Q37" t="s">
        <v>48</v>
      </c>
    </row>
    <row r="38" spans="1:17" x14ac:dyDescent="0.25">
      <c r="A38">
        <v>4</v>
      </c>
      <c r="B38" t="s">
        <v>195</v>
      </c>
      <c r="C38" t="s">
        <v>262</v>
      </c>
      <c r="E38" t="s">
        <v>42</v>
      </c>
      <c r="M38">
        <v>3</v>
      </c>
      <c r="N38" t="s">
        <v>47</v>
      </c>
      <c r="O38" t="s">
        <v>48</v>
      </c>
      <c r="P38" t="s">
        <v>393</v>
      </c>
      <c r="Q38" t="s">
        <v>48</v>
      </c>
    </row>
    <row r="39" spans="1:17" x14ac:dyDescent="0.25">
      <c r="A39">
        <v>4</v>
      </c>
      <c r="B39" t="s">
        <v>195</v>
      </c>
      <c r="C39" t="s">
        <v>59</v>
      </c>
      <c r="E39" t="s">
        <v>42</v>
      </c>
      <c r="M39">
        <v>3</v>
      </c>
      <c r="N39" t="s">
        <v>47</v>
      </c>
      <c r="O39" t="s">
        <v>48</v>
      </c>
      <c r="P39" t="s">
        <v>392</v>
      </c>
      <c r="Q39" t="s">
        <v>48</v>
      </c>
    </row>
    <row r="40" spans="1:17" x14ac:dyDescent="0.25">
      <c r="A40">
        <v>4</v>
      </c>
      <c r="B40" t="s">
        <v>195</v>
      </c>
      <c r="C40" t="s">
        <v>80</v>
      </c>
      <c r="E40" t="s">
        <v>42</v>
      </c>
      <c r="M40">
        <v>3</v>
      </c>
      <c r="N40" t="s">
        <v>47</v>
      </c>
      <c r="O40" t="s">
        <v>78</v>
      </c>
      <c r="P40" t="s">
        <v>78</v>
      </c>
      <c r="Q40" t="s">
        <v>78</v>
      </c>
    </row>
    <row r="41" spans="1:17" x14ac:dyDescent="0.25">
      <c r="A41">
        <v>4</v>
      </c>
      <c r="B41" t="s">
        <v>195</v>
      </c>
      <c r="C41" t="s">
        <v>61</v>
      </c>
      <c r="E41" t="s">
        <v>42</v>
      </c>
      <c r="M41">
        <v>3</v>
      </c>
      <c r="N41" t="s">
        <v>47</v>
      </c>
      <c r="O41" t="s">
        <v>78</v>
      </c>
      <c r="P41" t="s">
        <v>383</v>
      </c>
      <c r="Q41" t="s">
        <v>78</v>
      </c>
    </row>
    <row r="42" spans="1:17" x14ac:dyDescent="0.25">
      <c r="A42">
        <v>4</v>
      </c>
      <c r="B42" t="s">
        <v>195</v>
      </c>
      <c r="C42" t="s">
        <v>427</v>
      </c>
      <c r="E42" t="s">
        <v>42</v>
      </c>
      <c r="M42">
        <v>3</v>
      </c>
      <c r="N42" t="s">
        <v>47</v>
      </c>
      <c r="O42" t="s">
        <v>78</v>
      </c>
      <c r="P42" t="s">
        <v>384</v>
      </c>
      <c r="Q42" t="s">
        <v>78</v>
      </c>
    </row>
    <row r="43" spans="1:17" x14ac:dyDescent="0.25">
      <c r="A43">
        <v>4</v>
      </c>
      <c r="B43" t="s">
        <v>195</v>
      </c>
      <c r="C43" t="s">
        <v>428</v>
      </c>
      <c r="E43" t="s">
        <v>42</v>
      </c>
      <c r="M43">
        <v>3</v>
      </c>
      <c r="N43" t="s">
        <v>47</v>
      </c>
      <c r="O43" t="s">
        <v>429</v>
      </c>
      <c r="P43" t="s">
        <v>429</v>
      </c>
      <c r="Q43" t="s">
        <v>429</v>
      </c>
    </row>
    <row r="44" spans="1:17" x14ac:dyDescent="0.25">
      <c r="A44">
        <v>4</v>
      </c>
      <c r="B44" t="s">
        <v>195</v>
      </c>
      <c r="C44" t="s">
        <v>97</v>
      </c>
      <c r="E44" t="s">
        <v>42</v>
      </c>
      <c r="M44">
        <v>3</v>
      </c>
      <c r="N44" t="s">
        <v>47</v>
      </c>
      <c r="O44" t="s">
        <v>429</v>
      </c>
      <c r="P44" t="s">
        <v>387</v>
      </c>
      <c r="Q44" t="s">
        <v>429</v>
      </c>
    </row>
    <row r="45" spans="1:17" x14ac:dyDescent="0.25">
      <c r="A45">
        <v>4</v>
      </c>
      <c r="B45" t="s">
        <v>195</v>
      </c>
      <c r="C45" t="s">
        <v>449</v>
      </c>
      <c r="E45" t="s">
        <v>42</v>
      </c>
      <c r="M45">
        <v>3</v>
      </c>
      <c r="N45" t="s">
        <v>47</v>
      </c>
      <c r="O45" t="s">
        <v>441</v>
      </c>
      <c r="P45" t="s">
        <v>441</v>
      </c>
      <c r="Q45" t="s">
        <v>441</v>
      </c>
    </row>
    <row r="46" spans="1:17" x14ac:dyDescent="0.25">
      <c r="A46">
        <v>5</v>
      </c>
      <c r="B46" t="s">
        <v>197</v>
      </c>
      <c r="C46" t="s">
        <v>63</v>
      </c>
      <c r="E46" t="s">
        <v>42</v>
      </c>
      <c r="M46">
        <v>3</v>
      </c>
      <c r="N46" t="s">
        <v>47</v>
      </c>
      <c r="O46" t="s">
        <v>441</v>
      </c>
      <c r="P46" t="s">
        <v>379</v>
      </c>
      <c r="Q46" t="s">
        <v>441</v>
      </c>
    </row>
    <row r="47" spans="1:17" x14ac:dyDescent="0.25">
      <c r="A47">
        <v>5</v>
      </c>
      <c r="B47" t="s">
        <v>197</v>
      </c>
      <c r="C47" t="s">
        <v>90</v>
      </c>
      <c r="E47" t="s">
        <v>42</v>
      </c>
      <c r="M47">
        <v>3</v>
      </c>
      <c r="N47" t="s">
        <v>47</v>
      </c>
      <c r="O47" t="s">
        <v>450</v>
      </c>
      <c r="P47" t="s">
        <v>49</v>
      </c>
      <c r="Q47" t="s">
        <v>450</v>
      </c>
    </row>
    <row r="48" spans="1:17" x14ac:dyDescent="0.25">
      <c r="A48">
        <v>5</v>
      </c>
      <c r="B48" t="s">
        <v>197</v>
      </c>
      <c r="C48" t="s">
        <v>199</v>
      </c>
      <c r="E48" t="s">
        <v>42</v>
      </c>
      <c r="F48" t="s">
        <v>208</v>
      </c>
      <c r="M48">
        <v>3</v>
      </c>
      <c r="N48" t="s">
        <v>47</v>
      </c>
      <c r="O48" t="s">
        <v>450</v>
      </c>
      <c r="P48" t="s">
        <v>450</v>
      </c>
      <c r="Q48" t="s">
        <v>450</v>
      </c>
    </row>
    <row r="49" spans="1:17" x14ac:dyDescent="0.25">
      <c r="A49">
        <v>5</v>
      </c>
      <c r="B49" t="s">
        <v>197</v>
      </c>
      <c r="C49" t="s">
        <v>200</v>
      </c>
      <c r="E49" t="s">
        <v>42</v>
      </c>
      <c r="F49" t="s">
        <v>208</v>
      </c>
      <c r="M49">
        <v>3</v>
      </c>
      <c r="N49" t="s">
        <v>47</v>
      </c>
      <c r="O49" t="s">
        <v>450</v>
      </c>
      <c r="P49" t="s">
        <v>372</v>
      </c>
      <c r="Q49" t="s">
        <v>450</v>
      </c>
    </row>
    <row r="50" spans="1:17" x14ac:dyDescent="0.25">
      <c r="A50">
        <v>6</v>
      </c>
      <c r="B50" t="s">
        <v>65</v>
      </c>
      <c r="C50" t="s">
        <v>67</v>
      </c>
      <c r="E50" t="s">
        <v>42</v>
      </c>
      <c r="M50">
        <v>3</v>
      </c>
      <c r="N50" t="s">
        <v>47</v>
      </c>
      <c r="O50" t="s">
        <v>450</v>
      </c>
      <c r="P50" t="s">
        <v>373</v>
      </c>
      <c r="Q50" t="s">
        <v>450</v>
      </c>
    </row>
    <row r="51" spans="1:17" x14ac:dyDescent="0.25">
      <c r="A51">
        <v>6</v>
      </c>
      <c r="B51" t="s">
        <v>65</v>
      </c>
      <c r="C51" t="s">
        <v>68</v>
      </c>
      <c r="E51" t="s">
        <v>42</v>
      </c>
      <c r="M51">
        <v>3</v>
      </c>
      <c r="N51" t="s">
        <v>47</v>
      </c>
      <c r="O51" t="s">
        <v>450</v>
      </c>
      <c r="P51" t="s">
        <v>371</v>
      </c>
      <c r="Q51" t="s">
        <v>450</v>
      </c>
    </row>
    <row r="52" spans="1:17" x14ac:dyDescent="0.25">
      <c r="A52">
        <v>6</v>
      </c>
      <c r="B52" t="s">
        <v>65</v>
      </c>
      <c r="C52" t="s">
        <v>69</v>
      </c>
      <c r="E52" t="s">
        <v>42</v>
      </c>
      <c r="M52">
        <v>3</v>
      </c>
      <c r="N52" t="s">
        <v>47</v>
      </c>
      <c r="O52" t="s">
        <v>50</v>
      </c>
      <c r="P52" t="s">
        <v>50</v>
      </c>
      <c r="Q52" t="s">
        <v>50</v>
      </c>
    </row>
    <row r="53" spans="1:17" x14ac:dyDescent="0.25">
      <c r="A53">
        <v>6</v>
      </c>
      <c r="B53" t="s">
        <v>65</v>
      </c>
      <c r="C53" t="s">
        <v>201</v>
      </c>
      <c r="E53" t="s">
        <v>42</v>
      </c>
      <c r="F53" t="s">
        <v>208</v>
      </c>
      <c r="M53">
        <v>3</v>
      </c>
      <c r="N53" t="s">
        <v>47</v>
      </c>
      <c r="O53" t="s">
        <v>50</v>
      </c>
      <c r="P53" t="s">
        <v>370</v>
      </c>
      <c r="Q53" t="s">
        <v>50</v>
      </c>
    </row>
    <row r="54" spans="1:17" x14ac:dyDescent="0.25">
      <c r="A54">
        <v>6</v>
      </c>
      <c r="B54" t="s">
        <v>65</v>
      </c>
      <c r="C54" t="s">
        <v>202</v>
      </c>
      <c r="E54" t="s">
        <v>42</v>
      </c>
      <c r="F54" t="s">
        <v>208</v>
      </c>
      <c r="M54">
        <v>3</v>
      </c>
      <c r="N54" t="s">
        <v>47</v>
      </c>
      <c r="O54" t="s">
        <v>81</v>
      </c>
      <c r="P54" t="s">
        <v>398</v>
      </c>
      <c r="Q54" t="s">
        <v>81</v>
      </c>
    </row>
    <row r="55" spans="1:17" x14ac:dyDescent="0.25">
      <c r="A55">
        <v>6</v>
      </c>
      <c r="B55" t="s">
        <v>65</v>
      </c>
      <c r="C55" t="s">
        <v>445</v>
      </c>
      <c r="E55" t="s">
        <v>42</v>
      </c>
      <c r="F55" t="s">
        <v>208</v>
      </c>
      <c r="M55">
        <v>3</v>
      </c>
      <c r="N55" t="s">
        <v>47</v>
      </c>
      <c r="O55" t="s">
        <v>81</v>
      </c>
      <c r="P55" t="s">
        <v>397</v>
      </c>
      <c r="Q55" t="s">
        <v>81</v>
      </c>
    </row>
    <row r="56" spans="1:17" x14ac:dyDescent="0.25">
      <c r="A56">
        <v>7</v>
      </c>
      <c r="B56" t="s">
        <v>203</v>
      </c>
      <c r="C56" t="s">
        <v>70</v>
      </c>
      <c r="E56" t="s">
        <v>42</v>
      </c>
      <c r="M56">
        <v>3</v>
      </c>
      <c r="N56" t="s">
        <v>47</v>
      </c>
      <c r="O56" t="s">
        <v>81</v>
      </c>
      <c r="P56" t="s">
        <v>396</v>
      </c>
      <c r="Q56" t="s">
        <v>81</v>
      </c>
    </row>
    <row r="57" spans="1:17" x14ac:dyDescent="0.25">
      <c r="A57">
        <v>7</v>
      </c>
      <c r="B57" t="s">
        <v>203</v>
      </c>
      <c r="C57" t="s">
        <v>447</v>
      </c>
      <c r="E57" t="s">
        <v>42</v>
      </c>
      <c r="M57">
        <v>3</v>
      </c>
      <c r="N57" t="s">
        <v>47</v>
      </c>
      <c r="O57" t="s">
        <v>81</v>
      </c>
      <c r="P57" t="s">
        <v>395</v>
      </c>
      <c r="Q57" t="s">
        <v>81</v>
      </c>
    </row>
    <row r="58" spans="1:17" x14ac:dyDescent="0.25">
      <c r="A58">
        <v>7</v>
      </c>
      <c r="B58" t="s">
        <v>203</v>
      </c>
      <c r="C58" t="s">
        <v>72</v>
      </c>
      <c r="E58" t="s">
        <v>42</v>
      </c>
      <c r="M58">
        <v>3</v>
      </c>
      <c r="N58" t="s">
        <v>47</v>
      </c>
      <c r="O58" t="s">
        <v>81</v>
      </c>
      <c r="P58" t="s">
        <v>81</v>
      </c>
      <c r="Q58" t="s">
        <v>81</v>
      </c>
    </row>
    <row r="59" spans="1:17" x14ac:dyDescent="0.25">
      <c r="A59">
        <v>7</v>
      </c>
      <c r="B59" t="s">
        <v>203</v>
      </c>
      <c r="C59" t="s">
        <v>34</v>
      </c>
      <c r="E59" t="s">
        <v>42</v>
      </c>
      <c r="M59">
        <v>3</v>
      </c>
      <c r="N59" t="s">
        <v>47</v>
      </c>
      <c r="O59" t="s">
        <v>36</v>
      </c>
      <c r="P59" t="s">
        <v>36</v>
      </c>
      <c r="Q59" t="s">
        <v>36</v>
      </c>
    </row>
    <row r="60" spans="1:17" x14ac:dyDescent="0.25">
      <c r="A60">
        <v>7</v>
      </c>
      <c r="B60" t="s">
        <v>203</v>
      </c>
      <c r="C60" t="s">
        <v>74</v>
      </c>
      <c r="E60" t="s">
        <v>42</v>
      </c>
      <c r="M60">
        <v>3</v>
      </c>
      <c r="N60" t="s">
        <v>47</v>
      </c>
      <c r="O60" t="s">
        <v>36</v>
      </c>
      <c r="P60" t="s">
        <v>378</v>
      </c>
      <c r="Q60" t="s">
        <v>36</v>
      </c>
    </row>
    <row r="61" spans="1:17" x14ac:dyDescent="0.25">
      <c r="A61">
        <v>7</v>
      </c>
      <c r="B61" t="s">
        <v>203</v>
      </c>
      <c r="C61" t="s">
        <v>446</v>
      </c>
      <c r="E61" t="s">
        <v>42</v>
      </c>
      <c r="M61">
        <v>3</v>
      </c>
      <c r="N61" t="s">
        <v>47</v>
      </c>
      <c r="O61" t="s">
        <v>51</v>
      </c>
      <c r="P61" t="s">
        <v>51</v>
      </c>
      <c r="Q61" t="s">
        <v>51</v>
      </c>
    </row>
    <row r="62" spans="1:17" x14ac:dyDescent="0.25">
      <c r="A62">
        <v>7</v>
      </c>
      <c r="B62" t="s">
        <v>203</v>
      </c>
      <c r="C62" t="s">
        <v>66</v>
      </c>
      <c r="E62" t="s">
        <v>42</v>
      </c>
      <c r="M62">
        <v>3</v>
      </c>
      <c r="N62" t="s">
        <v>47</v>
      </c>
      <c r="O62" t="s">
        <v>51</v>
      </c>
      <c r="P62" t="s">
        <v>376</v>
      </c>
      <c r="Q62" t="s">
        <v>51</v>
      </c>
    </row>
    <row r="63" spans="1:17" x14ac:dyDescent="0.25">
      <c r="A63">
        <v>7</v>
      </c>
      <c r="B63" t="s">
        <v>203</v>
      </c>
      <c r="C63" t="s">
        <v>71</v>
      </c>
      <c r="E63" t="s">
        <v>42</v>
      </c>
      <c r="M63">
        <v>3</v>
      </c>
      <c r="N63" t="s">
        <v>47</v>
      </c>
      <c r="O63" t="s">
        <v>440</v>
      </c>
      <c r="P63" t="s">
        <v>377</v>
      </c>
      <c r="Q63" t="s">
        <v>440</v>
      </c>
    </row>
    <row r="64" spans="1:17" x14ac:dyDescent="0.25">
      <c r="A64">
        <v>7</v>
      </c>
      <c r="B64" t="s">
        <v>203</v>
      </c>
      <c r="C64" t="s">
        <v>33</v>
      </c>
      <c r="E64" t="s">
        <v>42</v>
      </c>
      <c r="M64">
        <v>3</v>
      </c>
      <c r="N64" t="s">
        <v>47</v>
      </c>
      <c r="O64" t="s">
        <v>440</v>
      </c>
      <c r="P64" t="s">
        <v>440</v>
      </c>
      <c r="Q64" t="s">
        <v>440</v>
      </c>
    </row>
    <row r="65" spans="1:17" x14ac:dyDescent="0.25">
      <c r="A65">
        <v>7</v>
      </c>
      <c r="B65" t="s">
        <v>203</v>
      </c>
      <c r="C65" t="s">
        <v>75</v>
      </c>
      <c r="E65" t="s">
        <v>42</v>
      </c>
      <c r="M65">
        <v>3</v>
      </c>
      <c r="N65" t="s">
        <v>47</v>
      </c>
      <c r="O65" t="s">
        <v>451</v>
      </c>
      <c r="P65" t="s">
        <v>385</v>
      </c>
      <c r="Q65" t="s">
        <v>451</v>
      </c>
    </row>
    <row r="66" spans="1:17" x14ac:dyDescent="0.25">
      <c r="A66">
        <v>7</v>
      </c>
      <c r="B66" t="s">
        <v>203</v>
      </c>
      <c r="C66" t="s">
        <v>73</v>
      </c>
      <c r="E66" t="s">
        <v>42</v>
      </c>
      <c r="M66">
        <v>3</v>
      </c>
      <c r="N66" t="s">
        <v>47</v>
      </c>
      <c r="O66" t="s">
        <v>451</v>
      </c>
      <c r="P66" t="s">
        <v>257</v>
      </c>
      <c r="Q66" t="s">
        <v>451</v>
      </c>
    </row>
    <row r="67" spans="1:17" x14ac:dyDescent="0.25">
      <c r="A67">
        <v>7</v>
      </c>
      <c r="B67" t="s">
        <v>203</v>
      </c>
      <c r="C67" t="s">
        <v>448</v>
      </c>
      <c r="E67" t="s">
        <v>42</v>
      </c>
      <c r="F67" t="s">
        <v>208</v>
      </c>
      <c r="M67">
        <v>3</v>
      </c>
      <c r="N67" t="s">
        <v>47</v>
      </c>
      <c r="O67" t="s">
        <v>451</v>
      </c>
      <c r="P67" t="s">
        <v>451</v>
      </c>
      <c r="Q67" t="s">
        <v>451</v>
      </c>
    </row>
    <row r="68" spans="1:17" x14ac:dyDescent="0.25">
      <c r="A68">
        <v>8</v>
      </c>
      <c r="B68" t="s">
        <v>76</v>
      </c>
      <c r="C68" t="s">
        <v>260</v>
      </c>
      <c r="E68" t="s">
        <v>42</v>
      </c>
      <c r="M68">
        <v>3</v>
      </c>
      <c r="N68" t="s">
        <v>47</v>
      </c>
      <c r="O68" t="s">
        <v>451</v>
      </c>
      <c r="P68" t="s">
        <v>380</v>
      </c>
      <c r="Q68" t="s">
        <v>451</v>
      </c>
    </row>
    <row r="69" spans="1:17" x14ac:dyDescent="0.25">
      <c r="A69">
        <v>8</v>
      </c>
      <c r="B69" t="s">
        <v>76</v>
      </c>
      <c r="C69" t="s">
        <v>77</v>
      </c>
      <c r="E69" t="s">
        <v>42</v>
      </c>
      <c r="M69">
        <v>3</v>
      </c>
      <c r="N69" t="s">
        <v>47</v>
      </c>
      <c r="O69" t="s">
        <v>435</v>
      </c>
      <c r="P69" t="s">
        <v>382</v>
      </c>
      <c r="Q69" t="s">
        <v>435</v>
      </c>
    </row>
    <row r="70" spans="1:17" x14ac:dyDescent="0.25">
      <c r="A70">
        <v>8</v>
      </c>
      <c r="B70" t="s">
        <v>76</v>
      </c>
      <c r="C70" t="s">
        <v>87</v>
      </c>
      <c r="E70" t="s">
        <v>42</v>
      </c>
      <c r="M70">
        <v>3</v>
      </c>
      <c r="N70" t="s">
        <v>47</v>
      </c>
      <c r="O70" t="s">
        <v>435</v>
      </c>
      <c r="P70" t="s">
        <v>435</v>
      </c>
      <c r="Q70" t="s">
        <v>435</v>
      </c>
    </row>
    <row r="71" spans="1:17" x14ac:dyDescent="0.25">
      <c r="A71">
        <v>8</v>
      </c>
      <c r="B71" t="s">
        <v>76</v>
      </c>
      <c r="C71" t="s">
        <v>88</v>
      </c>
      <c r="E71" t="s">
        <v>42</v>
      </c>
      <c r="M71">
        <v>3</v>
      </c>
      <c r="N71" t="s">
        <v>47</v>
      </c>
      <c r="O71" t="s">
        <v>452</v>
      </c>
      <c r="P71" t="s">
        <v>386</v>
      </c>
      <c r="Q71" t="s">
        <v>452</v>
      </c>
    </row>
    <row r="72" spans="1:17" x14ac:dyDescent="0.25">
      <c r="A72">
        <v>8</v>
      </c>
      <c r="B72" t="s">
        <v>76</v>
      </c>
      <c r="C72" t="s">
        <v>84</v>
      </c>
      <c r="E72" t="s">
        <v>42</v>
      </c>
      <c r="M72">
        <v>3</v>
      </c>
      <c r="N72" t="s">
        <v>47</v>
      </c>
      <c r="O72" t="s">
        <v>452</v>
      </c>
      <c r="P72" t="s">
        <v>52</v>
      </c>
      <c r="Q72" t="s">
        <v>452</v>
      </c>
    </row>
    <row r="73" spans="1:17" x14ac:dyDescent="0.25">
      <c r="A73">
        <v>8</v>
      </c>
      <c r="B73" t="s">
        <v>76</v>
      </c>
      <c r="C73" t="s">
        <v>430</v>
      </c>
      <c r="E73" t="s">
        <v>42</v>
      </c>
      <c r="M73">
        <v>3</v>
      </c>
      <c r="N73" t="s">
        <v>47</v>
      </c>
      <c r="O73" t="s">
        <v>452</v>
      </c>
      <c r="P73" t="s">
        <v>452</v>
      </c>
      <c r="Q73" t="s">
        <v>452</v>
      </c>
    </row>
    <row r="74" spans="1:17" x14ac:dyDescent="0.25">
      <c r="A74">
        <v>8</v>
      </c>
      <c r="B74" t="s">
        <v>76</v>
      </c>
      <c r="C74" t="s">
        <v>85</v>
      </c>
      <c r="E74" t="s">
        <v>42</v>
      </c>
      <c r="M74">
        <v>3</v>
      </c>
      <c r="N74" t="s">
        <v>47</v>
      </c>
      <c r="O74" t="s">
        <v>452</v>
      </c>
      <c r="P74" t="s">
        <v>381</v>
      </c>
      <c r="Q74" t="s">
        <v>452</v>
      </c>
    </row>
    <row r="75" spans="1:17" x14ac:dyDescent="0.25">
      <c r="A75">
        <v>8</v>
      </c>
      <c r="B75" t="s">
        <v>76</v>
      </c>
      <c r="C75" t="s">
        <v>433</v>
      </c>
      <c r="E75" t="s">
        <v>42</v>
      </c>
      <c r="M75">
        <v>3</v>
      </c>
      <c r="N75" t="s">
        <v>47</v>
      </c>
      <c r="O75" t="s">
        <v>432</v>
      </c>
      <c r="P75" t="s">
        <v>432</v>
      </c>
      <c r="Q75" t="s">
        <v>432</v>
      </c>
    </row>
    <row r="76" spans="1:17" x14ac:dyDescent="0.25">
      <c r="A76">
        <v>8</v>
      </c>
      <c r="B76" t="s">
        <v>76</v>
      </c>
      <c r="C76" t="s">
        <v>60</v>
      </c>
      <c r="E76" t="s">
        <v>42</v>
      </c>
      <c r="M76">
        <v>3</v>
      </c>
      <c r="N76" t="s">
        <v>47</v>
      </c>
      <c r="O76" t="s">
        <v>432</v>
      </c>
      <c r="P76" t="s">
        <v>389</v>
      </c>
      <c r="Q76" t="s">
        <v>432</v>
      </c>
    </row>
    <row r="77" spans="1:17" x14ac:dyDescent="0.25">
      <c r="A77">
        <v>8</v>
      </c>
      <c r="B77" t="s">
        <v>76</v>
      </c>
      <c r="C77" t="s">
        <v>64</v>
      </c>
      <c r="E77" t="s">
        <v>42</v>
      </c>
      <c r="M77">
        <v>3</v>
      </c>
      <c r="N77" t="s">
        <v>47</v>
      </c>
      <c r="O77" t="s">
        <v>53</v>
      </c>
      <c r="P77" t="s">
        <v>374</v>
      </c>
      <c r="Q77" t="s">
        <v>53</v>
      </c>
    </row>
    <row r="78" spans="1:17" x14ac:dyDescent="0.25">
      <c r="A78">
        <v>8</v>
      </c>
      <c r="B78" t="s">
        <v>76</v>
      </c>
      <c r="C78" t="s">
        <v>82</v>
      </c>
      <c r="E78" t="s">
        <v>42</v>
      </c>
      <c r="M78">
        <v>3</v>
      </c>
      <c r="N78" t="s">
        <v>47</v>
      </c>
      <c r="O78" t="s">
        <v>53</v>
      </c>
      <c r="P78" t="s">
        <v>53</v>
      </c>
      <c r="Q78" t="s">
        <v>53</v>
      </c>
    </row>
    <row r="79" spans="1:17" x14ac:dyDescent="0.25">
      <c r="A79">
        <v>8</v>
      </c>
      <c r="B79" t="s">
        <v>76</v>
      </c>
      <c r="C79" t="s">
        <v>86</v>
      </c>
      <c r="E79" t="s">
        <v>42</v>
      </c>
      <c r="M79">
        <v>3</v>
      </c>
      <c r="N79" t="s">
        <v>47</v>
      </c>
      <c r="O79" t="s">
        <v>439</v>
      </c>
      <c r="P79" t="s">
        <v>375</v>
      </c>
      <c r="Q79" t="s">
        <v>439</v>
      </c>
    </row>
    <row r="80" spans="1:17" x14ac:dyDescent="0.25">
      <c r="A80">
        <v>8</v>
      </c>
      <c r="B80" t="s">
        <v>76</v>
      </c>
      <c r="C80" t="s">
        <v>96</v>
      </c>
      <c r="E80" t="s">
        <v>42</v>
      </c>
      <c r="M80">
        <v>3</v>
      </c>
      <c r="N80" t="s">
        <v>47</v>
      </c>
      <c r="O80" t="s">
        <v>439</v>
      </c>
      <c r="P80" t="s">
        <v>439</v>
      </c>
      <c r="Q80" t="s">
        <v>439</v>
      </c>
    </row>
    <row r="81" spans="1:17" x14ac:dyDescent="0.25">
      <c r="A81">
        <v>8</v>
      </c>
      <c r="B81" t="s">
        <v>76</v>
      </c>
      <c r="C81" t="s">
        <v>83</v>
      </c>
      <c r="E81" t="s">
        <v>42</v>
      </c>
      <c r="M81">
        <v>3</v>
      </c>
      <c r="N81" t="s">
        <v>47</v>
      </c>
      <c r="O81" t="s">
        <v>54</v>
      </c>
      <c r="P81" t="s">
        <v>390</v>
      </c>
      <c r="Q81" t="s">
        <v>54</v>
      </c>
    </row>
    <row r="82" spans="1:17" x14ac:dyDescent="0.25">
      <c r="A82">
        <v>8</v>
      </c>
      <c r="B82" t="s">
        <v>76</v>
      </c>
      <c r="C82" t="s">
        <v>431</v>
      </c>
      <c r="E82" t="s">
        <v>42</v>
      </c>
      <c r="M82">
        <v>3</v>
      </c>
      <c r="N82" t="s">
        <v>47</v>
      </c>
      <c r="O82" t="s">
        <v>54</v>
      </c>
      <c r="P82" t="s">
        <v>54</v>
      </c>
      <c r="Q82" t="s">
        <v>54</v>
      </c>
    </row>
    <row r="83" spans="1:17" x14ac:dyDescent="0.25">
      <c r="A83">
        <v>8</v>
      </c>
      <c r="B83" t="s">
        <v>76</v>
      </c>
      <c r="C83" t="s">
        <v>89</v>
      </c>
      <c r="E83" t="s">
        <v>91</v>
      </c>
      <c r="M83">
        <v>4</v>
      </c>
      <c r="N83" t="s">
        <v>195</v>
      </c>
      <c r="O83" t="s">
        <v>80</v>
      </c>
      <c r="P83" t="s">
        <v>80</v>
      </c>
      <c r="Q83" t="s">
        <v>80</v>
      </c>
    </row>
    <row r="84" spans="1:17" x14ac:dyDescent="0.25">
      <c r="A84">
        <v>8</v>
      </c>
      <c r="B84" t="s">
        <v>76</v>
      </c>
      <c r="C84" t="s">
        <v>437</v>
      </c>
      <c r="E84" t="s">
        <v>42</v>
      </c>
      <c r="M84">
        <v>4</v>
      </c>
      <c r="N84" t="s">
        <v>195</v>
      </c>
      <c r="O84" t="s">
        <v>59</v>
      </c>
      <c r="P84" t="s">
        <v>360</v>
      </c>
      <c r="Q84" t="s">
        <v>59</v>
      </c>
    </row>
    <row r="85" spans="1:17" x14ac:dyDescent="0.25">
      <c r="A85">
        <v>8</v>
      </c>
      <c r="B85" t="s">
        <v>76</v>
      </c>
      <c r="C85" t="s">
        <v>204</v>
      </c>
      <c r="E85" t="s">
        <v>42</v>
      </c>
      <c r="F85" t="s">
        <v>208</v>
      </c>
      <c r="M85">
        <v>4</v>
      </c>
      <c r="N85" t="s">
        <v>195</v>
      </c>
      <c r="O85" t="s">
        <v>59</v>
      </c>
      <c r="P85" t="s">
        <v>362</v>
      </c>
      <c r="Q85" t="s">
        <v>59</v>
      </c>
    </row>
    <row r="86" spans="1:17" x14ac:dyDescent="0.25">
      <c r="A86">
        <v>9</v>
      </c>
      <c r="B86" t="s">
        <v>258</v>
      </c>
      <c r="C86" t="s">
        <v>92</v>
      </c>
      <c r="E86" t="s">
        <v>42</v>
      </c>
      <c r="M86">
        <v>4</v>
      </c>
      <c r="N86" t="s">
        <v>195</v>
      </c>
      <c r="O86" t="s">
        <v>59</v>
      </c>
      <c r="P86" t="s">
        <v>361</v>
      </c>
      <c r="Q86" t="s">
        <v>59</v>
      </c>
    </row>
    <row r="87" spans="1:17" x14ac:dyDescent="0.25">
      <c r="A87">
        <v>9</v>
      </c>
      <c r="B87" t="s">
        <v>258</v>
      </c>
      <c r="C87" t="s">
        <v>93</v>
      </c>
      <c r="E87" t="s">
        <v>42</v>
      </c>
      <c r="M87">
        <v>4</v>
      </c>
      <c r="N87" t="s">
        <v>195</v>
      </c>
      <c r="O87" t="s">
        <v>59</v>
      </c>
      <c r="P87" t="s">
        <v>59</v>
      </c>
      <c r="Q87" t="s">
        <v>59</v>
      </c>
    </row>
    <row r="88" spans="1:17" x14ac:dyDescent="0.25">
      <c r="A88">
        <v>9</v>
      </c>
      <c r="B88" t="s">
        <v>258</v>
      </c>
      <c r="C88" t="s">
        <v>94</v>
      </c>
      <c r="E88" t="s">
        <v>42</v>
      </c>
      <c r="M88">
        <v>4</v>
      </c>
      <c r="N88" t="s">
        <v>195</v>
      </c>
      <c r="O88" t="s">
        <v>97</v>
      </c>
      <c r="P88" t="s">
        <v>97</v>
      </c>
      <c r="Q88" t="s">
        <v>97</v>
      </c>
    </row>
    <row r="89" spans="1:17" x14ac:dyDescent="0.25">
      <c r="A89">
        <v>9</v>
      </c>
      <c r="B89" t="s">
        <v>258</v>
      </c>
      <c r="C89" t="s">
        <v>95</v>
      </c>
      <c r="E89" t="s">
        <v>42</v>
      </c>
      <c r="M89">
        <v>4</v>
      </c>
      <c r="N89" t="s">
        <v>195</v>
      </c>
      <c r="O89" t="s">
        <v>97</v>
      </c>
      <c r="P89" t="s">
        <v>364</v>
      </c>
      <c r="Q89" t="s">
        <v>97</v>
      </c>
    </row>
    <row r="90" spans="1:17" x14ac:dyDescent="0.25">
      <c r="A90">
        <v>9</v>
      </c>
      <c r="B90" t="s">
        <v>258</v>
      </c>
      <c r="C90" t="s">
        <v>102</v>
      </c>
      <c r="E90" t="s">
        <v>42</v>
      </c>
      <c r="M90">
        <v>4</v>
      </c>
      <c r="N90" t="s">
        <v>195</v>
      </c>
      <c r="O90" t="s">
        <v>97</v>
      </c>
      <c r="P90" t="s">
        <v>422</v>
      </c>
      <c r="Q90" t="s">
        <v>97</v>
      </c>
    </row>
    <row r="91" spans="1:17" x14ac:dyDescent="0.25">
      <c r="A91">
        <v>9</v>
      </c>
      <c r="B91" t="s">
        <v>258</v>
      </c>
      <c r="C91" t="s">
        <v>98</v>
      </c>
      <c r="E91" t="s">
        <v>42</v>
      </c>
      <c r="M91">
        <v>4</v>
      </c>
      <c r="N91" t="s">
        <v>195</v>
      </c>
      <c r="O91" t="s">
        <v>97</v>
      </c>
      <c r="P91" t="s">
        <v>363</v>
      </c>
      <c r="Q91" t="s">
        <v>97</v>
      </c>
    </row>
    <row r="92" spans="1:17" x14ac:dyDescent="0.25">
      <c r="A92">
        <v>9</v>
      </c>
      <c r="B92" t="s">
        <v>258</v>
      </c>
      <c r="C92" t="s">
        <v>99</v>
      </c>
      <c r="E92" t="s">
        <v>42</v>
      </c>
      <c r="M92">
        <v>4</v>
      </c>
      <c r="N92" t="s">
        <v>195</v>
      </c>
      <c r="O92" t="s">
        <v>61</v>
      </c>
      <c r="P92" t="s">
        <v>366</v>
      </c>
      <c r="Q92" t="s">
        <v>61</v>
      </c>
    </row>
    <row r="93" spans="1:17" x14ac:dyDescent="0.25">
      <c r="A93">
        <v>9</v>
      </c>
      <c r="B93" t="s">
        <v>258</v>
      </c>
      <c r="C93" t="s">
        <v>100</v>
      </c>
      <c r="E93" t="s">
        <v>42</v>
      </c>
      <c r="M93">
        <v>4</v>
      </c>
      <c r="N93" t="s">
        <v>195</v>
      </c>
      <c r="O93" t="s">
        <v>61</v>
      </c>
      <c r="P93" t="s">
        <v>61</v>
      </c>
      <c r="Q93" t="s">
        <v>61</v>
      </c>
    </row>
    <row r="94" spans="1:17" x14ac:dyDescent="0.25">
      <c r="A94">
        <v>9</v>
      </c>
      <c r="B94" t="s">
        <v>258</v>
      </c>
      <c r="C94" t="s">
        <v>101</v>
      </c>
      <c r="E94" t="s">
        <v>42</v>
      </c>
      <c r="M94">
        <v>4</v>
      </c>
      <c r="N94" t="s">
        <v>195</v>
      </c>
      <c r="O94" t="s">
        <v>428</v>
      </c>
      <c r="P94" t="s">
        <v>367</v>
      </c>
      <c r="Q94" t="s">
        <v>428</v>
      </c>
    </row>
    <row r="95" spans="1:17" x14ac:dyDescent="0.25">
      <c r="A95">
        <v>9</v>
      </c>
      <c r="B95" t="s">
        <v>258</v>
      </c>
      <c r="C95" t="s">
        <v>205</v>
      </c>
      <c r="E95" t="s">
        <v>42</v>
      </c>
      <c r="F95" t="s">
        <v>208</v>
      </c>
      <c r="M95">
        <v>4</v>
      </c>
      <c r="N95" t="s">
        <v>195</v>
      </c>
      <c r="O95" t="s">
        <v>428</v>
      </c>
      <c r="P95" t="s">
        <v>428</v>
      </c>
      <c r="Q95" t="s">
        <v>428</v>
      </c>
    </row>
    <row r="96" spans="1:17" x14ac:dyDescent="0.25">
      <c r="A96">
        <v>9</v>
      </c>
      <c r="B96" t="s">
        <v>258</v>
      </c>
      <c r="C96" t="s">
        <v>206</v>
      </c>
      <c r="E96" t="s">
        <v>42</v>
      </c>
      <c r="F96" t="s">
        <v>208</v>
      </c>
      <c r="M96">
        <v>4</v>
      </c>
      <c r="N96" t="s">
        <v>195</v>
      </c>
      <c r="O96" t="s">
        <v>63</v>
      </c>
      <c r="P96" t="s">
        <v>368</v>
      </c>
      <c r="Q96" t="s">
        <v>63</v>
      </c>
    </row>
    <row r="97" spans="1:17" x14ac:dyDescent="0.25">
      <c r="A97">
        <v>9</v>
      </c>
      <c r="B97" t="s">
        <v>258</v>
      </c>
      <c r="C97" t="s">
        <v>213</v>
      </c>
      <c r="E97" t="s">
        <v>42</v>
      </c>
      <c r="F97" t="s">
        <v>208</v>
      </c>
      <c r="M97">
        <v>4</v>
      </c>
      <c r="N97" t="s">
        <v>195</v>
      </c>
      <c r="O97" t="s">
        <v>63</v>
      </c>
      <c r="P97" t="s">
        <v>63</v>
      </c>
      <c r="Q97" t="s">
        <v>63</v>
      </c>
    </row>
    <row r="98" spans="1:17" x14ac:dyDescent="0.25">
      <c r="A98">
        <v>9</v>
      </c>
      <c r="B98" t="s">
        <v>258</v>
      </c>
      <c r="C98" t="s">
        <v>259</v>
      </c>
      <c r="E98" t="s">
        <v>42</v>
      </c>
      <c r="F98" t="s">
        <v>208</v>
      </c>
      <c r="M98">
        <v>4</v>
      </c>
      <c r="N98" t="s">
        <v>195</v>
      </c>
      <c r="O98" t="s">
        <v>63</v>
      </c>
      <c r="P98" t="s">
        <v>369</v>
      </c>
      <c r="Q98" t="s">
        <v>63</v>
      </c>
    </row>
    <row r="99" spans="1:17" x14ac:dyDescent="0.25">
      <c r="A99">
        <v>9</v>
      </c>
      <c r="B99" t="s">
        <v>258</v>
      </c>
      <c r="C99" t="s">
        <v>438</v>
      </c>
      <c r="E99" t="s">
        <v>42</v>
      </c>
      <c r="F99" t="s">
        <v>208</v>
      </c>
      <c r="M99">
        <v>4</v>
      </c>
      <c r="N99" t="s">
        <v>195</v>
      </c>
      <c r="O99" t="s">
        <v>427</v>
      </c>
      <c r="P99" t="s">
        <v>365</v>
      </c>
      <c r="Q99" t="s">
        <v>427</v>
      </c>
    </row>
    <row r="100" spans="1:17" x14ac:dyDescent="0.25">
      <c r="A100">
        <v>10</v>
      </c>
      <c r="B100" t="s">
        <v>103</v>
      </c>
      <c r="C100" t="s">
        <v>104</v>
      </c>
      <c r="E100" t="s">
        <v>42</v>
      </c>
      <c r="F100" t="s">
        <v>208</v>
      </c>
      <c r="M100">
        <v>4</v>
      </c>
      <c r="N100" t="s">
        <v>195</v>
      </c>
      <c r="O100" t="s">
        <v>427</v>
      </c>
      <c r="P100" t="s">
        <v>427</v>
      </c>
      <c r="Q100" t="s">
        <v>427</v>
      </c>
    </row>
    <row r="101" spans="1:17" x14ac:dyDescent="0.25">
      <c r="A101">
        <v>10</v>
      </c>
      <c r="B101" t="s">
        <v>103</v>
      </c>
      <c r="C101" t="s">
        <v>104</v>
      </c>
      <c r="E101" t="s">
        <v>42</v>
      </c>
      <c r="F101" t="s">
        <v>208</v>
      </c>
      <c r="M101">
        <v>6</v>
      </c>
      <c r="N101" t="s">
        <v>65</v>
      </c>
      <c r="O101" t="s">
        <v>67</v>
      </c>
      <c r="P101" t="s">
        <v>67</v>
      </c>
      <c r="Q101" t="s">
        <v>67</v>
      </c>
    </row>
    <row r="102" spans="1:17" x14ac:dyDescent="0.25">
      <c r="A102">
        <v>10</v>
      </c>
      <c r="B102" t="s">
        <v>103</v>
      </c>
      <c r="C102" t="s">
        <v>104</v>
      </c>
      <c r="E102" t="s">
        <v>42</v>
      </c>
      <c r="F102" t="s">
        <v>208</v>
      </c>
      <c r="M102">
        <v>6</v>
      </c>
      <c r="N102" t="s">
        <v>65</v>
      </c>
      <c r="O102" t="s">
        <v>67</v>
      </c>
      <c r="P102" t="s">
        <v>359</v>
      </c>
      <c r="Q102" t="s">
        <v>67</v>
      </c>
    </row>
    <row r="103" spans="1:17" x14ac:dyDescent="0.25">
      <c r="A103">
        <v>10</v>
      </c>
      <c r="B103" t="s">
        <v>103</v>
      </c>
      <c r="C103" t="s">
        <v>104</v>
      </c>
      <c r="E103" t="s">
        <v>42</v>
      </c>
      <c r="F103" t="s">
        <v>208</v>
      </c>
      <c r="M103">
        <v>6</v>
      </c>
      <c r="N103" t="s">
        <v>65</v>
      </c>
      <c r="O103" t="s">
        <v>67</v>
      </c>
      <c r="P103" t="s">
        <v>358</v>
      </c>
      <c r="Q103" t="s">
        <v>67</v>
      </c>
    </row>
    <row r="104" spans="1:17" x14ac:dyDescent="0.25">
      <c r="A104">
        <v>10</v>
      </c>
      <c r="B104" t="s">
        <v>103</v>
      </c>
      <c r="C104" t="s">
        <v>104</v>
      </c>
      <c r="E104" t="s">
        <v>42</v>
      </c>
      <c r="F104" t="s">
        <v>208</v>
      </c>
      <c r="M104">
        <v>6</v>
      </c>
      <c r="N104" t="s">
        <v>65</v>
      </c>
      <c r="O104" t="s">
        <v>67</v>
      </c>
      <c r="P104" t="s">
        <v>357</v>
      </c>
      <c r="Q104" t="s">
        <v>67</v>
      </c>
    </row>
    <row r="105" spans="1:17" x14ac:dyDescent="0.25">
      <c r="A105">
        <v>10</v>
      </c>
      <c r="B105" t="s">
        <v>103</v>
      </c>
      <c r="C105" t="s">
        <v>104</v>
      </c>
      <c r="E105" t="s">
        <v>42</v>
      </c>
      <c r="F105" t="s">
        <v>208</v>
      </c>
      <c r="M105">
        <v>6</v>
      </c>
      <c r="N105" t="s">
        <v>65</v>
      </c>
      <c r="O105" t="s">
        <v>68</v>
      </c>
      <c r="P105" t="s">
        <v>356</v>
      </c>
      <c r="Q105" t="s">
        <v>68</v>
      </c>
    </row>
    <row r="106" spans="1:17" x14ac:dyDescent="0.25">
      <c r="A106">
        <v>10</v>
      </c>
      <c r="B106" t="s">
        <v>103</v>
      </c>
      <c r="C106" t="s">
        <v>104</v>
      </c>
      <c r="E106" t="s">
        <v>42</v>
      </c>
      <c r="F106" t="s">
        <v>208</v>
      </c>
      <c r="M106">
        <v>6</v>
      </c>
      <c r="N106" t="s">
        <v>65</v>
      </c>
      <c r="O106" t="s">
        <v>68</v>
      </c>
      <c r="P106" t="s">
        <v>355</v>
      </c>
      <c r="Q106" t="s">
        <v>68</v>
      </c>
    </row>
    <row r="107" spans="1:17" x14ac:dyDescent="0.25">
      <c r="A107">
        <v>10</v>
      </c>
      <c r="B107" t="s">
        <v>103</v>
      </c>
      <c r="C107" t="s">
        <v>104</v>
      </c>
      <c r="E107" t="s">
        <v>42</v>
      </c>
      <c r="F107" t="s">
        <v>208</v>
      </c>
      <c r="M107">
        <v>6</v>
      </c>
      <c r="N107" t="s">
        <v>65</v>
      </c>
      <c r="O107" t="s">
        <v>68</v>
      </c>
      <c r="P107" t="s">
        <v>68</v>
      </c>
      <c r="Q107" t="s">
        <v>68</v>
      </c>
    </row>
    <row r="108" spans="1:17" x14ac:dyDescent="0.25">
      <c r="A108">
        <v>10</v>
      </c>
      <c r="B108" t="s">
        <v>103</v>
      </c>
      <c r="C108" t="s">
        <v>104</v>
      </c>
      <c r="E108" t="s">
        <v>42</v>
      </c>
      <c r="F108" t="s">
        <v>208</v>
      </c>
      <c r="M108">
        <v>6</v>
      </c>
      <c r="N108" t="s">
        <v>65</v>
      </c>
      <c r="O108" t="s">
        <v>69</v>
      </c>
      <c r="P108" t="s">
        <v>69</v>
      </c>
      <c r="Q108" t="s">
        <v>69</v>
      </c>
    </row>
    <row r="109" spans="1:17" x14ac:dyDescent="0.25">
      <c r="M109">
        <v>6</v>
      </c>
      <c r="N109" t="s">
        <v>65</v>
      </c>
      <c r="O109" t="s">
        <v>69</v>
      </c>
      <c r="P109" t="s">
        <v>187</v>
      </c>
      <c r="Q109" t="s">
        <v>69</v>
      </c>
    </row>
    <row r="110" spans="1:17" x14ac:dyDescent="0.25">
      <c r="M110">
        <v>7</v>
      </c>
      <c r="N110" t="s">
        <v>203</v>
      </c>
      <c r="O110" t="s">
        <v>70</v>
      </c>
      <c r="P110" t="s">
        <v>70</v>
      </c>
      <c r="Q110" t="s">
        <v>70</v>
      </c>
    </row>
    <row r="111" spans="1:17" x14ac:dyDescent="0.25">
      <c r="M111">
        <v>7</v>
      </c>
      <c r="N111" t="s">
        <v>203</v>
      </c>
      <c r="O111" t="s">
        <v>70</v>
      </c>
      <c r="P111" t="s">
        <v>331</v>
      </c>
      <c r="Q111" t="s">
        <v>70</v>
      </c>
    </row>
    <row r="112" spans="1:17" x14ac:dyDescent="0.25">
      <c r="M112">
        <v>7</v>
      </c>
      <c r="N112" t="s">
        <v>203</v>
      </c>
      <c r="O112" t="s">
        <v>70</v>
      </c>
      <c r="P112" t="s">
        <v>329</v>
      </c>
      <c r="Q112" t="s">
        <v>70</v>
      </c>
    </row>
    <row r="113" spans="13:17" x14ac:dyDescent="0.25">
      <c r="M113">
        <v>7</v>
      </c>
      <c r="N113" t="s">
        <v>203</v>
      </c>
      <c r="O113" t="s">
        <v>70</v>
      </c>
      <c r="P113" t="s">
        <v>330</v>
      </c>
      <c r="Q113" t="s">
        <v>70</v>
      </c>
    </row>
    <row r="114" spans="13:17" x14ac:dyDescent="0.25">
      <c r="M114">
        <v>7</v>
      </c>
      <c r="N114" t="s">
        <v>203</v>
      </c>
      <c r="O114" t="s">
        <v>70</v>
      </c>
      <c r="P114" t="s">
        <v>324</v>
      </c>
      <c r="Q114" t="s">
        <v>70</v>
      </c>
    </row>
    <row r="115" spans="13:17" x14ac:dyDescent="0.25">
      <c r="M115">
        <v>7</v>
      </c>
      <c r="N115" t="s">
        <v>203</v>
      </c>
      <c r="O115" t="s">
        <v>70</v>
      </c>
      <c r="P115" t="s">
        <v>322</v>
      </c>
      <c r="Q115" t="s">
        <v>70</v>
      </c>
    </row>
    <row r="116" spans="13:17" x14ac:dyDescent="0.25">
      <c r="M116">
        <v>7</v>
      </c>
      <c r="N116" t="s">
        <v>203</v>
      </c>
      <c r="O116" t="s">
        <v>70</v>
      </c>
      <c r="P116" t="s">
        <v>323</v>
      </c>
      <c r="Q116" t="s">
        <v>70</v>
      </c>
    </row>
    <row r="117" spans="13:17" x14ac:dyDescent="0.25">
      <c r="M117">
        <v>7</v>
      </c>
      <c r="N117" t="s">
        <v>203</v>
      </c>
      <c r="O117" t="s">
        <v>71</v>
      </c>
      <c r="P117" t="s">
        <v>334</v>
      </c>
      <c r="Q117" t="s">
        <v>71</v>
      </c>
    </row>
    <row r="118" spans="13:17" x14ac:dyDescent="0.25">
      <c r="M118">
        <v>7</v>
      </c>
      <c r="N118" t="s">
        <v>203</v>
      </c>
      <c r="O118" t="s">
        <v>71</v>
      </c>
      <c r="P118" t="s">
        <v>335</v>
      </c>
      <c r="Q118" t="s">
        <v>71</v>
      </c>
    </row>
    <row r="119" spans="13:17" x14ac:dyDescent="0.25">
      <c r="M119">
        <v>7</v>
      </c>
      <c r="N119" t="s">
        <v>203</v>
      </c>
      <c r="O119" t="s">
        <v>71</v>
      </c>
      <c r="P119" t="s">
        <v>71</v>
      </c>
      <c r="Q119" t="s">
        <v>71</v>
      </c>
    </row>
    <row r="120" spans="13:17" x14ac:dyDescent="0.25">
      <c r="M120">
        <v>7</v>
      </c>
      <c r="N120" t="s">
        <v>203</v>
      </c>
      <c r="O120" t="s">
        <v>66</v>
      </c>
      <c r="P120" t="s">
        <v>336</v>
      </c>
      <c r="Q120" t="s">
        <v>66</v>
      </c>
    </row>
    <row r="121" spans="13:17" x14ac:dyDescent="0.25">
      <c r="M121">
        <v>7</v>
      </c>
      <c r="N121" t="s">
        <v>203</v>
      </c>
      <c r="O121" t="s">
        <v>66</v>
      </c>
      <c r="P121" t="s">
        <v>337</v>
      </c>
      <c r="Q121" t="s">
        <v>66</v>
      </c>
    </row>
    <row r="122" spans="13:17" x14ac:dyDescent="0.25">
      <c r="M122">
        <v>7</v>
      </c>
      <c r="N122" t="s">
        <v>203</v>
      </c>
      <c r="O122" t="s">
        <v>66</v>
      </c>
      <c r="P122" t="s">
        <v>66</v>
      </c>
      <c r="Q122" t="s">
        <v>66</v>
      </c>
    </row>
    <row r="123" spans="13:17" x14ac:dyDescent="0.25">
      <c r="M123">
        <v>7</v>
      </c>
      <c r="N123" t="s">
        <v>203</v>
      </c>
      <c r="O123" t="s">
        <v>33</v>
      </c>
      <c r="P123" t="s">
        <v>33</v>
      </c>
      <c r="Q123" t="s">
        <v>33</v>
      </c>
    </row>
    <row r="124" spans="13:17" x14ac:dyDescent="0.25">
      <c r="M124">
        <v>7</v>
      </c>
      <c r="N124" t="s">
        <v>203</v>
      </c>
      <c r="O124" t="s">
        <v>33</v>
      </c>
      <c r="P124" t="s">
        <v>349</v>
      </c>
      <c r="Q124" t="s">
        <v>33</v>
      </c>
    </row>
    <row r="125" spans="13:17" x14ac:dyDescent="0.25">
      <c r="M125">
        <v>7</v>
      </c>
      <c r="N125" t="s">
        <v>203</v>
      </c>
      <c r="O125" t="s">
        <v>33</v>
      </c>
      <c r="P125" t="s">
        <v>354</v>
      </c>
      <c r="Q125" t="s">
        <v>33</v>
      </c>
    </row>
    <row r="126" spans="13:17" x14ac:dyDescent="0.25">
      <c r="M126">
        <v>7</v>
      </c>
      <c r="N126" t="s">
        <v>203</v>
      </c>
      <c r="O126" t="s">
        <v>33</v>
      </c>
      <c r="P126" t="s">
        <v>350</v>
      </c>
      <c r="Q126" t="s">
        <v>33</v>
      </c>
    </row>
    <row r="127" spans="13:17" x14ac:dyDescent="0.25">
      <c r="M127">
        <v>7</v>
      </c>
      <c r="N127" t="s">
        <v>203</v>
      </c>
      <c r="O127" t="s">
        <v>33</v>
      </c>
      <c r="P127" t="s">
        <v>351</v>
      </c>
      <c r="Q127" t="s">
        <v>33</v>
      </c>
    </row>
    <row r="128" spans="13:17" x14ac:dyDescent="0.25">
      <c r="M128">
        <v>7</v>
      </c>
      <c r="N128" t="s">
        <v>203</v>
      </c>
      <c r="O128" t="s">
        <v>33</v>
      </c>
      <c r="P128" t="s">
        <v>353</v>
      </c>
      <c r="Q128" t="s">
        <v>33</v>
      </c>
    </row>
    <row r="129" spans="13:17" x14ac:dyDescent="0.25">
      <c r="M129">
        <v>7</v>
      </c>
      <c r="N129" t="s">
        <v>203</v>
      </c>
      <c r="O129" t="s">
        <v>33</v>
      </c>
      <c r="P129" t="s">
        <v>352</v>
      </c>
      <c r="Q129" t="s">
        <v>33</v>
      </c>
    </row>
    <row r="130" spans="13:17" x14ac:dyDescent="0.25">
      <c r="M130">
        <v>7</v>
      </c>
      <c r="N130" t="s">
        <v>203</v>
      </c>
      <c r="O130" t="s">
        <v>434</v>
      </c>
      <c r="P130" t="s">
        <v>434</v>
      </c>
      <c r="Q130" t="s">
        <v>434</v>
      </c>
    </row>
    <row r="131" spans="13:17" x14ac:dyDescent="0.25">
      <c r="M131">
        <v>7</v>
      </c>
      <c r="N131" t="s">
        <v>203</v>
      </c>
      <c r="O131" t="s">
        <v>434</v>
      </c>
      <c r="P131" t="s">
        <v>321</v>
      </c>
      <c r="Q131" t="s">
        <v>434</v>
      </c>
    </row>
    <row r="132" spans="13:17" x14ac:dyDescent="0.25">
      <c r="M132">
        <v>7</v>
      </c>
      <c r="N132" t="s">
        <v>203</v>
      </c>
      <c r="O132" t="s">
        <v>72</v>
      </c>
      <c r="P132" t="s">
        <v>319</v>
      </c>
      <c r="Q132" t="s">
        <v>72</v>
      </c>
    </row>
    <row r="133" spans="13:17" x14ac:dyDescent="0.25">
      <c r="M133">
        <v>7</v>
      </c>
      <c r="N133" t="s">
        <v>203</v>
      </c>
      <c r="O133" t="s">
        <v>72</v>
      </c>
      <c r="P133" t="s">
        <v>72</v>
      </c>
      <c r="Q133" t="s">
        <v>72</v>
      </c>
    </row>
    <row r="134" spans="13:17" x14ac:dyDescent="0.25">
      <c r="M134">
        <v>7</v>
      </c>
      <c r="N134" t="s">
        <v>203</v>
      </c>
      <c r="O134" t="s">
        <v>72</v>
      </c>
      <c r="P134" t="s">
        <v>318</v>
      </c>
      <c r="Q134" t="s">
        <v>72</v>
      </c>
    </row>
    <row r="135" spans="13:17" x14ac:dyDescent="0.25">
      <c r="M135">
        <v>7</v>
      </c>
      <c r="N135" t="s">
        <v>203</v>
      </c>
      <c r="O135" t="s">
        <v>72</v>
      </c>
      <c r="P135" t="s">
        <v>423</v>
      </c>
      <c r="Q135" t="s">
        <v>72</v>
      </c>
    </row>
    <row r="136" spans="13:17" x14ac:dyDescent="0.25">
      <c r="M136">
        <v>7</v>
      </c>
      <c r="N136" t="s">
        <v>203</v>
      </c>
      <c r="O136" t="s">
        <v>320</v>
      </c>
      <c r="P136" t="s">
        <v>320</v>
      </c>
      <c r="Q136" t="s">
        <v>320</v>
      </c>
    </row>
    <row r="137" spans="13:17" x14ac:dyDescent="0.25">
      <c r="M137">
        <v>7</v>
      </c>
      <c r="N137" t="s">
        <v>203</v>
      </c>
      <c r="O137" t="s">
        <v>73</v>
      </c>
      <c r="P137" t="s">
        <v>73</v>
      </c>
      <c r="Q137" t="s">
        <v>73</v>
      </c>
    </row>
    <row r="138" spans="13:17" x14ac:dyDescent="0.25">
      <c r="M138">
        <v>7</v>
      </c>
      <c r="N138" t="s">
        <v>203</v>
      </c>
      <c r="O138" t="s">
        <v>73</v>
      </c>
      <c r="P138" t="s">
        <v>338</v>
      </c>
      <c r="Q138" t="s">
        <v>73</v>
      </c>
    </row>
    <row r="139" spans="13:17" x14ac:dyDescent="0.25">
      <c r="M139">
        <v>7</v>
      </c>
      <c r="N139" t="s">
        <v>203</v>
      </c>
      <c r="O139" t="s">
        <v>73</v>
      </c>
      <c r="P139" t="s">
        <v>340</v>
      </c>
      <c r="Q139" t="s">
        <v>73</v>
      </c>
    </row>
    <row r="140" spans="13:17" x14ac:dyDescent="0.25">
      <c r="M140">
        <v>7</v>
      </c>
      <c r="N140" t="s">
        <v>203</v>
      </c>
      <c r="O140" t="s">
        <v>73</v>
      </c>
      <c r="P140" t="s">
        <v>344</v>
      </c>
      <c r="Q140" t="s">
        <v>73</v>
      </c>
    </row>
    <row r="141" spans="13:17" x14ac:dyDescent="0.25">
      <c r="M141">
        <v>7</v>
      </c>
      <c r="N141" t="s">
        <v>203</v>
      </c>
      <c r="O141" t="s">
        <v>73</v>
      </c>
      <c r="P141" t="s">
        <v>339</v>
      </c>
      <c r="Q141" t="s">
        <v>73</v>
      </c>
    </row>
    <row r="142" spans="13:17" x14ac:dyDescent="0.25">
      <c r="M142">
        <v>7</v>
      </c>
      <c r="N142" t="s">
        <v>203</v>
      </c>
      <c r="O142" t="s">
        <v>73</v>
      </c>
      <c r="P142" t="s">
        <v>341</v>
      </c>
      <c r="Q142" t="s">
        <v>73</v>
      </c>
    </row>
    <row r="143" spans="13:17" x14ac:dyDescent="0.25">
      <c r="M143">
        <v>7</v>
      </c>
      <c r="N143" t="s">
        <v>203</v>
      </c>
      <c r="O143" t="s">
        <v>73</v>
      </c>
      <c r="P143" t="s">
        <v>342</v>
      </c>
      <c r="Q143" t="s">
        <v>73</v>
      </c>
    </row>
    <row r="144" spans="13:17" x14ac:dyDescent="0.25">
      <c r="M144">
        <v>7</v>
      </c>
      <c r="N144" t="s">
        <v>203</v>
      </c>
      <c r="O144" t="s">
        <v>73</v>
      </c>
      <c r="P144" t="s">
        <v>343</v>
      </c>
      <c r="Q144" t="s">
        <v>73</v>
      </c>
    </row>
    <row r="145" spans="13:17" x14ac:dyDescent="0.25">
      <c r="M145">
        <v>7</v>
      </c>
      <c r="N145" t="s">
        <v>203</v>
      </c>
      <c r="O145" t="s">
        <v>73</v>
      </c>
      <c r="P145" t="s">
        <v>345</v>
      </c>
      <c r="Q145" t="s">
        <v>73</v>
      </c>
    </row>
    <row r="146" spans="13:17" x14ac:dyDescent="0.25">
      <c r="M146">
        <v>7</v>
      </c>
      <c r="N146" t="s">
        <v>203</v>
      </c>
      <c r="O146" t="s">
        <v>73</v>
      </c>
      <c r="P146" t="s">
        <v>346</v>
      </c>
      <c r="Q146" t="s">
        <v>73</v>
      </c>
    </row>
    <row r="147" spans="13:17" x14ac:dyDescent="0.25">
      <c r="M147">
        <v>7</v>
      </c>
      <c r="N147" t="s">
        <v>203</v>
      </c>
      <c r="O147" t="s">
        <v>34</v>
      </c>
      <c r="P147" t="s">
        <v>333</v>
      </c>
      <c r="Q147" t="s">
        <v>34</v>
      </c>
    </row>
    <row r="148" spans="13:17" x14ac:dyDescent="0.25">
      <c r="M148">
        <v>7</v>
      </c>
      <c r="N148" t="s">
        <v>203</v>
      </c>
      <c r="O148" t="s">
        <v>34</v>
      </c>
      <c r="P148" t="s">
        <v>332</v>
      </c>
      <c r="Q148" t="s">
        <v>34</v>
      </c>
    </row>
    <row r="149" spans="13:17" x14ac:dyDescent="0.25">
      <c r="M149">
        <v>7</v>
      </c>
      <c r="N149" t="s">
        <v>203</v>
      </c>
      <c r="O149" t="s">
        <v>34</v>
      </c>
      <c r="P149" t="s">
        <v>34</v>
      </c>
      <c r="Q149" t="s">
        <v>34</v>
      </c>
    </row>
    <row r="150" spans="13:17" x14ac:dyDescent="0.25">
      <c r="M150">
        <v>7</v>
      </c>
      <c r="N150" t="s">
        <v>203</v>
      </c>
      <c r="O150" t="s">
        <v>74</v>
      </c>
      <c r="P150" t="s">
        <v>328</v>
      </c>
      <c r="Q150" t="s">
        <v>74</v>
      </c>
    </row>
    <row r="151" spans="13:17" x14ac:dyDescent="0.25">
      <c r="M151">
        <v>7</v>
      </c>
      <c r="N151" t="s">
        <v>203</v>
      </c>
      <c r="O151" t="s">
        <v>74</v>
      </c>
      <c r="P151" t="s">
        <v>325</v>
      </c>
      <c r="Q151" t="s">
        <v>74</v>
      </c>
    </row>
    <row r="152" spans="13:17" x14ac:dyDescent="0.25">
      <c r="M152">
        <v>7</v>
      </c>
      <c r="N152" t="s">
        <v>203</v>
      </c>
      <c r="O152" t="s">
        <v>74</v>
      </c>
      <c r="P152" t="s">
        <v>327</v>
      </c>
      <c r="Q152" t="s">
        <v>74</v>
      </c>
    </row>
    <row r="153" spans="13:17" x14ac:dyDescent="0.25">
      <c r="M153">
        <v>7</v>
      </c>
      <c r="N153" t="s">
        <v>203</v>
      </c>
      <c r="O153" t="s">
        <v>74</v>
      </c>
      <c r="P153" t="s">
        <v>326</v>
      </c>
      <c r="Q153" t="s">
        <v>74</v>
      </c>
    </row>
    <row r="154" spans="13:17" x14ac:dyDescent="0.25">
      <c r="M154">
        <v>7</v>
      </c>
      <c r="N154" t="s">
        <v>203</v>
      </c>
      <c r="O154" t="s">
        <v>74</v>
      </c>
      <c r="P154" t="s">
        <v>74</v>
      </c>
      <c r="Q154" t="s">
        <v>74</v>
      </c>
    </row>
    <row r="155" spans="13:17" x14ac:dyDescent="0.25">
      <c r="M155">
        <v>7</v>
      </c>
      <c r="N155" t="s">
        <v>203</v>
      </c>
      <c r="O155" t="s">
        <v>75</v>
      </c>
      <c r="P155" t="s">
        <v>348</v>
      </c>
      <c r="Q155" t="s">
        <v>75</v>
      </c>
    </row>
    <row r="156" spans="13:17" x14ac:dyDescent="0.25">
      <c r="M156">
        <v>7</v>
      </c>
      <c r="N156" t="s">
        <v>203</v>
      </c>
      <c r="O156" t="s">
        <v>75</v>
      </c>
      <c r="P156" t="s">
        <v>347</v>
      </c>
      <c r="Q156" t="s">
        <v>75</v>
      </c>
    </row>
    <row r="157" spans="13:17" x14ac:dyDescent="0.25">
      <c r="M157">
        <v>7</v>
      </c>
      <c r="N157" t="s">
        <v>203</v>
      </c>
      <c r="O157" t="s">
        <v>75</v>
      </c>
      <c r="P157" t="s">
        <v>75</v>
      </c>
      <c r="Q157" t="s">
        <v>75</v>
      </c>
    </row>
    <row r="158" spans="13:17" x14ac:dyDescent="0.25">
      <c r="M158">
        <v>8</v>
      </c>
      <c r="N158" t="s">
        <v>76</v>
      </c>
      <c r="O158" t="s">
        <v>437</v>
      </c>
      <c r="P158" t="s">
        <v>437</v>
      </c>
      <c r="Q158" t="s">
        <v>437</v>
      </c>
    </row>
    <row r="159" spans="13:17" x14ac:dyDescent="0.25">
      <c r="M159">
        <v>8</v>
      </c>
      <c r="N159" t="s">
        <v>76</v>
      </c>
      <c r="O159" t="s">
        <v>437</v>
      </c>
      <c r="P159" t="s">
        <v>421</v>
      </c>
      <c r="Q159" t="s">
        <v>437</v>
      </c>
    </row>
    <row r="160" spans="13:17" x14ac:dyDescent="0.25">
      <c r="M160">
        <v>8</v>
      </c>
      <c r="N160" t="s">
        <v>76</v>
      </c>
      <c r="O160" t="s">
        <v>260</v>
      </c>
      <c r="P160" t="s">
        <v>260</v>
      </c>
      <c r="Q160" t="s">
        <v>260</v>
      </c>
    </row>
    <row r="161" spans="13:17" x14ac:dyDescent="0.25">
      <c r="M161">
        <v>8</v>
      </c>
      <c r="N161" t="s">
        <v>76</v>
      </c>
      <c r="O161" t="s">
        <v>77</v>
      </c>
      <c r="P161" t="s">
        <v>77</v>
      </c>
      <c r="Q161" t="s">
        <v>77</v>
      </c>
    </row>
    <row r="162" spans="13:17" x14ac:dyDescent="0.25">
      <c r="M162">
        <v>8</v>
      </c>
      <c r="N162" t="s">
        <v>76</v>
      </c>
      <c r="O162" t="s">
        <v>77</v>
      </c>
      <c r="P162" t="s">
        <v>416</v>
      </c>
      <c r="Q162" t="s">
        <v>77</v>
      </c>
    </row>
    <row r="163" spans="13:17" x14ac:dyDescent="0.25">
      <c r="M163">
        <v>8</v>
      </c>
      <c r="N163" t="s">
        <v>76</v>
      </c>
      <c r="O163" t="s">
        <v>430</v>
      </c>
      <c r="P163" t="s">
        <v>430</v>
      </c>
      <c r="Q163" t="s">
        <v>430</v>
      </c>
    </row>
    <row r="164" spans="13:17" x14ac:dyDescent="0.25">
      <c r="M164">
        <v>8</v>
      </c>
      <c r="N164" t="s">
        <v>76</v>
      </c>
      <c r="O164" t="s">
        <v>430</v>
      </c>
      <c r="P164" t="s">
        <v>407</v>
      </c>
      <c r="Q164" t="s">
        <v>430</v>
      </c>
    </row>
    <row r="165" spans="13:17" x14ac:dyDescent="0.25">
      <c r="M165">
        <v>8</v>
      </c>
      <c r="N165" t="s">
        <v>76</v>
      </c>
      <c r="O165" t="s">
        <v>430</v>
      </c>
      <c r="P165" t="s">
        <v>408</v>
      </c>
      <c r="Q165" t="s">
        <v>430</v>
      </c>
    </row>
    <row r="166" spans="13:17" x14ac:dyDescent="0.25">
      <c r="M166">
        <v>8</v>
      </c>
      <c r="N166" t="s">
        <v>76</v>
      </c>
      <c r="O166" t="s">
        <v>431</v>
      </c>
      <c r="P166" t="s">
        <v>431</v>
      </c>
      <c r="Q166" t="s">
        <v>431</v>
      </c>
    </row>
    <row r="167" spans="13:17" x14ac:dyDescent="0.25">
      <c r="M167">
        <v>8</v>
      </c>
      <c r="N167" t="s">
        <v>76</v>
      </c>
      <c r="O167" t="s">
        <v>431</v>
      </c>
      <c r="P167" t="s">
        <v>79</v>
      </c>
      <c r="Q167" t="s">
        <v>431</v>
      </c>
    </row>
    <row r="168" spans="13:17" x14ac:dyDescent="0.25">
      <c r="M168">
        <v>8</v>
      </c>
      <c r="N168" t="s">
        <v>76</v>
      </c>
      <c r="O168" t="s">
        <v>431</v>
      </c>
      <c r="P168" t="s">
        <v>405</v>
      </c>
      <c r="Q168" t="s">
        <v>431</v>
      </c>
    </row>
    <row r="169" spans="13:17" x14ac:dyDescent="0.25">
      <c r="M169">
        <v>8</v>
      </c>
      <c r="N169" t="s">
        <v>76</v>
      </c>
      <c r="O169" t="s">
        <v>96</v>
      </c>
      <c r="P169" t="s">
        <v>96</v>
      </c>
      <c r="Q169" t="s">
        <v>96</v>
      </c>
    </row>
    <row r="170" spans="13:17" x14ac:dyDescent="0.25">
      <c r="M170">
        <v>8</v>
      </c>
      <c r="N170" t="s">
        <v>76</v>
      </c>
      <c r="O170" t="s">
        <v>82</v>
      </c>
      <c r="P170" t="s">
        <v>413</v>
      </c>
      <c r="Q170" t="s">
        <v>82</v>
      </c>
    </row>
    <row r="171" spans="13:17" x14ac:dyDescent="0.25">
      <c r="M171">
        <v>8</v>
      </c>
      <c r="N171" t="s">
        <v>76</v>
      </c>
      <c r="O171" t="s">
        <v>82</v>
      </c>
      <c r="P171" t="s">
        <v>82</v>
      </c>
      <c r="Q171" t="s">
        <v>82</v>
      </c>
    </row>
    <row r="172" spans="13:17" x14ac:dyDescent="0.25">
      <c r="M172">
        <v>8</v>
      </c>
      <c r="N172" t="s">
        <v>76</v>
      </c>
      <c r="O172" t="s">
        <v>83</v>
      </c>
      <c r="P172" t="s">
        <v>83</v>
      </c>
      <c r="Q172" t="s">
        <v>83</v>
      </c>
    </row>
    <row r="173" spans="13:17" x14ac:dyDescent="0.25">
      <c r="M173">
        <v>8</v>
      </c>
      <c r="N173" t="s">
        <v>76</v>
      </c>
      <c r="O173" t="s">
        <v>83</v>
      </c>
      <c r="P173" t="s">
        <v>406</v>
      </c>
      <c r="Q173" t="s">
        <v>83</v>
      </c>
    </row>
    <row r="174" spans="13:17" x14ac:dyDescent="0.25">
      <c r="M174">
        <v>8</v>
      </c>
      <c r="N174" t="s">
        <v>76</v>
      </c>
      <c r="O174" t="s">
        <v>84</v>
      </c>
      <c r="P174" t="s">
        <v>84</v>
      </c>
      <c r="Q174" t="s">
        <v>84</v>
      </c>
    </row>
    <row r="175" spans="13:17" x14ac:dyDescent="0.25">
      <c r="M175">
        <v>8</v>
      </c>
      <c r="N175" t="s">
        <v>76</v>
      </c>
      <c r="O175" t="s">
        <v>84</v>
      </c>
      <c r="P175" t="s">
        <v>414</v>
      </c>
      <c r="Q175" t="s">
        <v>84</v>
      </c>
    </row>
    <row r="176" spans="13:17" x14ac:dyDescent="0.25">
      <c r="M176">
        <v>8</v>
      </c>
      <c r="N176" t="s">
        <v>76</v>
      </c>
      <c r="O176" t="s">
        <v>85</v>
      </c>
      <c r="P176" t="s">
        <v>85</v>
      </c>
      <c r="Q176" t="s">
        <v>85</v>
      </c>
    </row>
    <row r="177" spans="13:17" x14ac:dyDescent="0.25">
      <c r="M177">
        <v>8</v>
      </c>
      <c r="N177" t="s">
        <v>76</v>
      </c>
      <c r="O177" t="s">
        <v>85</v>
      </c>
      <c r="P177" t="s">
        <v>415</v>
      </c>
      <c r="Q177" t="s">
        <v>85</v>
      </c>
    </row>
    <row r="178" spans="13:17" x14ac:dyDescent="0.25">
      <c r="M178">
        <v>8</v>
      </c>
      <c r="N178" t="s">
        <v>76</v>
      </c>
      <c r="O178" t="s">
        <v>60</v>
      </c>
      <c r="P178" t="s">
        <v>60</v>
      </c>
      <c r="Q178" t="s">
        <v>60</v>
      </c>
    </row>
    <row r="179" spans="13:17" x14ac:dyDescent="0.25">
      <c r="M179">
        <v>8</v>
      </c>
      <c r="N179" t="s">
        <v>76</v>
      </c>
      <c r="O179" t="s">
        <v>60</v>
      </c>
      <c r="P179" t="s">
        <v>409</v>
      </c>
      <c r="Q179" t="s">
        <v>60</v>
      </c>
    </row>
    <row r="180" spans="13:17" x14ac:dyDescent="0.25">
      <c r="M180">
        <v>8</v>
      </c>
      <c r="N180" t="s">
        <v>76</v>
      </c>
      <c r="O180" t="s">
        <v>86</v>
      </c>
      <c r="P180" t="s">
        <v>86</v>
      </c>
      <c r="Q180" t="s">
        <v>86</v>
      </c>
    </row>
    <row r="181" spans="13:17" x14ac:dyDescent="0.25">
      <c r="M181">
        <v>8</v>
      </c>
      <c r="N181" t="s">
        <v>76</v>
      </c>
      <c r="O181" t="s">
        <v>86</v>
      </c>
      <c r="P181" t="s">
        <v>401</v>
      </c>
      <c r="Q181" t="s">
        <v>86</v>
      </c>
    </row>
    <row r="182" spans="13:17" x14ac:dyDescent="0.25">
      <c r="M182">
        <v>8</v>
      </c>
      <c r="N182" t="s">
        <v>76</v>
      </c>
      <c r="O182" t="s">
        <v>86</v>
      </c>
      <c r="P182" t="s">
        <v>399</v>
      </c>
      <c r="Q182" t="s">
        <v>86</v>
      </c>
    </row>
    <row r="183" spans="13:17" x14ac:dyDescent="0.25">
      <c r="M183">
        <v>8</v>
      </c>
      <c r="N183" t="s">
        <v>76</v>
      </c>
      <c r="O183" t="s">
        <v>86</v>
      </c>
      <c r="P183" t="s">
        <v>400</v>
      </c>
      <c r="Q183" t="s">
        <v>86</v>
      </c>
    </row>
    <row r="184" spans="13:17" x14ac:dyDescent="0.25">
      <c r="M184">
        <v>8</v>
      </c>
      <c r="N184" t="s">
        <v>76</v>
      </c>
      <c r="O184" t="s">
        <v>86</v>
      </c>
      <c r="P184" t="s">
        <v>402</v>
      </c>
      <c r="Q184" t="s">
        <v>86</v>
      </c>
    </row>
    <row r="185" spans="13:17" x14ac:dyDescent="0.25">
      <c r="M185">
        <v>8</v>
      </c>
      <c r="N185" t="s">
        <v>76</v>
      </c>
      <c r="O185" t="s">
        <v>86</v>
      </c>
      <c r="P185" t="s">
        <v>403</v>
      </c>
      <c r="Q185" t="s">
        <v>86</v>
      </c>
    </row>
    <row r="186" spans="13:17" x14ac:dyDescent="0.25">
      <c r="M186">
        <v>8</v>
      </c>
      <c r="N186" t="s">
        <v>76</v>
      </c>
      <c r="O186" t="s">
        <v>86</v>
      </c>
      <c r="P186" t="s">
        <v>404</v>
      </c>
      <c r="Q186" t="s">
        <v>86</v>
      </c>
    </row>
    <row r="187" spans="13:17" x14ac:dyDescent="0.25">
      <c r="M187">
        <v>8</v>
      </c>
      <c r="N187" t="s">
        <v>76</v>
      </c>
      <c r="O187" t="s">
        <v>433</v>
      </c>
      <c r="P187" t="s">
        <v>433</v>
      </c>
      <c r="Q187" t="s">
        <v>433</v>
      </c>
    </row>
    <row r="188" spans="13:17" x14ac:dyDescent="0.25">
      <c r="M188">
        <v>8</v>
      </c>
      <c r="N188" t="s">
        <v>76</v>
      </c>
      <c r="O188" t="s">
        <v>433</v>
      </c>
      <c r="P188" t="s">
        <v>62</v>
      </c>
      <c r="Q188" t="s">
        <v>433</v>
      </c>
    </row>
    <row r="189" spans="13:17" x14ac:dyDescent="0.25">
      <c r="M189">
        <v>8</v>
      </c>
      <c r="N189" t="s">
        <v>76</v>
      </c>
      <c r="O189" t="s">
        <v>433</v>
      </c>
      <c r="P189" t="s">
        <v>410</v>
      </c>
      <c r="Q189" t="s">
        <v>433</v>
      </c>
    </row>
    <row r="190" spans="13:17" x14ac:dyDescent="0.25">
      <c r="M190">
        <v>8</v>
      </c>
      <c r="N190" t="s">
        <v>76</v>
      </c>
      <c r="O190" t="s">
        <v>87</v>
      </c>
      <c r="P190" t="s">
        <v>419</v>
      </c>
      <c r="Q190" t="s">
        <v>87</v>
      </c>
    </row>
    <row r="191" spans="13:17" x14ac:dyDescent="0.25">
      <c r="M191">
        <v>8</v>
      </c>
      <c r="N191" t="s">
        <v>76</v>
      </c>
      <c r="O191" t="s">
        <v>87</v>
      </c>
      <c r="P191" t="s">
        <v>87</v>
      </c>
      <c r="Q191" t="s">
        <v>87</v>
      </c>
    </row>
    <row r="192" spans="13:17" x14ac:dyDescent="0.25">
      <c r="M192">
        <v>8</v>
      </c>
      <c r="N192" t="s">
        <v>76</v>
      </c>
      <c r="O192" t="s">
        <v>87</v>
      </c>
      <c r="P192" t="s">
        <v>418</v>
      </c>
      <c r="Q192" t="s">
        <v>87</v>
      </c>
    </row>
    <row r="193" spans="13:17" x14ac:dyDescent="0.25">
      <c r="M193">
        <v>8</v>
      </c>
      <c r="N193" t="s">
        <v>76</v>
      </c>
      <c r="O193" t="s">
        <v>88</v>
      </c>
      <c r="P193" t="s">
        <v>417</v>
      </c>
      <c r="Q193" t="s">
        <v>88</v>
      </c>
    </row>
    <row r="194" spans="13:17" x14ac:dyDescent="0.25">
      <c r="M194">
        <v>8</v>
      </c>
      <c r="N194" t="s">
        <v>76</v>
      </c>
      <c r="O194" t="s">
        <v>88</v>
      </c>
      <c r="P194" t="s">
        <v>88</v>
      </c>
      <c r="Q194" t="s">
        <v>88</v>
      </c>
    </row>
    <row r="195" spans="13:17" x14ac:dyDescent="0.25">
      <c r="M195">
        <v>8</v>
      </c>
      <c r="N195" t="s">
        <v>76</v>
      </c>
      <c r="O195" t="s">
        <v>64</v>
      </c>
      <c r="P195" t="s">
        <v>64</v>
      </c>
      <c r="Q195" t="s">
        <v>64</v>
      </c>
    </row>
    <row r="196" spans="13:17" x14ac:dyDescent="0.25">
      <c r="M196">
        <v>8</v>
      </c>
      <c r="N196" t="s">
        <v>76</v>
      </c>
      <c r="O196" t="s">
        <v>64</v>
      </c>
      <c r="P196" t="s">
        <v>411</v>
      </c>
      <c r="Q196" t="s">
        <v>64</v>
      </c>
    </row>
    <row r="197" spans="13:17" x14ac:dyDescent="0.25">
      <c r="M197">
        <v>8</v>
      </c>
      <c r="N197" t="s">
        <v>76</v>
      </c>
      <c r="O197" t="s">
        <v>64</v>
      </c>
      <c r="P197" t="s">
        <v>412</v>
      </c>
      <c r="Q197" t="s">
        <v>64</v>
      </c>
    </row>
    <row r="198" spans="13:17" x14ac:dyDescent="0.25">
      <c r="M198">
        <v>8</v>
      </c>
      <c r="N198" t="s">
        <v>76</v>
      </c>
      <c r="O198" t="s">
        <v>89</v>
      </c>
      <c r="P198" t="s">
        <v>89</v>
      </c>
      <c r="Q198" t="s">
        <v>89</v>
      </c>
    </row>
    <row r="199" spans="13:17" x14ac:dyDescent="0.25">
      <c r="M199">
        <v>8</v>
      </c>
      <c r="N199" t="s">
        <v>76</v>
      </c>
      <c r="O199" t="s">
        <v>90</v>
      </c>
      <c r="P199" t="s">
        <v>90</v>
      </c>
      <c r="Q199" t="s">
        <v>90</v>
      </c>
    </row>
    <row r="200" spans="13:17" x14ac:dyDescent="0.25">
      <c r="M200">
        <v>9</v>
      </c>
      <c r="N200" t="s">
        <v>258</v>
      </c>
      <c r="O200" t="s">
        <v>92</v>
      </c>
      <c r="P200" t="s">
        <v>92</v>
      </c>
      <c r="Q200" t="s">
        <v>92</v>
      </c>
    </row>
    <row r="201" spans="13:17" x14ac:dyDescent="0.25">
      <c r="M201">
        <v>9</v>
      </c>
      <c r="N201" t="s">
        <v>258</v>
      </c>
      <c r="O201" t="s">
        <v>93</v>
      </c>
      <c r="P201" t="s">
        <v>93</v>
      </c>
      <c r="Q201" t="s">
        <v>93</v>
      </c>
    </row>
    <row r="202" spans="13:17" x14ac:dyDescent="0.25">
      <c r="M202">
        <v>9</v>
      </c>
      <c r="N202" t="s">
        <v>258</v>
      </c>
      <c r="O202" t="s">
        <v>93</v>
      </c>
      <c r="P202" t="s">
        <v>302</v>
      </c>
      <c r="Q202" t="s">
        <v>93</v>
      </c>
    </row>
    <row r="203" spans="13:17" x14ac:dyDescent="0.25">
      <c r="M203">
        <v>9</v>
      </c>
      <c r="N203" t="s">
        <v>258</v>
      </c>
      <c r="O203" t="s">
        <v>94</v>
      </c>
      <c r="P203" t="s">
        <v>94</v>
      </c>
      <c r="Q203" t="s">
        <v>94</v>
      </c>
    </row>
    <row r="204" spans="13:17" x14ac:dyDescent="0.25">
      <c r="M204">
        <v>9</v>
      </c>
      <c r="N204" t="s">
        <v>258</v>
      </c>
      <c r="O204" t="s">
        <v>94</v>
      </c>
      <c r="P204" t="s">
        <v>420</v>
      </c>
      <c r="Q204" t="s">
        <v>94</v>
      </c>
    </row>
    <row r="205" spans="13:17" x14ac:dyDescent="0.25">
      <c r="M205">
        <v>9</v>
      </c>
      <c r="N205" t="s">
        <v>258</v>
      </c>
      <c r="O205" t="s">
        <v>95</v>
      </c>
      <c r="P205" t="s">
        <v>95</v>
      </c>
      <c r="Q205" t="s">
        <v>95</v>
      </c>
    </row>
    <row r="206" spans="13:17" x14ac:dyDescent="0.25">
      <c r="M206">
        <v>9</v>
      </c>
      <c r="N206" t="s">
        <v>258</v>
      </c>
      <c r="O206" t="s">
        <v>98</v>
      </c>
      <c r="P206" t="s">
        <v>301</v>
      </c>
      <c r="Q206" t="s">
        <v>426</v>
      </c>
    </row>
    <row r="207" spans="13:17" x14ac:dyDescent="0.25">
      <c r="M207">
        <v>9</v>
      </c>
      <c r="N207" t="s">
        <v>258</v>
      </c>
      <c r="O207" t="s">
        <v>98</v>
      </c>
      <c r="P207" t="s">
        <v>98</v>
      </c>
      <c r="Q207" t="s">
        <v>98</v>
      </c>
    </row>
    <row r="208" spans="13:17" x14ac:dyDescent="0.25">
      <c r="M208">
        <v>9</v>
      </c>
      <c r="N208" t="s">
        <v>258</v>
      </c>
      <c r="O208" t="s">
        <v>98</v>
      </c>
      <c r="P208" t="s">
        <v>426</v>
      </c>
      <c r="Q208" t="s">
        <v>426</v>
      </c>
    </row>
    <row r="209" spans="13:17" x14ac:dyDescent="0.25">
      <c r="M209">
        <v>9</v>
      </c>
      <c r="N209" t="s">
        <v>258</v>
      </c>
      <c r="O209" t="s">
        <v>99</v>
      </c>
      <c r="P209" t="s">
        <v>99</v>
      </c>
      <c r="Q209" t="s">
        <v>99</v>
      </c>
    </row>
    <row r="210" spans="13:17" x14ac:dyDescent="0.25">
      <c r="M210">
        <v>9</v>
      </c>
      <c r="N210" t="s">
        <v>258</v>
      </c>
      <c r="O210" t="s">
        <v>225</v>
      </c>
      <c r="P210" t="s">
        <v>300</v>
      </c>
      <c r="Q210" t="s">
        <v>225</v>
      </c>
    </row>
    <row r="211" spans="13:17" x14ac:dyDescent="0.25">
      <c r="M211">
        <v>9</v>
      </c>
      <c r="N211" t="s">
        <v>258</v>
      </c>
      <c r="O211" t="s">
        <v>225</v>
      </c>
      <c r="P211" t="s">
        <v>225</v>
      </c>
      <c r="Q211" t="s">
        <v>225</v>
      </c>
    </row>
    <row r="212" spans="13:17" x14ac:dyDescent="0.25">
      <c r="M212">
        <v>9</v>
      </c>
      <c r="N212" t="s">
        <v>258</v>
      </c>
      <c r="O212" t="s">
        <v>100</v>
      </c>
      <c r="P212" t="s">
        <v>100</v>
      </c>
      <c r="Q212" t="s">
        <v>100</v>
      </c>
    </row>
    <row r="213" spans="13:17" x14ac:dyDescent="0.25">
      <c r="M213">
        <v>9</v>
      </c>
      <c r="N213" t="s">
        <v>258</v>
      </c>
      <c r="O213" t="s">
        <v>101</v>
      </c>
      <c r="P213" t="s">
        <v>101</v>
      </c>
      <c r="Q213" t="s">
        <v>101</v>
      </c>
    </row>
    <row r="214" spans="13:17" x14ac:dyDescent="0.25">
      <c r="M214">
        <v>9</v>
      </c>
      <c r="N214" t="s">
        <v>258</v>
      </c>
      <c r="O214" t="s">
        <v>102</v>
      </c>
      <c r="P214" t="s">
        <v>102</v>
      </c>
      <c r="Q214" t="s">
        <v>102</v>
      </c>
    </row>
  </sheetData>
  <autoFilter ref="A1:Q1" xr:uid="{00000000-0001-0000-0600-000000000000}"/>
  <sortState xmlns:xlrd2="http://schemas.microsoft.com/office/spreadsheetml/2017/richdata2" ref="M2:Q320">
    <sortCondition ref="M2:M320"/>
    <sortCondition ref="N2:N320"/>
    <sortCondition ref="O2:O32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"/>
  <sheetViews>
    <sheetView workbookViewId="0">
      <selection activeCell="G33" sqref="G33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B1:AY14"/>
  <sheetViews>
    <sheetView workbookViewId="0">
      <selection activeCell="H24" sqref="H24"/>
    </sheetView>
  </sheetViews>
  <sheetFormatPr defaultRowHeight="15" x14ac:dyDescent="0.25"/>
  <cols>
    <col min="1" max="1" width="2.5703125" customWidth="1"/>
    <col min="6" max="50" width="4.42578125" customWidth="1"/>
  </cols>
  <sheetData>
    <row r="1" spans="2:51" x14ac:dyDescent="0.25">
      <c r="B1" s="767" t="s">
        <v>17</v>
      </c>
      <c r="C1" s="768" t="s">
        <v>19</v>
      </c>
      <c r="D1" s="767" t="s">
        <v>110</v>
      </c>
      <c r="E1" s="768" t="s">
        <v>22</v>
      </c>
      <c r="F1" s="769" t="s">
        <v>111</v>
      </c>
      <c r="G1" s="770"/>
      <c r="H1" s="770"/>
      <c r="I1" s="770"/>
      <c r="J1" s="770"/>
      <c r="K1" s="770"/>
      <c r="L1" s="770"/>
      <c r="M1" s="770"/>
      <c r="N1" s="770"/>
      <c r="O1" s="770"/>
      <c r="P1" s="770"/>
      <c r="Q1" s="770"/>
      <c r="R1" s="770"/>
      <c r="S1" s="770"/>
      <c r="T1" s="770"/>
      <c r="U1" s="770"/>
      <c r="V1" s="770"/>
      <c r="W1" s="770"/>
      <c r="X1" s="770"/>
      <c r="Y1" s="770"/>
      <c r="Z1" s="770"/>
      <c r="AA1" s="770"/>
      <c r="AB1" s="770"/>
      <c r="AC1" s="770"/>
      <c r="AD1" s="770"/>
      <c r="AE1" s="770"/>
      <c r="AF1" s="770"/>
      <c r="AG1" s="770"/>
      <c r="AH1" s="770"/>
      <c r="AI1" s="770"/>
      <c r="AJ1" s="770"/>
      <c r="AK1" s="770"/>
      <c r="AL1" s="770"/>
      <c r="AM1" s="770"/>
      <c r="AN1" s="770"/>
      <c r="AO1" s="770"/>
      <c r="AP1" s="770"/>
      <c r="AQ1" s="770"/>
      <c r="AR1" s="770"/>
      <c r="AS1" s="770"/>
      <c r="AT1" s="770"/>
      <c r="AU1" s="770"/>
      <c r="AV1" s="770"/>
      <c r="AW1" s="770"/>
      <c r="AX1" s="771"/>
      <c r="AY1" s="18"/>
    </row>
    <row r="2" spans="2:51" ht="15" customHeight="1" x14ac:dyDescent="0.25">
      <c r="B2" s="767"/>
      <c r="C2" s="768"/>
      <c r="D2" s="767"/>
      <c r="E2" s="768"/>
      <c r="F2" s="768" t="str">
        <f>инфо!$C2</f>
        <v>Горох</v>
      </c>
      <c r="G2" s="768"/>
      <c r="H2" s="768"/>
      <c r="I2" s="768" t="str">
        <f>инфо!$C3</f>
        <v>Гречневая</v>
      </c>
      <c r="J2" s="768"/>
      <c r="K2" s="768"/>
      <c r="L2" s="768" t="str">
        <f>инфо!$C4</f>
        <v>Манная</v>
      </c>
      <c r="M2" s="768"/>
      <c r="N2" s="768"/>
      <c r="O2" s="768" t="str">
        <f>инфо!$C5</f>
        <v>Овсяная</v>
      </c>
      <c r="P2" s="768"/>
      <c r="Q2" s="768"/>
      <c r="R2" s="768" t="str">
        <f>инфо!$C6</f>
        <v>Перловая</v>
      </c>
      <c r="S2" s="768"/>
      <c r="T2" s="768"/>
      <c r="U2" s="768" t="str">
        <f>инфо!$C7</f>
        <v>Пшено</v>
      </c>
      <c r="V2" s="768"/>
      <c r="W2" s="768"/>
      <c r="X2" s="768" t="str">
        <f>инфо!$C8</f>
        <v>Рис</v>
      </c>
      <c r="Y2" s="768"/>
      <c r="Z2" s="768"/>
      <c r="AA2" s="768" t="str">
        <f>инфо!$C9</f>
        <v>Ячневая</v>
      </c>
      <c r="AB2" s="768"/>
      <c r="AC2" s="768"/>
      <c r="AD2" s="768" t="str">
        <f>инфо!$C12</f>
        <v>Макаронные изделия</v>
      </c>
      <c r="AE2" s="768"/>
      <c r="AF2" s="768"/>
      <c r="AG2" s="768" t="str">
        <f>инфо!$C13</f>
        <v>Горошек, фасоль, кукуруза консервированные</v>
      </c>
      <c r="AH2" s="768"/>
      <c r="AI2" s="768"/>
      <c r="AJ2" s="768" t="str">
        <f>инфо!$C14</f>
        <v>Капуста свежая/кваш.</v>
      </c>
      <c r="AK2" s="768"/>
      <c r="AL2" s="768"/>
      <c r="AM2" s="768" t="str">
        <f>инфо!$C15</f>
        <v>Картофель</v>
      </c>
      <c r="AN2" s="768"/>
      <c r="AO2" s="768"/>
      <c r="AP2" s="768" t="str">
        <f>инфо!$C16</f>
        <v>Лук репчатый</v>
      </c>
      <c r="AQ2" s="768"/>
      <c r="AR2" s="768"/>
      <c r="AS2" s="768" t="str">
        <f>инфо!$C17</f>
        <v>Морковь</v>
      </c>
      <c r="AT2" s="768"/>
      <c r="AU2" s="768"/>
      <c r="AV2" s="768" t="str">
        <f>инфо!$C18</f>
        <v>Огурцы свежие/соленые</v>
      </c>
      <c r="AW2" s="768"/>
      <c r="AX2" s="768"/>
      <c r="AY2" s="18"/>
    </row>
    <row r="3" spans="2:51" x14ac:dyDescent="0.25">
      <c r="B3" s="767"/>
      <c r="C3" s="768"/>
      <c r="D3" s="767"/>
      <c r="E3" s="768"/>
      <c r="F3" s="769" t="s">
        <v>23</v>
      </c>
      <c r="G3" s="770"/>
      <c r="H3" s="770"/>
      <c r="I3" s="770"/>
      <c r="J3" s="770"/>
      <c r="K3" s="770"/>
      <c r="L3" s="770"/>
      <c r="M3" s="770"/>
      <c r="N3" s="770"/>
      <c r="O3" s="770"/>
      <c r="P3" s="770"/>
      <c r="Q3" s="770"/>
      <c r="R3" s="770"/>
      <c r="S3" s="770"/>
      <c r="T3" s="770"/>
      <c r="U3" s="770"/>
      <c r="V3" s="770"/>
      <c r="W3" s="770"/>
      <c r="X3" s="770"/>
      <c r="Y3" s="770"/>
      <c r="Z3" s="770"/>
      <c r="AA3" s="770"/>
      <c r="AB3" s="770"/>
      <c r="AC3" s="770"/>
      <c r="AD3" s="770"/>
      <c r="AE3" s="770"/>
      <c r="AF3" s="770"/>
      <c r="AG3" s="770"/>
      <c r="AH3" s="770"/>
      <c r="AI3" s="770"/>
      <c r="AJ3" s="770"/>
      <c r="AK3" s="770"/>
      <c r="AL3" s="770"/>
      <c r="AM3" s="770"/>
      <c r="AN3" s="770"/>
      <c r="AO3" s="770"/>
      <c r="AP3" s="770"/>
      <c r="AQ3" s="770"/>
      <c r="AR3" s="770"/>
      <c r="AS3" s="770"/>
      <c r="AT3" s="770"/>
      <c r="AU3" s="770"/>
      <c r="AV3" s="770"/>
      <c r="AW3" s="770"/>
      <c r="AX3" s="771"/>
      <c r="AY3" s="18"/>
    </row>
    <row r="4" spans="2:51" x14ac:dyDescent="0.25">
      <c r="B4" s="767"/>
      <c r="C4" s="768"/>
      <c r="D4" s="767"/>
      <c r="E4" s="768"/>
      <c r="F4" s="768"/>
      <c r="G4" s="768"/>
      <c r="H4" s="768"/>
      <c r="I4" s="768"/>
      <c r="J4" s="768"/>
      <c r="K4" s="768"/>
      <c r="L4" s="768"/>
      <c r="M4" s="768"/>
      <c r="N4" s="768"/>
      <c r="O4" s="768"/>
      <c r="P4" s="768"/>
      <c r="Q4" s="768"/>
      <c r="R4" s="768"/>
      <c r="S4" s="768"/>
      <c r="T4" s="768"/>
      <c r="U4" s="768"/>
      <c r="V4" s="768"/>
      <c r="W4" s="768"/>
      <c r="X4" s="768"/>
      <c r="Y4" s="768"/>
      <c r="Z4" s="768"/>
      <c r="AA4" s="768"/>
      <c r="AB4" s="768"/>
      <c r="AC4" s="768"/>
      <c r="AD4" s="768"/>
      <c r="AE4" s="768"/>
      <c r="AF4" s="768"/>
      <c r="AG4" s="768"/>
      <c r="AH4" s="768"/>
      <c r="AI4" s="768"/>
      <c r="AJ4" s="768"/>
      <c r="AK4" s="768"/>
      <c r="AL4" s="768"/>
      <c r="AM4" s="768"/>
      <c r="AN4" s="768"/>
      <c r="AO4" s="768"/>
      <c r="AP4" s="768"/>
      <c r="AQ4" s="768"/>
      <c r="AR4" s="768"/>
      <c r="AS4" s="768"/>
      <c r="AT4" s="768"/>
      <c r="AU4" s="768"/>
      <c r="AV4" s="768"/>
      <c r="AW4" s="768"/>
      <c r="AX4" s="768"/>
      <c r="AY4" s="18"/>
    </row>
    <row r="5" spans="2:51" x14ac:dyDescent="0.25">
      <c r="B5" s="767"/>
      <c r="C5" s="768"/>
      <c r="D5" s="767"/>
      <c r="E5" s="768"/>
      <c r="F5" s="769" t="s">
        <v>112</v>
      </c>
      <c r="G5" s="770"/>
      <c r="H5" s="770"/>
      <c r="I5" s="770"/>
      <c r="J5" s="770"/>
      <c r="K5" s="770"/>
      <c r="L5" s="770"/>
      <c r="M5" s="770"/>
      <c r="N5" s="770"/>
      <c r="O5" s="770"/>
      <c r="P5" s="770"/>
      <c r="Q5" s="770"/>
      <c r="R5" s="770"/>
      <c r="S5" s="770"/>
      <c r="T5" s="770"/>
      <c r="U5" s="770"/>
      <c r="V5" s="770"/>
      <c r="W5" s="770"/>
      <c r="X5" s="770"/>
      <c r="Y5" s="770"/>
      <c r="Z5" s="770"/>
      <c r="AA5" s="770"/>
      <c r="AB5" s="770"/>
      <c r="AC5" s="770"/>
      <c r="AD5" s="770"/>
      <c r="AE5" s="770"/>
      <c r="AF5" s="770"/>
      <c r="AG5" s="770"/>
      <c r="AH5" s="770"/>
      <c r="AI5" s="770"/>
      <c r="AJ5" s="770"/>
      <c r="AK5" s="770"/>
      <c r="AL5" s="770"/>
      <c r="AM5" s="770"/>
      <c r="AN5" s="770"/>
      <c r="AO5" s="770"/>
      <c r="AP5" s="770"/>
      <c r="AQ5" s="770"/>
      <c r="AR5" s="770"/>
      <c r="AS5" s="770"/>
      <c r="AT5" s="770"/>
      <c r="AU5" s="770"/>
      <c r="AV5" s="770"/>
      <c r="AW5" s="770"/>
      <c r="AX5" s="771"/>
      <c r="AY5" s="18"/>
    </row>
    <row r="6" spans="2:51" x14ac:dyDescent="0.25">
      <c r="B6" s="767"/>
      <c r="C6" s="768"/>
      <c r="D6" s="767"/>
      <c r="E6" s="768"/>
      <c r="F6" s="768"/>
      <c r="G6" s="768"/>
      <c r="H6" s="768"/>
      <c r="I6" s="768"/>
      <c r="J6" s="768"/>
      <c r="K6" s="768"/>
      <c r="L6" s="768"/>
      <c r="M6" s="768"/>
      <c r="N6" s="768"/>
      <c r="O6" s="768"/>
      <c r="P6" s="768"/>
      <c r="Q6" s="768"/>
      <c r="R6" s="768"/>
      <c r="S6" s="768"/>
      <c r="T6" s="768"/>
      <c r="U6" s="768"/>
      <c r="V6" s="768"/>
      <c r="W6" s="768"/>
      <c r="X6" s="768"/>
      <c r="Y6" s="768"/>
      <c r="Z6" s="768"/>
      <c r="AA6" s="768"/>
      <c r="AB6" s="768"/>
      <c r="AC6" s="768"/>
      <c r="AD6" s="768"/>
      <c r="AE6" s="768"/>
      <c r="AF6" s="768"/>
      <c r="AG6" s="768"/>
      <c r="AH6" s="768"/>
      <c r="AI6" s="768"/>
      <c r="AJ6" s="768"/>
      <c r="AK6" s="768"/>
      <c r="AL6" s="768"/>
      <c r="AM6" s="768"/>
      <c r="AN6" s="768"/>
      <c r="AO6" s="768"/>
      <c r="AP6" s="768"/>
      <c r="AQ6" s="768"/>
      <c r="AR6" s="768"/>
      <c r="AS6" s="768"/>
      <c r="AT6" s="768"/>
      <c r="AU6" s="768"/>
      <c r="AV6" s="768"/>
      <c r="AW6" s="768"/>
      <c r="AX6" s="768"/>
      <c r="AY6" s="18"/>
    </row>
    <row r="7" spans="2:51" x14ac:dyDescent="0.25">
      <c r="B7" s="767"/>
      <c r="C7" s="768"/>
      <c r="D7" s="767"/>
      <c r="E7" s="768"/>
      <c r="F7" s="769" t="s">
        <v>113</v>
      </c>
      <c r="G7" s="770"/>
      <c r="H7" s="770"/>
      <c r="I7" s="770"/>
      <c r="J7" s="770"/>
      <c r="K7" s="770"/>
      <c r="L7" s="770"/>
      <c r="M7" s="770"/>
      <c r="N7" s="770"/>
      <c r="O7" s="770"/>
      <c r="P7" s="770"/>
      <c r="Q7" s="770"/>
      <c r="R7" s="770"/>
      <c r="S7" s="770"/>
      <c r="T7" s="770"/>
      <c r="U7" s="770"/>
      <c r="V7" s="770"/>
      <c r="W7" s="770"/>
      <c r="X7" s="770"/>
      <c r="Y7" s="770"/>
      <c r="Z7" s="770"/>
      <c r="AA7" s="770"/>
      <c r="AB7" s="770"/>
      <c r="AC7" s="770"/>
      <c r="AD7" s="770"/>
      <c r="AE7" s="770"/>
      <c r="AF7" s="770"/>
      <c r="AG7" s="770"/>
      <c r="AH7" s="770"/>
      <c r="AI7" s="770"/>
      <c r="AJ7" s="770"/>
      <c r="AK7" s="770"/>
      <c r="AL7" s="770"/>
      <c r="AM7" s="770"/>
      <c r="AN7" s="770"/>
      <c r="AO7" s="770"/>
      <c r="AP7" s="770"/>
      <c r="AQ7" s="770"/>
      <c r="AR7" s="770"/>
      <c r="AS7" s="770"/>
      <c r="AT7" s="770"/>
      <c r="AU7" s="770"/>
      <c r="AV7" s="770"/>
      <c r="AW7" s="770"/>
      <c r="AX7" s="771"/>
      <c r="AY7" s="18"/>
    </row>
    <row r="8" spans="2:51" x14ac:dyDescent="0.25">
      <c r="B8" s="767"/>
      <c r="C8" s="768"/>
      <c r="D8" s="767"/>
      <c r="E8" s="768"/>
      <c r="F8" s="768"/>
      <c r="G8" s="768"/>
      <c r="H8" s="768"/>
      <c r="I8" s="768"/>
      <c r="J8" s="768"/>
      <c r="K8" s="768"/>
      <c r="L8" s="768"/>
      <c r="M8" s="768"/>
      <c r="N8" s="768"/>
      <c r="O8" s="768"/>
      <c r="P8" s="768"/>
      <c r="Q8" s="768"/>
      <c r="R8" s="768"/>
      <c r="S8" s="768"/>
      <c r="T8" s="768"/>
      <c r="U8" s="768"/>
      <c r="V8" s="768"/>
      <c r="W8" s="768"/>
      <c r="X8" s="768"/>
      <c r="Y8" s="768"/>
      <c r="Z8" s="768"/>
      <c r="AA8" s="768"/>
      <c r="AB8" s="768"/>
      <c r="AC8" s="768"/>
      <c r="AD8" s="768"/>
      <c r="AE8" s="768"/>
      <c r="AF8" s="768"/>
      <c r="AG8" s="768"/>
      <c r="AH8" s="768"/>
      <c r="AI8" s="768"/>
      <c r="AJ8" s="768"/>
      <c r="AK8" s="768"/>
      <c r="AL8" s="768"/>
      <c r="AM8" s="768"/>
      <c r="AN8" s="768"/>
      <c r="AO8" s="768"/>
      <c r="AP8" s="768"/>
      <c r="AQ8" s="768"/>
      <c r="AR8" s="768"/>
      <c r="AS8" s="768"/>
      <c r="AT8" s="768"/>
      <c r="AU8" s="768"/>
      <c r="AV8" s="768"/>
      <c r="AW8" s="768"/>
      <c r="AX8" s="768"/>
      <c r="AY8" s="18"/>
    </row>
    <row r="9" spans="2:51" ht="50.25" customHeight="1" x14ac:dyDescent="0.25">
      <c r="B9" s="767"/>
      <c r="C9" s="768"/>
      <c r="D9" s="767"/>
      <c r="E9" s="768"/>
      <c r="F9" s="19" t="s">
        <v>114</v>
      </c>
      <c r="G9" s="19" t="s">
        <v>115</v>
      </c>
      <c r="H9" s="19" t="s">
        <v>116</v>
      </c>
      <c r="I9" s="19" t="s">
        <v>114</v>
      </c>
      <c r="J9" s="19" t="s">
        <v>115</v>
      </c>
      <c r="K9" s="19" t="s">
        <v>116</v>
      </c>
      <c r="L9" s="19" t="s">
        <v>114</v>
      </c>
      <c r="M9" s="19" t="s">
        <v>115</v>
      </c>
      <c r="N9" s="19" t="s">
        <v>116</v>
      </c>
      <c r="O9" s="19" t="s">
        <v>114</v>
      </c>
      <c r="P9" s="19" t="s">
        <v>115</v>
      </c>
      <c r="Q9" s="19" t="s">
        <v>116</v>
      </c>
      <c r="R9" s="19" t="s">
        <v>114</v>
      </c>
      <c r="S9" s="19" t="s">
        <v>115</v>
      </c>
      <c r="T9" s="19" t="s">
        <v>116</v>
      </c>
      <c r="U9" s="19" t="s">
        <v>114</v>
      </c>
      <c r="V9" s="19" t="s">
        <v>115</v>
      </c>
      <c r="W9" s="19" t="s">
        <v>116</v>
      </c>
      <c r="X9" s="19" t="s">
        <v>114</v>
      </c>
      <c r="Y9" s="19" t="s">
        <v>115</v>
      </c>
      <c r="Z9" s="19" t="s">
        <v>116</v>
      </c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 t="s">
        <v>114</v>
      </c>
      <c r="AT9" s="19" t="s">
        <v>115</v>
      </c>
      <c r="AU9" s="19" t="s">
        <v>116</v>
      </c>
      <c r="AV9" s="19" t="s">
        <v>114</v>
      </c>
      <c r="AW9" s="19" t="s">
        <v>115</v>
      </c>
      <c r="AX9" s="19" t="s">
        <v>116</v>
      </c>
      <c r="AY9" s="18"/>
    </row>
    <row r="10" spans="2:51" x14ac:dyDescent="0.25">
      <c r="B10" s="20">
        <v>1</v>
      </c>
      <c r="C10" s="20">
        <v>2</v>
      </c>
      <c r="D10" s="20">
        <v>3</v>
      </c>
      <c r="E10" s="20">
        <v>4</v>
      </c>
      <c r="F10" s="20">
        <v>5</v>
      </c>
      <c r="G10" s="20">
        <v>6</v>
      </c>
      <c r="H10" s="20">
        <v>7</v>
      </c>
      <c r="I10" s="20">
        <v>8</v>
      </c>
      <c r="J10" s="20">
        <v>9</v>
      </c>
      <c r="K10" s="20">
        <v>10</v>
      </c>
      <c r="L10" s="20">
        <v>11</v>
      </c>
      <c r="M10" s="20">
        <v>12</v>
      </c>
      <c r="N10" s="20">
        <v>13</v>
      </c>
      <c r="O10" s="20">
        <v>14</v>
      </c>
      <c r="P10" s="20">
        <v>15</v>
      </c>
      <c r="Q10" s="20">
        <v>16</v>
      </c>
      <c r="R10" s="20">
        <v>17</v>
      </c>
      <c r="S10" s="20">
        <v>18</v>
      </c>
      <c r="T10" s="20">
        <v>19</v>
      </c>
      <c r="U10" s="20">
        <v>20</v>
      </c>
      <c r="V10" s="20">
        <v>21</v>
      </c>
      <c r="W10" s="20">
        <v>22</v>
      </c>
      <c r="X10" s="20">
        <v>23</v>
      </c>
      <c r="Y10" s="20">
        <v>23</v>
      </c>
      <c r="Z10" s="20">
        <v>25</v>
      </c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>
        <v>26</v>
      </c>
      <c r="AT10" s="20">
        <v>27</v>
      </c>
      <c r="AU10" s="20">
        <v>28</v>
      </c>
      <c r="AV10" s="20">
        <v>29</v>
      </c>
      <c r="AW10" s="20">
        <v>30</v>
      </c>
      <c r="AX10" s="20">
        <v>31</v>
      </c>
      <c r="AY10" s="21"/>
    </row>
    <row r="11" spans="2:51" ht="45" x14ac:dyDescent="0.25">
      <c r="B11" s="22">
        <v>45139</v>
      </c>
      <c r="C11" s="20" t="s">
        <v>117</v>
      </c>
      <c r="D11" s="20"/>
      <c r="E11" s="20" t="s">
        <v>118</v>
      </c>
      <c r="F11" s="20"/>
      <c r="G11" s="20"/>
      <c r="H11" s="20">
        <v>20</v>
      </c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1"/>
    </row>
    <row r="12" spans="2:51" ht="22.5" x14ac:dyDescent="0.25">
      <c r="B12" s="20"/>
      <c r="C12" s="20" t="s">
        <v>119</v>
      </c>
      <c r="D12" s="20"/>
      <c r="E12" s="20"/>
      <c r="F12" s="20">
        <v>200</v>
      </c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1"/>
    </row>
    <row r="13" spans="2:51" ht="22.5" x14ac:dyDescent="0.25">
      <c r="B13" s="22">
        <v>45140</v>
      </c>
      <c r="C13" s="20" t="s">
        <v>120</v>
      </c>
      <c r="D13" s="20"/>
      <c r="E13" s="20"/>
      <c r="F13" s="20"/>
      <c r="G13" s="20">
        <v>20</v>
      </c>
      <c r="H13" s="20">
        <v>180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1"/>
    </row>
    <row r="14" spans="2:51" ht="22.5" x14ac:dyDescent="0.25">
      <c r="B14" s="20"/>
      <c r="C14" s="20" t="s">
        <v>120</v>
      </c>
      <c r="D14" s="20"/>
      <c r="E14" s="20"/>
      <c r="F14" s="20"/>
      <c r="G14" s="20">
        <v>5</v>
      </c>
      <c r="H14" s="20">
        <v>175</v>
      </c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1"/>
    </row>
  </sheetData>
  <mergeCells count="68">
    <mergeCell ref="I6:K6"/>
    <mergeCell ref="L6:N6"/>
    <mergeCell ref="O6:Q6"/>
    <mergeCell ref="U8:W8"/>
    <mergeCell ref="X8:Z8"/>
    <mergeCell ref="R6:T6"/>
    <mergeCell ref="AS8:AU8"/>
    <mergeCell ref="AV8:AX8"/>
    <mergeCell ref="U6:W6"/>
    <mergeCell ref="X6:Z6"/>
    <mergeCell ref="AD6:AF6"/>
    <mergeCell ref="AG6:AI6"/>
    <mergeCell ref="AJ6:AL6"/>
    <mergeCell ref="AS6:AU6"/>
    <mergeCell ref="AV6:AX6"/>
    <mergeCell ref="F7:AX7"/>
    <mergeCell ref="F8:H8"/>
    <mergeCell ref="I8:K8"/>
    <mergeCell ref="L8:N8"/>
    <mergeCell ref="O8:Q8"/>
    <mergeCell ref="R8:T8"/>
    <mergeCell ref="F6:H6"/>
    <mergeCell ref="AP6:AR6"/>
    <mergeCell ref="AA8:AC8"/>
    <mergeCell ref="AD8:AF8"/>
    <mergeCell ref="AG8:AI8"/>
    <mergeCell ref="AJ8:AL8"/>
    <mergeCell ref="AM8:AO8"/>
    <mergeCell ref="AP8:AR8"/>
    <mergeCell ref="AA6:AC6"/>
    <mergeCell ref="AM6:AO6"/>
    <mergeCell ref="AS2:AU2"/>
    <mergeCell ref="R4:T4"/>
    <mergeCell ref="AD4:AF4"/>
    <mergeCell ref="F5:AX5"/>
    <mergeCell ref="AG2:AI2"/>
    <mergeCell ref="AA4:AC4"/>
    <mergeCell ref="AJ2:AL2"/>
    <mergeCell ref="AM2:AO2"/>
    <mergeCell ref="AV2:AX2"/>
    <mergeCell ref="F3:AX3"/>
    <mergeCell ref="F4:H4"/>
    <mergeCell ref="I4:K4"/>
    <mergeCell ref="L4:N4"/>
    <mergeCell ref="O4:Q4"/>
    <mergeCell ref="AV4:AX4"/>
    <mergeCell ref="U4:W4"/>
    <mergeCell ref="AP4:AR4"/>
    <mergeCell ref="AM4:AO4"/>
    <mergeCell ref="AG4:AI4"/>
    <mergeCell ref="AJ4:AL4"/>
    <mergeCell ref="X4:Z4"/>
    <mergeCell ref="B1:B9"/>
    <mergeCell ref="C1:C9"/>
    <mergeCell ref="D1:D9"/>
    <mergeCell ref="E1:E9"/>
    <mergeCell ref="F1:AX1"/>
    <mergeCell ref="F2:H2"/>
    <mergeCell ref="I2:K2"/>
    <mergeCell ref="L2:N2"/>
    <mergeCell ref="O2:Q2"/>
    <mergeCell ref="R2:T2"/>
    <mergeCell ref="AA2:AC2"/>
    <mergeCell ref="AD2:AF2"/>
    <mergeCell ref="AP2:AR2"/>
    <mergeCell ref="AS4:AU4"/>
    <mergeCell ref="U2:W2"/>
    <mergeCell ref="X2:Z2"/>
  </mergeCell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</vt:i4>
      </vt:variant>
    </vt:vector>
  </HeadingPairs>
  <TitlesOfParts>
    <vt:vector size="10" baseType="lpstr">
      <vt:lpstr>Обложка</vt:lpstr>
      <vt:lpstr>Лист3 учет</vt:lpstr>
      <vt:lpstr>Меню</vt:lpstr>
      <vt:lpstr>Акт Пн</vt:lpstr>
      <vt:lpstr>Акт Вт</vt:lpstr>
      <vt:lpstr>Акт Ср</vt:lpstr>
      <vt:lpstr>инфо</vt:lpstr>
      <vt:lpstr>Сводная ведомость</vt:lpstr>
      <vt:lpstr>Лист3 печать</vt:lpstr>
      <vt:lpstr>ДатаНачала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</dc:creator>
  <cp:lastModifiedBy>Рутковская Ольга Александровна</cp:lastModifiedBy>
  <cp:lastPrinted>2023-07-14T09:58:42Z</cp:lastPrinted>
  <dcterms:created xsi:type="dcterms:W3CDTF">2023-07-10T19:03:29Z</dcterms:created>
  <dcterms:modified xsi:type="dcterms:W3CDTF">2023-07-14T11:57:59Z</dcterms:modified>
</cp:coreProperties>
</file>