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37E998C4-C9E5-D4B9-71C8-EB1FF731991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rutkovskaya\аа\Кворк\Меню\"/>
    </mc:Choice>
  </mc:AlternateContent>
  <xr:revisionPtr revIDLastSave="0" documentId="8_{086CB017-7C46-4F80-BB83-0E25A378470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Нормы" sheetId="4" r:id="rId1"/>
    <sheet name="моющие" sheetId="5" r:id="rId2"/>
    <sheet name="корабль" sheetId="3" r:id="rId3"/>
  </sheets>
  <externalReferences>
    <externalReference r:id="rId4"/>
    <externalReference r:id="rId5"/>
  </externalReferences>
  <definedNames>
    <definedName name="_xlnm._FilterDatabase" localSheetId="2" hidden="1">корабль!$AE$24:$AG$189</definedName>
    <definedName name="_xlnm._FilterDatabase" localSheetId="1" hidden="1">моющие!$A$13:$H$20</definedName>
    <definedName name="Б2" localSheetId="1">[1]Меню!#REF!</definedName>
    <definedName name="Б2">[1]Меню!#REF!</definedName>
    <definedName name="_xlnm.Print_Titles" localSheetId="2">корабль!$20:$23</definedName>
    <definedName name="крупы">[1]Меню!$A$2:$A$8</definedName>
    <definedName name="_xlnm.Print_Area" localSheetId="2">корабль!$A$1:$AH$189</definedName>
    <definedName name="_xlnm.Print_Area" localSheetId="1">моющие!$A$1:$G$50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14" i="3" l="1"/>
  <c r="V115" i="3"/>
  <c r="AL158" i="3" l="1"/>
  <c r="AL157" i="3"/>
  <c r="AL156" i="3"/>
  <c r="AL155" i="3"/>
  <c r="AL154" i="3"/>
  <c r="AL149" i="3"/>
  <c r="AL145" i="3"/>
  <c r="V131" i="3"/>
  <c r="V130" i="3"/>
  <c r="V54" i="3" l="1"/>
  <c r="X54" i="3" s="1"/>
  <c r="V150" i="3"/>
  <c r="X150" i="3" s="1"/>
  <c r="V146" i="3"/>
  <c r="V84" i="3"/>
  <c r="X155" i="3"/>
  <c r="X156" i="3"/>
  <c r="X157" i="3"/>
  <c r="X158" i="3"/>
  <c r="X159" i="3"/>
  <c r="X160" i="3"/>
  <c r="X161" i="3"/>
  <c r="X162" i="3"/>
  <c r="X163" i="3"/>
  <c r="X154" i="3"/>
  <c r="X151" i="3"/>
  <c r="X152" i="3"/>
  <c r="X138" i="3"/>
  <c r="X139" i="3"/>
  <c r="X140" i="3"/>
  <c r="X141" i="3"/>
  <c r="X142" i="3"/>
  <c r="X143" i="3"/>
  <c r="X144" i="3"/>
  <c r="X137" i="3"/>
  <c r="C4" i="5"/>
  <c r="G5" i="5"/>
  <c r="E44" i="5"/>
  <c r="D41" i="5"/>
  <c r="F24" i="5"/>
  <c r="E19" i="5"/>
  <c r="M16" i="5"/>
  <c r="D16" i="5"/>
  <c r="M15" i="5"/>
  <c r="A15" i="5"/>
  <c r="X146" i="3" l="1"/>
  <c r="AL146" i="3"/>
  <c r="E16" i="5"/>
  <c r="E41" i="5"/>
  <c r="E15" i="5"/>
  <c r="E17" i="5"/>
  <c r="E42" i="5"/>
  <c r="E40" i="5"/>
  <c r="A16" i="5"/>
  <c r="E18" i="5" l="1"/>
  <c r="E43" i="5"/>
  <c r="AL136" i="3"/>
  <c r="AE137" i="3"/>
  <c r="AE138" i="3"/>
  <c r="AE139" i="3"/>
  <c r="AE140" i="3"/>
  <c r="AE141" i="3"/>
  <c r="AE142" i="3"/>
  <c r="AE143" i="3"/>
  <c r="AE144" i="3"/>
  <c r="AE147" i="3"/>
  <c r="AE148" i="3"/>
  <c r="AE151" i="3"/>
  <c r="AE152" i="3"/>
  <c r="AE159" i="3"/>
  <c r="AE160" i="3"/>
  <c r="AE161" i="3"/>
  <c r="AE162" i="3"/>
  <c r="AE163" i="3"/>
  <c r="AE172" i="3"/>
  <c r="AE173" i="3"/>
  <c r="AE174" i="3"/>
  <c r="AE175" i="3"/>
  <c r="AK174" i="3"/>
  <c r="AK17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AK149" i="3"/>
  <c r="AE150" i="3" s="1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72" i="3"/>
  <c r="AK173" i="3"/>
  <c r="V37" i="3"/>
  <c r="AK37" i="3" s="1"/>
  <c r="V38" i="3"/>
  <c r="X38" i="3" s="1"/>
  <c r="V39" i="3"/>
  <c r="AK39" i="3" s="1"/>
  <c r="V40" i="3"/>
  <c r="V41" i="3"/>
  <c r="AK41" i="3" s="1"/>
  <c r="V42" i="3"/>
  <c r="V43" i="3"/>
  <c r="AE43" i="3" s="1"/>
  <c r="V44" i="3"/>
  <c r="AK44" i="3" s="1"/>
  <c r="V45" i="3"/>
  <c r="AK45" i="3" s="1"/>
  <c r="V46" i="3"/>
  <c r="AE46" i="3" s="1"/>
  <c r="V47" i="3"/>
  <c r="V48" i="3"/>
  <c r="AE48" i="3" s="1"/>
  <c r="V49" i="3"/>
  <c r="AK49" i="3" s="1"/>
  <c r="V50" i="3"/>
  <c r="V51" i="3"/>
  <c r="AK51" i="3" s="1"/>
  <c r="V52" i="3"/>
  <c r="AE52" i="3" s="1"/>
  <c r="V53" i="3"/>
  <c r="AK53" i="3" s="1"/>
  <c r="V55" i="3"/>
  <c r="AE55" i="3" s="1"/>
  <c r="V56" i="3"/>
  <c r="AL56" i="3" s="1"/>
  <c r="V57" i="3"/>
  <c r="V58" i="3"/>
  <c r="X58" i="3" s="1"/>
  <c r="V59" i="3"/>
  <c r="AK59" i="3" s="1"/>
  <c r="V60" i="3"/>
  <c r="V61" i="3"/>
  <c r="AK61" i="3" s="1"/>
  <c r="V62" i="3"/>
  <c r="X62" i="3" s="1"/>
  <c r="V63" i="3"/>
  <c r="AE63" i="3" s="1"/>
  <c r="V64" i="3"/>
  <c r="V65" i="3"/>
  <c r="AK65" i="3" s="1"/>
  <c r="V66" i="3"/>
  <c r="AE66" i="3" s="1"/>
  <c r="V67" i="3"/>
  <c r="AK67" i="3" s="1"/>
  <c r="V68" i="3"/>
  <c r="V69" i="3"/>
  <c r="AK69" i="3" s="1"/>
  <c r="V70" i="3"/>
  <c r="X70" i="3" s="1"/>
  <c r="V71" i="3"/>
  <c r="V72" i="3"/>
  <c r="AE72" i="3" s="1"/>
  <c r="V73" i="3"/>
  <c r="AK73" i="3" s="1"/>
  <c r="V74" i="3"/>
  <c r="X74" i="3" s="1"/>
  <c r="V75" i="3"/>
  <c r="AK75" i="3" s="1"/>
  <c r="V76" i="3"/>
  <c r="AE76" i="3" s="1"/>
  <c r="V77" i="3"/>
  <c r="AK77" i="3" s="1"/>
  <c r="V78" i="3"/>
  <c r="X78" i="3" s="1"/>
  <c r="V79" i="3"/>
  <c r="AK79" i="3" s="1"/>
  <c r="V80" i="3"/>
  <c r="V81" i="3"/>
  <c r="AK81" i="3" s="1"/>
  <c r="V82" i="3"/>
  <c r="AL82" i="3" s="1"/>
  <c r="V83" i="3"/>
  <c r="AL83" i="3" s="1"/>
  <c r="AL84" i="3"/>
  <c r="V85" i="3"/>
  <c r="AK85" i="3" s="1"/>
  <c r="V86" i="3"/>
  <c r="X86" i="3" s="1"/>
  <c r="V87" i="3"/>
  <c r="V88" i="3"/>
  <c r="AK88" i="3" s="1"/>
  <c r="V89" i="3"/>
  <c r="AK89" i="3" s="1"/>
  <c r="V90" i="3"/>
  <c r="X90" i="3" s="1"/>
  <c r="V91" i="3"/>
  <c r="X91" i="3" s="1"/>
  <c r="V92" i="3"/>
  <c r="AK92" i="3" s="1"/>
  <c r="V93" i="3"/>
  <c r="AK93" i="3" s="1"/>
  <c r="V94" i="3"/>
  <c r="AE94" i="3" s="1"/>
  <c r="V95" i="3"/>
  <c r="AE95" i="3" s="1"/>
  <c r="V96" i="3"/>
  <c r="X96" i="3" s="1"/>
  <c r="V97" i="3"/>
  <c r="AK97" i="3" s="1"/>
  <c r="V98" i="3"/>
  <c r="AE98" i="3" s="1"/>
  <c r="V99" i="3"/>
  <c r="AK99" i="3" s="1"/>
  <c r="V100" i="3"/>
  <c r="AE100" i="3" s="1"/>
  <c r="V101" i="3"/>
  <c r="AK101" i="3" s="1"/>
  <c r="V102" i="3"/>
  <c r="V103" i="3"/>
  <c r="AK103" i="3" s="1"/>
  <c r="V104" i="3"/>
  <c r="AE104" i="3" s="1"/>
  <c r="V105" i="3"/>
  <c r="AK105" i="3" s="1"/>
  <c r="V106" i="3"/>
  <c r="V107" i="3"/>
  <c r="V108" i="3"/>
  <c r="AK108" i="3" s="1"/>
  <c r="V109" i="3"/>
  <c r="AK109" i="3" s="1"/>
  <c r="V110" i="3"/>
  <c r="X110" i="3" s="1"/>
  <c r="V111" i="3"/>
  <c r="AE111" i="3" s="1"/>
  <c r="V112" i="3"/>
  <c r="V113" i="3"/>
  <c r="AK113" i="3" s="1"/>
  <c r="AL114" i="3"/>
  <c r="AK115" i="3"/>
  <c r="V116" i="3"/>
  <c r="AE116" i="3" s="1"/>
  <c r="V117" i="3"/>
  <c r="AK117" i="3" s="1"/>
  <c r="V118" i="3"/>
  <c r="X118" i="3" s="1"/>
  <c r="V119" i="3"/>
  <c r="AE119" i="3" s="1"/>
  <c r="V120" i="3"/>
  <c r="AE120" i="3" s="1"/>
  <c r="V121" i="3"/>
  <c r="AK121" i="3" s="1"/>
  <c r="V122" i="3"/>
  <c r="AE122" i="3" s="1"/>
  <c r="V123" i="3"/>
  <c r="AK123" i="3" s="1"/>
  <c r="V124" i="3"/>
  <c r="AE124" i="3" s="1"/>
  <c r="V125" i="3"/>
  <c r="AK125" i="3" s="1"/>
  <c r="V126" i="3"/>
  <c r="AL126" i="3" s="1"/>
  <c r="V127" i="3"/>
  <c r="AL127" i="3" s="1"/>
  <c r="V128" i="3"/>
  <c r="AK128" i="3" s="1"/>
  <c r="V129" i="3"/>
  <c r="AL129" i="3" s="1"/>
  <c r="AL130" i="3"/>
  <c r="AK131" i="3"/>
  <c r="V132" i="3"/>
  <c r="AK132" i="3" s="1"/>
  <c r="V133" i="3"/>
  <c r="AL133" i="3" s="1"/>
  <c r="V134" i="3"/>
  <c r="AL134" i="3" s="1"/>
  <c r="V135" i="3"/>
  <c r="V26" i="3"/>
  <c r="AL26" i="3" s="1"/>
  <c r="V27" i="3"/>
  <c r="AK27" i="3" s="1"/>
  <c r="V28" i="3"/>
  <c r="AK28" i="3" s="1"/>
  <c r="V29" i="3"/>
  <c r="V30" i="3"/>
  <c r="AL30" i="3" s="1"/>
  <c r="V31" i="3"/>
  <c r="X31" i="3" s="1"/>
  <c r="V32" i="3"/>
  <c r="V33" i="3"/>
  <c r="AK33" i="3" s="1"/>
  <c r="V34" i="3"/>
  <c r="V35" i="3"/>
  <c r="X35" i="3" s="1"/>
  <c r="V36" i="3"/>
  <c r="V25" i="3"/>
  <c r="AE68" i="3" l="1"/>
  <c r="AK57" i="3"/>
  <c r="X57" i="3"/>
  <c r="X37" i="3"/>
  <c r="X30" i="3"/>
  <c r="X45" i="3"/>
  <c r="X44" i="3"/>
  <c r="X39" i="3"/>
  <c r="X132" i="3"/>
  <c r="X135" i="3"/>
  <c r="X100" i="3"/>
  <c r="X108" i="3"/>
  <c r="X72" i="3"/>
  <c r="X128" i="3"/>
  <c r="X88" i="3"/>
  <c r="X84" i="3"/>
  <c r="AL125" i="3"/>
  <c r="X112" i="3"/>
  <c r="X92" i="3"/>
  <c r="X56" i="3"/>
  <c r="X97" i="3"/>
  <c r="X77" i="3"/>
  <c r="X67" i="3"/>
  <c r="X53" i="3"/>
  <c r="X131" i="3"/>
  <c r="X111" i="3"/>
  <c r="X99" i="3"/>
  <c r="X79" i="3"/>
  <c r="X69" i="3"/>
  <c r="X95" i="3"/>
  <c r="X63" i="3"/>
  <c r="X133" i="3"/>
  <c r="X127" i="3"/>
  <c r="X105" i="3"/>
  <c r="X85" i="3"/>
  <c r="X75" i="3"/>
  <c r="X65" i="3"/>
  <c r="X51" i="3"/>
  <c r="X27" i="3"/>
  <c r="X109" i="3"/>
  <c r="X89" i="3"/>
  <c r="X81" i="3"/>
  <c r="X66" i="3"/>
  <c r="X49" i="3"/>
  <c r="X101" i="3"/>
  <c r="X61" i="3"/>
  <c r="X41" i="3"/>
  <c r="X129" i="3"/>
  <c r="X117" i="3"/>
  <c r="X93" i="3"/>
  <c r="X43" i="3"/>
  <c r="X134" i="3"/>
  <c r="X130" i="3"/>
  <c r="X126" i="3"/>
  <c r="X114" i="3"/>
  <c r="X82" i="3"/>
  <c r="X102" i="3"/>
  <c r="X98" i="3"/>
  <c r="X94" i="3"/>
  <c r="X115" i="3"/>
  <c r="X33" i="3"/>
  <c r="AK84" i="3"/>
  <c r="AK127" i="3"/>
  <c r="AL131" i="3"/>
  <c r="AK25" i="3"/>
  <c r="AL25" i="3"/>
  <c r="X120" i="3"/>
  <c r="X68" i="3"/>
  <c r="X64" i="3"/>
  <c r="X60" i="3"/>
  <c r="X48" i="3"/>
  <c r="X124" i="3"/>
  <c r="X116" i="3"/>
  <c r="X80" i="3"/>
  <c r="X76" i="3"/>
  <c r="X52" i="3"/>
  <c r="X40" i="3"/>
  <c r="X119" i="3"/>
  <c r="X71" i="3"/>
  <c r="X47" i="3"/>
  <c r="X123" i="3"/>
  <c r="X87" i="3"/>
  <c r="X55" i="3"/>
  <c r="X106" i="3"/>
  <c r="X46" i="3"/>
  <c r="X42" i="3"/>
  <c r="X29" i="3"/>
  <c r="X122" i="3"/>
  <c r="AK119" i="3"/>
  <c r="AK135" i="3"/>
  <c r="AK111" i="3"/>
  <c r="AK71" i="3"/>
  <c r="AK43" i="3"/>
  <c r="AL135" i="3"/>
  <c r="AK112" i="3"/>
  <c r="AK72" i="3"/>
  <c r="AL31" i="3"/>
  <c r="AK31" i="3"/>
  <c r="X34" i="3"/>
  <c r="AK40" i="3"/>
  <c r="AK48" i="3"/>
  <c r="AK47" i="3"/>
  <c r="X50" i="3"/>
  <c r="AK52" i="3"/>
  <c r="AK55" i="3"/>
  <c r="AK56" i="3"/>
  <c r="AK60" i="3"/>
  <c r="AE59" i="3"/>
  <c r="X59" i="3"/>
  <c r="AL57" i="3"/>
  <c r="AK63" i="3"/>
  <c r="AK64" i="3"/>
  <c r="X73" i="3"/>
  <c r="AK68" i="3"/>
  <c r="AL75" i="3"/>
  <c r="AK76" i="3"/>
  <c r="AK80" i="3"/>
  <c r="AL77" i="3"/>
  <c r="AK83" i="3"/>
  <c r="X83" i="3"/>
  <c r="AK87" i="3"/>
  <c r="AK91" i="3"/>
  <c r="AE91" i="3"/>
  <c r="AK96" i="3"/>
  <c r="AK95" i="3"/>
  <c r="AE99" i="3"/>
  <c r="AK100" i="3"/>
  <c r="AK107" i="3"/>
  <c r="AE103" i="3"/>
  <c r="X107" i="3"/>
  <c r="X103" i="3"/>
  <c r="X104" i="3"/>
  <c r="AL85" i="3"/>
  <c r="AK104" i="3"/>
  <c r="X113" i="3"/>
  <c r="AK116" i="3"/>
  <c r="AK120" i="3"/>
  <c r="AE123" i="3"/>
  <c r="X125" i="3"/>
  <c r="X121" i="3"/>
  <c r="AK124" i="3"/>
  <c r="X36" i="3"/>
  <c r="X32" i="3"/>
  <c r="X28" i="3"/>
  <c r="AK30" i="3"/>
  <c r="AK134" i="3"/>
  <c r="AK130" i="3"/>
  <c r="AK126" i="3"/>
  <c r="AK122" i="3"/>
  <c r="AK118" i="3"/>
  <c r="AK114" i="3"/>
  <c r="AK110" i="3"/>
  <c r="AK106" i="3"/>
  <c r="AK102" i="3"/>
  <c r="AK98" i="3"/>
  <c r="AK94" i="3"/>
  <c r="AK90" i="3"/>
  <c r="AK86" i="3"/>
  <c r="AK82" i="3"/>
  <c r="AK78" i="3"/>
  <c r="AK74" i="3"/>
  <c r="AK70" i="3"/>
  <c r="AK66" i="3"/>
  <c r="AK62" i="3"/>
  <c r="AK58" i="3"/>
  <c r="AK54" i="3"/>
  <c r="AK50" i="3"/>
  <c r="AK46" i="3"/>
  <c r="AK42" i="3"/>
  <c r="AK38" i="3"/>
  <c r="AK34" i="3"/>
  <c r="AE31" i="3"/>
  <c r="AE121" i="3"/>
  <c r="AE113" i="3"/>
  <c r="AE105" i="3"/>
  <c r="AE93" i="3"/>
  <c r="AE89" i="3"/>
  <c r="AE69" i="3"/>
  <c r="AE65" i="3"/>
  <c r="AE61" i="3"/>
  <c r="AE45" i="3"/>
  <c r="AL27" i="3"/>
  <c r="AL44" i="3"/>
  <c r="AL74" i="3"/>
  <c r="AL117" i="3"/>
  <c r="AL128" i="3"/>
  <c r="AL132" i="3"/>
  <c r="AK26" i="3"/>
  <c r="AK32" i="3"/>
  <c r="AK35" i="3"/>
  <c r="AE58" i="3"/>
  <c r="AL32" i="3"/>
  <c r="AL61" i="3"/>
  <c r="AK36" i="3"/>
  <c r="AK29" i="3"/>
  <c r="AK133" i="3"/>
  <c r="AK129" i="3"/>
  <c r="AE29" i="3" l="1"/>
  <c r="AE90" i="3"/>
  <c r="AE106" i="3"/>
  <c r="AE83" i="3"/>
  <c r="AE87" i="3"/>
  <c r="AE135" i="3"/>
  <c r="AE80" i="3"/>
  <c r="AE50" i="3"/>
  <c r="AE56" i="3"/>
  <c r="AE47" i="3"/>
  <c r="AE107" i="3"/>
  <c r="AE28" i="3"/>
  <c r="AE154" i="3"/>
  <c r="AE157" i="3"/>
  <c r="AE155" i="3"/>
  <c r="AE156" i="3"/>
  <c r="AE158" i="3"/>
  <c r="AE125" i="3"/>
  <c r="AE60" i="3"/>
  <c r="AE70" i="3"/>
  <c r="AE73" i="3"/>
  <c r="AE71" i="3"/>
  <c r="AE102" i="3"/>
  <c r="AE53" i="3"/>
  <c r="AE25" i="3"/>
  <c r="AE96" i="3"/>
  <c r="AE34" i="3"/>
  <c r="AE40" i="3"/>
  <c r="AE112" i="3"/>
  <c r="AE64" i="3"/>
  <c r="AE42" i="3"/>
  <c r="AE146" i="3"/>
  <c r="AE51" i="3"/>
  <c r="AE84" i="3"/>
  <c r="AE82" i="3"/>
  <c r="AE133" i="3"/>
  <c r="AE130" i="3"/>
  <c r="AE134" i="3"/>
  <c r="AE164" i="3"/>
  <c r="AE67" i="3"/>
  <c r="AE75" i="3"/>
  <c r="AE79" i="3"/>
  <c r="AE115" i="3"/>
  <c r="AE127" i="3"/>
  <c r="AE131" i="3"/>
  <c r="AE37" i="3"/>
  <c r="AE85" i="3"/>
  <c r="AE101" i="3"/>
  <c r="AE117" i="3"/>
  <c r="AE33" i="3"/>
  <c r="AE88" i="3"/>
  <c r="AE132" i="3"/>
  <c r="AE74" i="3"/>
  <c r="AE32" i="3"/>
  <c r="AE39" i="3"/>
  <c r="AE78" i="3"/>
  <c r="AE126" i="3"/>
  <c r="AE49" i="3"/>
  <c r="AE81" i="3"/>
  <c r="AE97" i="3"/>
  <c r="AE129" i="3"/>
  <c r="AE153" i="3"/>
  <c r="AE44" i="3"/>
  <c r="AE128" i="3"/>
  <c r="AE62" i="3"/>
  <c r="AE118" i="3"/>
  <c r="AE30" i="3"/>
  <c r="AE35" i="3"/>
  <c r="AE114" i="3"/>
  <c r="AE77" i="3"/>
  <c r="AE109" i="3"/>
  <c r="AE149" i="3"/>
  <c r="AE136" i="3"/>
  <c r="AE108" i="3"/>
  <c r="AE54" i="3"/>
  <c r="AE110" i="3"/>
  <c r="AE86" i="3"/>
  <c r="AE41" i="3"/>
  <c r="AE57" i="3"/>
  <c r="AE145" i="3"/>
  <c r="AE26" i="3"/>
  <c r="AE27" i="3"/>
  <c r="AE92" i="3"/>
  <c r="AE38" i="3"/>
  <c r="AE36" i="3"/>
  <c r="G171" i="3" l="1"/>
  <c r="G170" i="3"/>
  <c r="G169" i="3"/>
  <c r="G167" i="3"/>
  <c r="G166" i="3"/>
  <c r="AA188" i="3"/>
  <c r="Z18" i="3"/>
  <c r="U18" i="3"/>
  <c r="G153" i="3"/>
  <c r="G149" i="3"/>
  <c r="G136" i="3"/>
  <c r="A11" i="3" l="1"/>
  <c r="AJ49" i="3" l="1"/>
  <c r="AJ47" i="3"/>
  <c r="AJ69" i="3"/>
  <c r="AJ48" i="3"/>
  <c r="AJ31" i="3"/>
  <c r="AJ90" i="3"/>
  <c r="AJ30" i="3" l="1"/>
  <c r="AJ89" i="3"/>
  <c r="AJ34" i="3"/>
  <c r="AJ65" i="3"/>
  <c r="AJ66" i="3"/>
  <c r="AJ39" i="3"/>
  <c r="AJ27" i="3"/>
  <c r="L178" i="3"/>
  <c r="D178" i="3"/>
  <c r="AJ175" i="3"/>
  <c r="AJ174" i="3"/>
  <c r="AJ173" i="3"/>
  <c r="AJ172" i="3"/>
  <c r="AJ163" i="3"/>
  <c r="AJ96" i="3"/>
  <c r="AJ94" i="3"/>
  <c r="AJ93" i="3"/>
  <c r="AJ92" i="3"/>
  <c r="AJ88" i="3"/>
  <c r="AJ86" i="3"/>
  <c r="AJ85" i="3"/>
  <c r="AJ84" i="3"/>
  <c r="AJ82" i="3"/>
  <c r="AJ79" i="3"/>
  <c r="AJ77" i="3"/>
  <c r="AJ75" i="3"/>
  <c r="AJ73" i="3"/>
  <c r="AJ70" i="3"/>
  <c r="AJ68" i="3"/>
  <c r="AJ63" i="3"/>
  <c r="AJ61" i="3"/>
  <c r="AJ59" i="3"/>
  <c r="AJ58" i="3"/>
  <c r="AJ56" i="3"/>
  <c r="AJ54" i="3"/>
  <c r="AJ51" i="3"/>
  <c r="AJ46" i="3"/>
  <c r="AJ44" i="3"/>
  <c r="AJ41" i="3"/>
  <c r="AJ37" i="3"/>
  <c r="AJ36" i="3"/>
  <c r="AJ35" i="3"/>
  <c r="AJ33" i="3"/>
  <c r="AJ32" i="3"/>
  <c r="AJ29" i="3"/>
  <c r="AJ26" i="3"/>
  <c r="AJ167" i="3" l="1"/>
  <c r="AK167" i="3"/>
  <c r="AJ171" i="3"/>
  <c r="AK171" i="3"/>
  <c r="AJ166" i="3"/>
  <c r="AE166" i="3"/>
  <c r="AK166" i="3"/>
  <c r="AJ170" i="3"/>
  <c r="AK170" i="3"/>
  <c r="AJ165" i="3"/>
  <c r="AK165" i="3"/>
  <c r="AE165" i="3" s="1"/>
  <c r="AJ169" i="3"/>
  <c r="AK169" i="3"/>
  <c r="AJ168" i="3"/>
  <c r="AE168" i="3"/>
  <c r="AK168" i="3"/>
  <c r="AJ91" i="3"/>
  <c r="AJ95" i="3"/>
  <c r="AJ64" i="3"/>
  <c r="AJ28" i="3"/>
  <c r="X168" i="3"/>
  <c r="AJ25" i="3"/>
  <c r="AJ38" i="3"/>
  <c r="AJ40" i="3"/>
  <c r="AJ42" i="3"/>
  <c r="AJ43" i="3"/>
  <c r="AJ45" i="3"/>
  <c r="AJ50" i="3"/>
  <c r="AJ52" i="3"/>
  <c r="AJ53" i="3"/>
  <c r="AJ55" i="3"/>
  <c r="AJ57" i="3"/>
  <c r="AJ60" i="3"/>
  <c r="AJ62" i="3"/>
  <c r="AJ67" i="3"/>
  <c r="AJ71" i="3"/>
  <c r="AJ72" i="3"/>
  <c r="AJ74" i="3"/>
  <c r="AJ76" i="3"/>
  <c r="AJ78" i="3"/>
  <c r="AJ80" i="3"/>
  <c r="AJ81" i="3"/>
  <c r="AJ83" i="3"/>
  <c r="AJ87" i="3"/>
  <c r="X165" i="3"/>
  <c r="X166" i="3"/>
  <c r="X167" i="3"/>
  <c r="X169" i="3"/>
  <c r="X170" i="3"/>
  <c r="X171" i="3"/>
  <c r="V176" i="3"/>
  <c r="AE170" i="3" l="1"/>
  <c r="AE169" i="3"/>
  <c r="AE167" i="3"/>
  <c r="AE171" i="3"/>
  <c r="AJ180" i="3"/>
  <c r="AJ188" i="3" s="1"/>
  <c r="X176" i="3"/>
  <c r="AJ177" i="3"/>
  <c r="AJ178" i="3" l="1"/>
  <c r="AJ189" i="3" s="1"/>
  <c r="AJ191" i="3"/>
</calcChain>
</file>

<file path=xl/sharedStrings.xml><?xml version="1.0" encoding="utf-8"?>
<sst xmlns="http://schemas.openxmlformats.org/spreadsheetml/2006/main" count="1118" uniqueCount="323">
  <si>
    <t>Типовая межотраслевая форма № М-11</t>
  </si>
  <si>
    <t xml:space="preserve">Утверждена Постановлением Госкомстата России </t>
  </si>
  <si>
    <t xml:space="preserve">от 30.10.97 N 71а </t>
  </si>
  <si>
    <t>ТРЕБОВАНИЕ - НАКЛАДНАЯ №</t>
  </si>
  <si>
    <t xml:space="preserve">от </t>
  </si>
  <si>
    <t xml:space="preserve"> г.)</t>
  </si>
  <si>
    <t xml:space="preserve">Коды </t>
  </si>
  <si>
    <t xml:space="preserve"> </t>
  </si>
  <si>
    <t xml:space="preserve">Форма по ОКУД </t>
  </si>
  <si>
    <t>0315006</t>
  </si>
  <si>
    <t>Организация</t>
  </si>
  <si>
    <t xml:space="preserve">по ОКПО </t>
  </si>
  <si>
    <t>Дата</t>
  </si>
  <si>
    <t xml:space="preserve">Код вида операции </t>
  </si>
  <si>
    <t xml:space="preserve">Отправитель </t>
  </si>
  <si>
    <t xml:space="preserve">Получатель </t>
  </si>
  <si>
    <t xml:space="preserve">Корреспондирующий счет </t>
  </si>
  <si>
    <t>Учетная единица выпуска продукции (работ, услуг) Количество с/д</t>
  </si>
  <si>
    <t xml:space="preserve">структурное подразделение </t>
  </si>
  <si>
    <t xml:space="preserve">вид деятельности </t>
  </si>
  <si>
    <t xml:space="preserve">счет, субсчет </t>
  </si>
  <si>
    <t xml:space="preserve">код анали- тического учета </t>
  </si>
  <si>
    <t>Номер по заявке</t>
  </si>
  <si>
    <t>Затребовал:</t>
  </si>
  <si>
    <t>звание:</t>
  </si>
  <si>
    <t>Фамилия, инициалы:</t>
  </si>
  <si>
    <t>Через кого</t>
  </si>
  <si>
    <t xml:space="preserve">Разрешил </t>
  </si>
  <si>
    <t xml:space="preserve">Материальные ценности </t>
  </si>
  <si>
    <t xml:space="preserve">Единица измерения </t>
  </si>
  <si>
    <t xml:space="preserve">Количество </t>
  </si>
  <si>
    <t xml:space="preserve">Цена, руб. коп. </t>
  </si>
  <si>
    <t xml:space="preserve">Сумма без учета НДС, руб. коп. </t>
  </si>
  <si>
    <t xml:space="preserve">Порядко- вый номер по складской картотеке </t>
  </si>
  <si>
    <t>норма начисления на 1 с/д, г</t>
  </si>
  <si>
    <t>цена за 1 кг</t>
  </si>
  <si>
    <t>стоимость</t>
  </si>
  <si>
    <t>Комменарий по замене</t>
  </si>
  <si>
    <t xml:space="preserve">код </t>
  </si>
  <si>
    <t xml:space="preserve">наименова- ние </t>
  </si>
  <si>
    <t xml:space="preserve">затребовано </t>
  </si>
  <si>
    <t xml:space="preserve">отпущено </t>
  </si>
  <si>
    <t>Норма</t>
  </si>
  <si>
    <t>за консервы рыбные</t>
  </si>
  <si>
    <t>Итого:</t>
  </si>
  <si>
    <t>Претензий к качеству и количеству продовольствия не имею.</t>
  </si>
  <si>
    <t>Всего норма 1</t>
  </si>
  <si>
    <t xml:space="preserve">Отпустил </t>
  </si>
  <si>
    <t xml:space="preserve">Получил </t>
  </si>
  <si>
    <t>на 1 с/д</t>
  </si>
  <si>
    <t xml:space="preserve">должность </t>
  </si>
  <si>
    <t>подпись</t>
  </si>
  <si>
    <t>расшифровка подписи</t>
  </si>
  <si>
    <t>звание</t>
  </si>
  <si>
    <t>Всего норма 1 п.3б</t>
  </si>
  <si>
    <t>итого 1 с/д</t>
  </si>
  <si>
    <t>x</t>
  </si>
  <si>
    <t>Крупа Рис шлиф.1сорт круглый</t>
  </si>
  <si>
    <t>Крупа пшено</t>
  </si>
  <si>
    <t>Крупа греча ядрица 1сорт</t>
  </si>
  <si>
    <t>Крупа перловая</t>
  </si>
  <si>
    <t>Субпродукты Печень говяжья</t>
  </si>
  <si>
    <t>Мясо птицы 1 сорт</t>
  </si>
  <si>
    <t>Мясо свинина б/к блочное</t>
  </si>
  <si>
    <t>Мясо говядина б/к блочное</t>
  </si>
  <si>
    <t>Мол.прод.Творог 9%  весовой</t>
  </si>
  <si>
    <t>Молоко сгущеное в ж/б</t>
  </si>
  <si>
    <t>Масло слив.72,5% весовое</t>
  </si>
  <si>
    <t>Яйцо</t>
  </si>
  <si>
    <t>Сахарный песок</t>
  </si>
  <si>
    <t>Масло раст.1л (кг)</t>
  </si>
  <si>
    <t>Сухофрукты Изюм</t>
  </si>
  <si>
    <t>Сухофрукты Курага</t>
  </si>
  <si>
    <t>Гексавит</t>
  </si>
  <si>
    <t>Специи Горчица сухая</t>
  </si>
  <si>
    <t>Специи Уксус столовый 9%</t>
  </si>
  <si>
    <t>Специи Перец черный молотый</t>
  </si>
  <si>
    <t>Соль поваренная пищевая</t>
  </si>
  <si>
    <t>Специи Лавровый лист</t>
  </si>
  <si>
    <t>Чай листовой заварной ГОСТ в пачках</t>
  </si>
  <si>
    <t>Овощи Картофель свежий н/о</t>
  </si>
  <si>
    <t>Овощи Капуста б/к</t>
  </si>
  <si>
    <t>Овощи Свекла свежая н/о</t>
  </si>
  <si>
    <t>Овощи Лук свежий н/о</t>
  </si>
  <si>
    <t>Овощи Огурец свежий</t>
  </si>
  <si>
    <t>Овощи Помидор свежий</t>
  </si>
  <si>
    <t xml:space="preserve">Мясо птицы 1 сорт </t>
  </si>
  <si>
    <t>Конд.изд.Пряники весовые</t>
  </si>
  <si>
    <t>Конфеты карамель (отливная)</t>
  </si>
  <si>
    <t>м-н</t>
  </si>
  <si>
    <t>норма ОК</t>
  </si>
  <si>
    <t>б/н</t>
  </si>
  <si>
    <t>Овощи Чеснок свежий</t>
  </si>
  <si>
    <t>Икра кабачковая</t>
  </si>
  <si>
    <t>Субпродукты Сердце говяжье</t>
  </si>
  <si>
    <t>(выдана на основании заявки от Получателя Услуг №</t>
  </si>
  <si>
    <t>кг</t>
  </si>
  <si>
    <t>л</t>
  </si>
  <si>
    <t>шт</t>
  </si>
  <si>
    <t xml:space="preserve">кг </t>
  </si>
  <si>
    <t>Рыба с/м Минтай б/г</t>
  </si>
  <si>
    <t>для доставки продуктов со склада на корабли</t>
  </si>
  <si>
    <t>Вид перевозки</t>
  </si>
  <si>
    <t>Перевозчик</t>
  </si>
  <si>
    <t>Транспортное средство</t>
  </si>
  <si>
    <t>Водитель</t>
  </si>
  <si>
    <t>Пункт доставки</t>
  </si>
  <si>
    <t>Количество рейсов</t>
  </si>
  <si>
    <t>Фактическая дата доставки</t>
  </si>
  <si>
    <t>Рыба с/м Камбала б/г</t>
  </si>
  <si>
    <t>за кон рыбн</t>
  </si>
  <si>
    <t>Конд.изд.Вафли весовые</t>
  </si>
  <si>
    <t>ООО Технология</t>
  </si>
  <si>
    <t>Рыба с/м Пикша б/г</t>
  </si>
  <si>
    <t>Томат-паста 25%</t>
  </si>
  <si>
    <t>Норма ОК №3 п.3 "е" (водолазы)</t>
  </si>
  <si>
    <t>Кофе весовой</t>
  </si>
  <si>
    <t>Норма ОК №3 (морской поек)</t>
  </si>
  <si>
    <t>наименование продовольствия</t>
  </si>
  <si>
    <t>склад столовой 17/5</t>
  </si>
  <si>
    <t>Норма 1  п.п. 6 (карамель)</t>
  </si>
  <si>
    <t>Норма 1 (общевойсковой паек)</t>
  </si>
  <si>
    <t>Норма 1 (услуга по питанию в полевых условиях б/приг. пищи)</t>
  </si>
  <si>
    <t>Норма 1 (шведский стол)</t>
  </si>
  <si>
    <t>Норма 1 п. 3 "а" (ДМТ,190 см. и выше)</t>
  </si>
  <si>
    <t>Норма 1 п. 3 "а" (ДМТ,190 см. и выше) шведский стол</t>
  </si>
  <si>
    <t>Норма 1 п. 3 "в" (высокогорье)</t>
  </si>
  <si>
    <t>Норма 1 п. 3 "ж" (караул)</t>
  </si>
  <si>
    <t>Норма 1 п. 4 (вода)</t>
  </si>
  <si>
    <t>Норма 1 п. 5 (праздничные дни)</t>
  </si>
  <si>
    <t>Норма 1 услуга по выдаче продуктов б/приг. пищи</t>
  </si>
  <si>
    <t>Норма 2 (диетическое питание)</t>
  </si>
  <si>
    <t>Норма 2 (летный паек)</t>
  </si>
  <si>
    <t>Норма 2 (услуга по питанию без приготовления пищи)</t>
  </si>
  <si>
    <t>Норма 2 п. 4 (боевое дежурство)</t>
  </si>
  <si>
    <t>Норма 3  п. 3 е</t>
  </si>
  <si>
    <t>Норма 3  п.п. 6 (карамель леденцовая 20 г. в день, 600 г в мес. на 1 воен.)</t>
  </si>
  <si>
    <t>Норма 3 (морской паек)</t>
  </si>
  <si>
    <t>Норма 3 (услуга по питанию в полевых условиях б/приготовления пищи)</t>
  </si>
  <si>
    <t>Норма 3 (шведский стол)</t>
  </si>
  <si>
    <t>Норма 3 п. 3 а ДМТ</t>
  </si>
  <si>
    <t>Норма 3 п. 3 а ДМТ шведский стол</t>
  </si>
  <si>
    <t>Норма 3 п. 5 (праздничные дни)</t>
  </si>
  <si>
    <t>Норма 4 (подводный паек)</t>
  </si>
  <si>
    <t>Норма 5 (лечебный паек)</t>
  </si>
  <si>
    <t>Норма 5 п. 4 "а" (ДМТ, 190 см. и выше)</t>
  </si>
  <si>
    <t>Норма 5 п. 4 "в"</t>
  </si>
  <si>
    <t>Норма 5 п. 5 (10 % к пайку)</t>
  </si>
  <si>
    <t>Норма 6  (кадетский паек 5-8 кл)</t>
  </si>
  <si>
    <t>Норма 6  (кадетский паек 9-11 кл)</t>
  </si>
  <si>
    <t>Норма 6 п. 3 (праздничные 5-8 кл)</t>
  </si>
  <si>
    <t>Норма 6 п. 3 (праздничные 9-11 кл)</t>
  </si>
  <si>
    <t>Норма 7 п. 4 (вода)</t>
  </si>
  <si>
    <t>Норма Обеспечение штатных морских животных (дельфин) зима</t>
  </si>
  <si>
    <t>Норма Обеспечение штатных служебных животных (собак)</t>
  </si>
  <si>
    <t>Норма ОК 3 п. 3 "б" (выход в море)</t>
  </si>
  <si>
    <t>Норма ОК №3 п. 1 "с" (летная допнорма)</t>
  </si>
  <si>
    <t>Норма ОК №3 п. 3 "д" (ракетные торпедные катера)</t>
  </si>
  <si>
    <t>Норма ОК №3 п. 3 "е" (водолазы)</t>
  </si>
  <si>
    <t>Норма ОК №3 п. 4 (вода)</t>
  </si>
  <si>
    <t>Норма ОК №3 п.5 (праздничные дни)</t>
  </si>
  <si>
    <t>Норма ОК №3 п.п.6 (карамель)</t>
  </si>
  <si>
    <t>Норма ОК №4 (подводный паек)</t>
  </si>
  <si>
    <t>Норма ОК №4 п. 6 вода</t>
  </si>
  <si>
    <t>Норма ОК №4 п.4 "а" (выход в море)</t>
  </si>
  <si>
    <t>Норма платное питание (по договору)</t>
  </si>
  <si>
    <t>Норма Приказ МЗиСР№ 45Н (молоко)</t>
  </si>
  <si>
    <t>Норма Приказ МЗиСР№ 45Н (сок), 300 мл</t>
  </si>
  <si>
    <t>Норма Санатории Взрослая</t>
  </si>
  <si>
    <t>Приказ ОК №45Н (молоко)</t>
  </si>
  <si>
    <t>Норма Обеспечение штатных собак подстилочным материалом</t>
  </si>
  <si>
    <t>Временная норма (сигареты с фильтром)</t>
  </si>
  <si>
    <t>Временная норма (карамель)</t>
  </si>
  <si>
    <t>Хлеб белый из пш. муки 1 сорта (нарезка)</t>
  </si>
  <si>
    <t xml:space="preserve">Мука 1с </t>
  </si>
  <si>
    <t>Мука в/с ГОСТ</t>
  </si>
  <si>
    <t>Крупа Хлопья овсяные(геркулес)</t>
  </si>
  <si>
    <t>Крупа пшеничная</t>
  </si>
  <si>
    <t>Крупа ячневая</t>
  </si>
  <si>
    <t>Бобовые горох шлиф.колотый</t>
  </si>
  <si>
    <t>Бобовые Фасоль</t>
  </si>
  <si>
    <t>Макаронные изд.</t>
  </si>
  <si>
    <t>Манная</t>
  </si>
  <si>
    <t>Мясо свинина на кости</t>
  </si>
  <si>
    <t>Мясо говядина на кости (отруба)</t>
  </si>
  <si>
    <t xml:space="preserve">Мясо свинина б/к блочное </t>
  </si>
  <si>
    <t>Мясн.конс.Говядина тушеная КОНКОРД</t>
  </si>
  <si>
    <t>Мясн.конс.Говядина тушеная</t>
  </si>
  <si>
    <t>Колбас.изд.Сосиски</t>
  </si>
  <si>
    <t>Колбас.изд.Сардельки</t>
  </si>
  <si>
    <t>Шпик</t>
  </si>
  <si>
    <t>Колбас.изд.Колбаса п/к</t>
  </si>
  <si>
    <t>Колбас.изд.Колбаса п/к в/с</t>
  </si>
  <si>
    <t>Колбас.изд.Колбаса с/к</t>
  </si>
  <si>
    <t>Колбас.изд.Колбаса с/к в/с</t>
  </si>
  <si>
    <t xml:space="preserve">Рыба с/м б/г </t>
  </si>
  <si>
    <t>Рыба с/м камбала б/г</t>
  </si>
  <si>
    <t>Рыба с/м налим б/г</t>
  </si>
  <si>
    <t>Рыба с/м Сайда б/г</t>
  </si>
  <si>
    <t>Рыба с/м Треска б/г</t>
  </si>
  <si>
    <t>Рыба с/м Хек б/г</t>
  </si>
  <si>
    <t>Рыбн.прод Сельдь соленая</t>
  </si>
  <si>
    <t>Рыбн.конс. Сардина в масле</t>
  </si>
  <si>
    <t>Рыбн.конс. Скумбрия</t>
  </si>
  <si>
    <t xml:space="preserve">Рыбн.конс. Сардина  </t>
  </si>
  <si>
    <t>Масло слив.72,5% порционное 15г (сливочное)</t>
  </si>
  <si>
    <t>Мол.прод.Молоко коровье 0,2 л</t>
  </si>
  <si>
    <t>Мол.прод.Молоко коровье 1 л</t>
  </si>
  <si>
    <t>Молоко сгущенное м/у</t>
  </si>
  <si>
    <t>Мол.прод.Сметана весовая 20%</t>
  </si>
  <si>
    <t>Мол.прод.Сыр твердый (полутвердый) 50%</t>
  </si>
  <si>
    <t>Сыр плавленый (упак. по 17,5гр.)</t>
  </si>
  <si>
    <t>Овощи картофель свежий н/о</t>
  </si>
  <si>
    <t>Овощи капуста б/к</t>
  </si>
  <si>
    <t>Консерв.Капуста маринованная</t>
  </si>
  <si>
    <t>Овощи свекла свежая н/о</t>
  </si>
  <si>
    <t>Консерв.свекла</t>
  </si>
  <si>
    <t>Овощи Морковь свежая н/о</t>
  </si>
  <si>
    <t>Консерв.Морковь.3кг гарнир</t>
  </si>
  <si>
    <t>Овощи лук свежий н/о</t>
  </si>
  <si>
    <t>Соленья кабачки консерв.3 кг</t>
  </si>
  <si>
    <t>Соленья Огурцы консерв.3кг</t>
  </si>
  <si>
    <t>Соленья Помидоры консерв.3кг</t>
  </si>
  <si>
    <t>Овощи Перец сладкий</t>
  </si>
  <si>
    <t>Зелень петрушка свежая</t>
  </si>
  <si>
    <t>Зелень укроп свежий</t>
  </si>
  <si>
    <t>Овощи огурец свежий</t>
  </si>
  <si>
    <t>Овощи помидор свежий</t>
  </si>
  <si>
    <t>Овощи Кабачки свежие</t>
  </si>
  <si>
    <t>Баклажаны</t>
  </si>
  <si>
    <t xml:space="preserve">Редис </t>
  </si>
  <si>
    <t>Овощи чеснок свежий</t>
  </si>
  <si>
    <t>Консерв.Фасоль</t>
  </si>
  <si>
    <t>Консерв.Кукуруза</t>
  </si>
  <si>
    <t>Консерв.Зеленый горошек</t>
  </si>
  <si>
    <t>Консерв.Лечо</t>
  </si>
  <si>
    <t>Консерв.Закуска "Воронежская"</t>
  </si>
  <si>
    <t>Икра баклажанная</t>
  </si>
  <si>
    <t>Сок фрукт.восст.0,2л в ассорт.</t>
  </si>
  <si>
    <t>Сок фрукт.восст.1 л в ассорт.</t>
  </si>
  <si>
    <t>экстракт плодовый и ягодный</t>
  </si>
  <si>
    <t>Сухофрукты изюм</t>
  </si>
  <si>
    <t xml:space="preserve">Дрожжи сушеные </t>
  </si>
  <si>
    <t>Томатная паста 25%</t>
  </si>
  <si>
    <t>Зам. Упр.</t>
  </si>
  <si>
    <t>Мещеряков А.А.</t>
  </si>
  <si>
    <t>доставка продовольствия</t>
  </si>
  <si>
    <t>ИП Старчук Анна Борисовна</t>
  </si>
  <si>
    <t>A734ХН92, мерседес-бенц 212D</t>
  </si>
  <si>
    <t>Чичканов Н.П.</t>
  </si>
  <si>
    <t>Минная стенка г. Севастополь (ближние причалы бухта Инкерман, бухта Угольная)</t>
  </si>
  <si>
    <t>пкс</t>
  </si>
  <si>
    <t>Крупа манная</t>
  </si>
  <si>
    <t>Конд.изд.Печенье сахарное в ассорт.</t>
  </si>
  <si>
    <t>Мука в/с</t>
  </si>
  <si>
    <t>Крупа Хлопья овсяные</t>
  </si>
  <si>
    <t>Мясо свинина б/к блочное (лопатка)</t>
  </si>
  <si>
    <t>Мясн.конс. Цыпленка в с/с</t>
  </si>
  <si>
    <t>Мясн.конс.Свинина тушеная</t>
  </si>
  <si>
    <t>Рыбн.конс. Сардина</t>
  </si>
  <si>
    <t>Рыбн.конс. Сардинелла</t>
  </si>
  <si>
    <t xml:space="preserve">Рыбн.конс. Сельдь </t>
  </si>
  <si>
    <t>Рыбн.прод. Сельдь с/с</t>
  </si>
  <si>
    <t>Молоко сгущеное в мягкой упаковке</t>
  </si>
  <si>
    <t>Масло слив.72,5% весовое (сливочное)</t>
  </si>
  <si>
    <t>Масло слив.72,5% порционное 15г (СЛИВОЧНОЕ)</t>
  </si>
  <si>
    <t>Мол.прод.Молоко коровье 3,2%</t>
  </si>
  <si>
    <t>Чай листовой заварной в пачках</t>
  </si>
  <si>
    <t>Консерв.Капуста мариннованная</t>
  </si>
  <si>
    <t>Консерв. Фасоль</t>
  </si>
  <si>
    <t>Сок фрукт.восст. 1л в ассорт.</t>
  </si>
  <si>
    <t>Дрожжи сушенные</t>
  </si>
  <si>
    <t>Экстракт плодово-ягодный в ассорт.</t>
  </si>
  <si>
    <t>Вода бутилированная 1,5 л</t>
  </si>
  <si>
    <t>Для нумерации</t>
  </si>
  <si>
    <t xml:space="preserve">РАСХОДНАЯ  НАКЛАДНАЯ №    </t>
  </si>
  <si>
    <t xml:space="preserve">дата составления
</t>
  </si>
  <si>
    <t>Поставщик ООО "Технология" склад 17/5</t>
  </si>
  <si>
    <t>требуется подать</t>
  </si>
  <si>
    <t xml:space="preserve">с/д </t>
  </si>
  <si>
    <t>норма № 3</t>
  </si>
  <si>
    <t>Командир ( капитан)</t>
  </si>
  <si>
    <t>телефон</t>
  </si>
  <si>
    <t>Управляющий   столовой № 17/5</t>
  </si>
  <si>
    <t>В.М.Цяпа</t>
  </si>
  <si>
    <t>расчет</t>
  </si>
  <si>
    <t>№ п/п</t>
  </si>
  <si>
    <t>Материальные ценности</t>
  </si>
  <si>
    <t>ед. изм.</t>
  </si>
  <si>
    <t>норма</t>
  </si>
  <si>
    <t>Количество</t>
  </si>
  <si>
    <t>Примечание</t>
  </si>
  <si>
    <t>наименование</t>
  </si>
  <si>
    <t>выдать</t>
  </si>
  <si>
    <t>выдано</t>
  </si>
  <si>
    <t>фильтр</t>
  </si>
  <si>
    <t>Моющие средства</t>
  </si>
  <si>
    <t>Чистящие средства</t>
  </si>
  <si>
    <t>Салфетки</t>
  </si>
  <si>
    <t>Всего</t>
  </si>
  <si>
    <t>Претензий по количеству и качеству не имею:</t>
  </si>
  <si>
    <t>Получил</t>
  </si>
  <si>
    <t>Выдал</t>
  </si>
  <si>
    <t>А.А.Мещеряков</t>
  </si>
  <si>
    <t>должность, подпись</t>
  </si>
  <si>
    <t>Поставщик ООО "РесторанСервис Плюс" склад 17/5</t>
  </si>
  <si>
    <t>в/ч 71707</t>
  </si>
  <si>
    <t>А. Берендеев</t>
  </si>
  <si>
    <t>всего за день</t>
  </si>
  <si>
    <t>Рыба с/м навага б/г</t>
  </si>
  <si>
    <t>Хлеб из смеси  рж. и пш. муки 1 с (корабли)</t>
  </si>
  <si>
    <t>Хлеб белый из пш. муки 1 сорта (корабли)</t>
  </si>
  <si>
    <t>63877 (Калининград)</t>
  </si>
  <si>
    <t>август 2023</t>
  </si>
  <si>
    <t>75764 (Ц.Куников)</t>
  </si>
  <si>
    <t>И.Новичков</t>
  </si>
  <si>
    <t>Масло раст.5л (кг)</t>
  </si>
  <si>
    <t>Сок фрукт.восст.0,2 л в ассорт</t>
  </si>
  <si>
    <t>февраль 2022</t>
  </si>
  <si>
    <t xml:space="preserve">Мол.прод.Сыр плавленый </t>
  </si>
  <si>
    <t>март 2022</t>
  </si>
  <si>
    <t>24/26</t>
  </si>
  <si>
    <t>Мясн.конс.Говядина тушеная кп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</si>
</sst>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_р_._-;\-* #,##0.00_р_._-;_-* &quot;-&quot;??_р_._-;_-@_-"/>
    <numFmt numFmtId="165" formatCode="0.0000"/>
    <numFmt numFmtId="166" formatCode="0.0"/>
    <numFmt numFmtId="167" formatCode="dd/mm/yy;@"/>
    <numFmt numFmtId="168" formatCode="[Black]\ ##0.0;[Red]\ ##0.0;[White]##.0"/>
    <numFmt numFmtId="169" formatCode="[Black]\ ##0.0000;[Red]\ ##0.0000;[White]##.0000"/>
    <numFmt numFmtId="170" formatCode="[Black]\ ##0.000;[Red]\ ##0.000;[White]##.000"/>
    <numFmt numFmtId="171" formatCode="0.00000"/>
    <numFmt numFmtId="172" formatCode="0.000"/>
    <numFmt numFmtId="173" formatCode="[Black]\ ##0;[Red]\ ##0;[White]##"/>
    <numFmt numFmtId="174" formatCode="_(* #,##0.00_);_(* \(#,##0.00\);_(* &quot;-&quot;??_);_(@_)"/>
    <numFmt numFmtId="175" formatCode="[Black]\ ##0.00;[Red]\ ##0.00;[White]##.00"/>
  </numFmts>
  <fonts count="66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2"/>
      <name val="Arial Cyr"/>
      <charset val="204"/>
    </font>
    <font>
      <sz val="11"/>
      <name val="Arial Cyr"/>
      <family val="2"/>
      <charset val="204"/>
    </font>
    <font>
      <sz val="8"/>
      <name val="Arial Cyr"/>
      <family val="2"/>
      <charset val="204"/>
    </font>
    <font>
      <sz val="14"/>
      <name val="Arial Cyr"/>
      <charset val="204"/>
    </font>
    <font>
      <sz val="11"/>
      <name val="Arial Cyr"/>
      <charset val="204"/>
    </font>
    <font>
      <b/>
      <sz val="12"/>
      <color theme="1"/>
      <name val="Arial Cyr"/>
      <charset val="204"/>
    </font>
    <font>
      <sz val="10"/>
      <color theme="0"/>
      <name val="Arial Cyr"/>
      <charset val="204"/>
    </font>
    <font>
      <sz val="10"/>
      <name val="Arial Cyr"/>
      <family val="2"/>
      <charset val="204"/>
    </font>
    <font>
      <sz val="8"/>
      <name val="Arial Cyr"/>
      <charset val="204"/>
    </font>
    <font>
      <sz val="12"/>
      <name val="Arial Cyr"/>
      <family val="2"/>
      <charset val="204"/>
    </font>
    <font>
      <sz val="12"/>
      <color rgb="FFFF0000"/>
      <name val="Arial Cyr"/>
      <charset val="204"/>
    </font>
    <font>
      <sz val="7"/>
      <name val="Arial Cyr"/>
      <family val="2"/>
      <charset val="204"/>
    </font>
    <font>
      <sz val="14"/>
      <name val="Arial Cyr"/>
      <family val="2"/>
      <charset val="204"/>
    </font>
    <font>
      <sz val="11"/>
      <color rgb="FF1F497D"/>
      <name val="Calibri"/>
      <family val="2"/>
      <charset val="204"/>
    </font>
    <font>
      <sz val="10"/>
      <color rgb="FF000000"/>
      <name val="Arial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0"/>
      <name val="Arial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6"/>
      <name val="Arial"/>
      <family val="2"/>
      <charset val="204"/>
    </font>
    <font>
      <b/>
      <sz val="16"/>
      <name val="Arial"/>
      <family val="2"/>
      <charset val="204"/>
    </font>
    <font>
      <sz val="11"/>
      <name val="Arial"/>
      <family val="2"/>
      <charset val="204"/>
    </font>
    <font>
      <sz val="14"/>
      <color theme="0"/>
      <name val="Arial Cyr"/>
      <family val="2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0"/>
      <name val="Times New Roman"/>
      <family val="1"/>
      <charset val="204"/>
    </font>
    <font>
      <u/>
      <sz val="11"/>
      <name val="Times New Roman"/>
      <family val="1"/>
      <charset val="204"/>
    </font>
    <font>
      <i/>
      <sz val="14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0"/>
      <name val="Times New Roman"/>
      <family val="1"/>
      <charset val="204"/>
    </font>
    <font>
      <sz val="12"/>
      <name val="Times New Roman"/>
      <family val="1"/>
      <charset val="204"/>
    </font>
    <font>
      <sz val="11"/>
      <color indexed="9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3"/>
      <name val="Times New Roman"/>
      <family val="1"/>
      <charset val="204"/>
    </font>
    <font>
      <b/>
      <sz val="12"/>
      <name val="Times New Roman"/>
      <family val="1"/>
      <charset val="204"/>
    </font>
    <font>
      <sz val="11"/>
      <color theme="1"/>
      <name val="Times New Roman"/>
      <family val="2"/>
      <charset val="204"/>
    </font>
    <font>
      <sz val="8"/>
      <color theme="0"/>
      <name val="Arial Cyr"/>
      <family val="2"/>
      <charset val="204"/>
    </font>
    <font>
      <sz val="18"/>
      <name val="Arial"/>
      <family val="2"/>
      <charset val="204"/>
    </font>
    <font>
      <sz val="18"/>
      <name val="Arial Cyr"/>
      <family val="2"/>
      <charset val="204"/>
    </font>
    <font>
      <b/>
      <sz val="14"/>
      <name val="Arial Cyr"/>
      <family val="2"/>
      <charset val="204"/>
    </font>
    <font>
      <b/>
      <sz val="12"/>
      <color theme="1"/>
      <name val="Arial Cyr"/>
      <family val="2"/>
      <charset val="204"/>
    </font>
    <font>
      <sz val="12"/>
      <color theme="0"/>
      <name val="Arial Cyr"/>
      <family val="2"/>
      <charset val="204"/>
    </font>
    <font>
      <sz val="12"/>
      <color theme="1"/>
      <name val="Arial Cyr"/>
      <family val="2"/>
      <charset val="204"/>
    </font>
    <font>
      <b/>
      <sz val="12"/>
      <name val="Arial Cyr"/>
      <family val="2"/>
      <charset val="204"/>
    </font>
    <font>
      <sz val="20"/>
      <name val="Arial"/>
      <family val="2"/>
      <charset val="204"/>
    </font>
    <font>
      <sz val="20"/>
      <name val="Arial Cyr"/>
      <family val="2"/>
      <charset val="204"/>
    </font>
    <font>
      <sz val="18"/>
      <color theme="0"/>
      <name val="Arial Cyr"/>
      <family val="2"/>
      <charset val="204"/>
    </font>
    <font>
      <b/>
      <sz val="12"/>
      <name val="Arial Cyr"/>
      <charset val="204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rgb="FF7DFF7D"/>
        <bgColor indexed="64"/>
      </patternFill>
    </fill>
    <fill>
      <patternFill patternType="solid">
        <fgColor rgb="FFF2F2F2"/>
      </patternFill>
    </fill>
    <fill>
      <patternFill patternType="solid">
        <fgColor indexed="9"/>
        <bgColor indexed="64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96">
    <xf numFmtId="0" fontId="0" fillId="0" borderId="0"/>
    <xf numFmtId="0" fontId="1" fillId="0" borderId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8" fillId="11" borderId="34" applyNumberFormat="0" applyAlignment="0" applyProtection="0"/>
    <xf numFmtId="0" fontId="18" fillId="11" borderId="34" applyNumberFormat="0" applyAlignment="0" applyProtection="0"/>
    <xf numFmtId="0" fontId="18" fillId="11" borderId="34" applyNumberFormat="0" applyAlignment="0" applyProtection="0"/>
    <xf numFmtId="0" fontId="18" fillId="11" borderId="34" applyNumberFormat="0" applyAlignment="0" applyProtection="0"/>
    <xf numFmtId="0" fontId="18" fillId="11" borderId="34" applyNumberFormat="0" applyAlignment="0" applyProtection="0"/>
    <xf numFmtId="0" fontId="18" fillId="11" borderId="34" applyNumberFormat="0" applyAlignment="0" applyProtection="0"/>
    <xf numFmtId="0" fontId="18" fillId="11" borderId="34" applyNumberFormat="0" applyAlignment="0" applyProtection="0"/>
    <xf numFmtId="0" fontId="18" fillId="11" borderId="34" applyNumberFormat="0" applyAlignment="0" applyProtection="0"/>
    <xf numFmtId="0" fontId="19" fillId="12" borderId="35" applyNumberFormat="0" applyAlignment="0" applyProtection="0"/>
    <xf numFmtId="0" fontId="19" fillId="12" borderId="35" applyNumberFormat="0" applyAlignment="0" applyProtection="0"/>
    <xf numFmtId="0" fontId="19" fillId="12" borderId="35" applyNumberFormat="0" applyAlignment="0" applyProtection="0"/>
    <xf numFmtId="0" fontId="19" fillId="12" borderId="35" applyNumberFormat="0" applyAlignment="0" applyProtection="0"/>
    <xf numFmtId="0" fontId="19" fillId="12" borderId="35" applyNumberFormat="0" applyAlignment="0" applyProtection="0"/>
    <xf numFmtId="0" fontId="19" fillId="12" borderId="35" applyNumberFormat="0" applyAlignment="0" applyProtection="0"/>
    <xf numFmtId="0" fontId="19" fillId="12" borderId="35" applyNumberFormat="0" applyAlignment="0" applyProtection="0"/>
    <xf numFmtId="0" fontId="19" fillId="12" borderId="35" applyNumberFormat="0" applyAlignment="0" applyProtection="0"/>
    <xf numFmtId="0" fontId="20" fillId="12" borderId="34" applyNumberFormat="0" applyAlignment="0" applyProtection="0"/>
    <xf numFmtId="0" fontId="20" fillId="12" borderId="34" applyNumberFormat="0" applyAlignment="0" applyProtection="0"/>
    <xf numFmtId="0" fontId="20" fillId="12" borderId="34" applyNumberFormat="0" applyAlignment="0" applyProtection="0"/>
    <xf numFmtId="0" fontId="20" fillId="12" borderId="34" applyNumberFormat="0" applyAlignment="0" applyProtection="0"/>
    <xf numFmtId="0" fontId="20" fillId="12" borderId="34" applyNumberFormat="0" applyAlignment="0" applyProtection="0"/>
    <xf numFmtId="0" fontId="20" fillId="12" borderId="34" applyNumberFormat="0" applyAlignment="0" applyProtection="0"/>
    <xf numFmtId="0" fontId="20" fillId="12" borderId="34" applyNumberFormat="0" applyAlignment="0" applyProtection="0"/>
    <xf numFmtId="0" fontId="20" fillId="12" borderId="34" applyNumberFormat="0" applyAlignment="0" applyProtection="0"/>
    <xf numFmtId="0" fontId="21" fillId="0" borderId="36" applyNumberFormat="0" applyFill="0" applyAlignment="0" applyProtection="0"/>
    <xf numFmtId="0" fontId="21" fillId="0" borderId="36" applyNumberFormat="0" applyFill="0" applyAlignment="0" applyProtection="0"/>
    <xf numFmtId="0" fontId="22" fillId="0" borderId="37" applyNumberFormat="0" applyFill="0" applyAlignment="0" applyProtection="0"/>
    <xf numFmtId="0" fontId="22" fillId="0" borderId="37" applyNumberFormat="0" applyFill="0" applyAlignment="0" applyProtection="0"/>
    <xf numFmtId="0" fontId="23" fillId="0" borderId="38" applyNumberFormat="0" applyFill="0" applyAlignment="0" applyProtection="0"/>
    <xf numFmtId="0" fontId="23" fillId="0" borderId="38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39" applyNumberFormat="0" applyFill="0" applyAlignment="0" applyProtection="0"/>
    <xf numFmtId="0" fontId="24" fillId="0" borderId="39" applyNumberFormat="0" applyFill="0" applyAlignment="0" applyProtection="0"/>
    <xf numFmtId="0" fontId="24" fillId="0" borderId="39" applyNumberFormat="0" applyFill="0" applyAlignment="0" applyProtection="0"/>
    <xf numFmtId="0" fontId="24" fillId="0" borderId="39" applyNumberFormat="0" applyFill="0" applyAlignment="0" applyProtection="0"/>
    <xf numFmtId="0" fontId="24" fillId="0" borderId="39" applyNumberFormat="0" applyFill="0" applyAlignment="0" applyProtection="0"/>
    <xf numFmtId="0" fontId="24" fillId="0" borderId="39" applyNumberFormat="0" applyFill="0" applyAlignment="0" applyProtection="0"/>
    <xf numFmtId="0" fontId="24" fillId="0" borderId="39" applyNumberFormat="0" applyFill="0" applyAlignment="0" applyProtection="0"/>
    <xf numFmtId="0" fontId="24" fillId="0" borderId="39" applyNumberFormat="0" applyFill="0" applyAlignment="0" applyProtection="0"/>
    <xf numFmtId="0" fontId="25" fillId="13" borderId="40" applyNumberFormat="0" applyAlignment="0" applyProtection="0"/>
    <xf numFmtId="0" fontId="25" fillId="13" borderId="40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8" fillId="16" borderId="41" applyNumberFormat="0" applyFont="0" applyAlignment="0" applyProtection="0"/>
    <xf numFmtId="0" fontId="28" fillId="16" borderId="41" applyNumberFormat="0" applyFont="0" applyAlignment="0" applyProtection="0"/>
    <xf numFmtId="0" fontId="28" fillId="16" borderId="41" applyNumberFormat="0" applyFont="0" applyAlignment="0" applyProtection="0"/>
    <xf numFmtId="0" fontId="28" fillId="16" borderId="41" applyNumberFormat="0" applyFont="0" applyAlignment="0" applyProtection="0"/>
    <xf numFmtId="0" fontId="28" fillId="16" borderId="41" applyNumberFormat="0" applyFont="0" applyAlignment="0" applyProtection="0"/>
    <xf numFmtId="0" fontId="28" fillId="16" borderId="41" applyNumberFormat="0" applyFont="0" applyAlignment="0" applyProtection="0"/>
    <xf numFmtId="0" fontId="28" fillId="16" borderId="41" applyNumberFormat="0" applyFont="0" applyAlignment="0" applyProtection="0"/>
    <xf numFmtId="0" fontId="28" fillId="16" borderId="41" applyNumberFormat="0" applyFont="0" applyAlignment="0" applyProtection="0"/>
    <xf numFmtId="0" fontId="31" fillId="0" borderId="42" applyNumberFormat="0" applyFill="0" applyAlignment="0" applyProtection="0"/>
    <xf numFmtId="0" fontId="31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17" borderId="0" applyNumberFormat="0" applyBorder="0" applyAlignment="0" applyProtection="0"/>
    <xf numFmtId="0" fontId="33" fillId="17" borderId="0" applyNumberFormat="0" applyBorder="0" applyAlignment="0" applyProtection="0"/>
    <xf numFmtId="0" fontId="28" fillId="0" borderId="0"/>
    <xf numFmtId="0" fontId="38" fillId="19" borderId="43" applyNumberFormat="0" applyAlignment="0" applyProtection="0"/>
    <xf numFmtId="0" fontId="1" fillId="0" borderId="0"/>
    <xf numFmtId="0" fontId="53" fillId="0" borderId="0"/>
    <xf numFmtId="0" fontId="28" fillId="0" borderId="0"/>
    <xf numFmtId="0" fontId="28" fillId="0" borderId="0"/>
    <xf numFmtId="174" fontId="28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37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8" fillId="0" borderId="0" xfId="1" applyFont="1"/>
    <xf numFmtId="0" fontId="1" fillId="0" borderId="0" xfId="1" applyNumberFormat="1"/>
    <xf numFmtId="0" fontId="2" fillId="0" borderId="0" xfId="1" applyNumberFormat="1" applyFont="1"/>
    <xf numFmtId="0" fontId="1" fillId="0" borderId="16" xfId="1" applyBorder="1"/>
    <xf numFmtId="0" fontId="2" fillId="0" borderId="14" xfId="1" applyFont="1" applyBorder="1"/>
    <xf numFmtId="0" fontId="11" fillId="4" borderId="16" xfId="1" applyFont="1" applyFill="1" applyBorder="1" applyAlignment="1">
      <alignment wrapText="1"/>
    </xf>
    <xf numFmtId="0" fontId="2" fillId="0" borderId="14" xfId="1" applyFont="1" applyBorder="1" applyAlignment="1">
      <alignment wrapText="1"/>
    </xf>
    <xf numFmtId="0" fontId="11" fillId="0" borderId="0" xfId="1" applyFont="1" applyAlignment="1">
      <alignment wrapText="1"/>
    </xf>
    <xf numFmtId="0" fontId="11" fillId="3" borderId="0" xfId="1" applyFont="1" applyFill="1" applyAlignment="1">
      <alignment wrapText="1"/>
    </xf>
    <xf numFmtId="166" fontId="2" fillId="3" borderId="14" xfId="1" applyNumberFormat="1" applyFont="1" applyFill="1" applyBorder="1" applyAlignment="1">
      <alignment vertical="center" wrapText="1"/>
    </xf>
    <xf numFmtId="166" fontId="2" fillId="3" borderId="14" xfId="1" applyNumberFormat="1" applyFont="1" applyFill="1" applyBorder="1" applyAlignment="1">
      <alignment vertical="center"/>
    </xf>
    <xf numFmtId="166" fontId="2" fillId="0" borderId="14" xfId="1" applyNumberFormat="1" applyFont="1" applyBorder="1" applyAlignment="1">
      <alignment vertical="center"/>
    </xf>
    <xf numFmtId="166" fontId="2" fillId="0" borderId="14" xfId="1" applyNumberFormat="1" applyFont="1" applyBorder="1" applyAlignment="1">
      <alignment vertical="center" wrapText="1"/>
    </xf>
    <xf numFmtId="166" fontId="11" fillId="4" borderId="14" xfId="1" applyNumberFormat="1" applyFont="1" applyFill="1" applyBorder="1" applyAlignment="1" applyProtection="1">
      <alignment vertical="center" wrapText="1"/>
    </xf>
    <xf numFmtId="166" fontId="11" fillId="4" borderId="30" xfId="1" applyNumberFormat="1" applyFont="1" applyFill="1" applyBorder="1" applyAlignment="1">
      <alignment vertical="center" wrapText="1"/>
    </xf>
    <xf numFmtId="166" fontId="11" fillId="4" borderId="15" xfId="1" applyNumberFormat="1" applyFont="1" applyFill="1" applyBorder="1" applyAlignment="1">
      <alignment vertical="center" wrapText="1"/>
    </xf>
    <xf numFmtId="0" fontId="1" fillId="0" borderId="0" xfId="1" applyAlignment="1">
      <alignment vertical="center"/>
    </xf>
    <xf numFmtId="166" fontId="2" fillId="0" borderId="15" xfId="1" applyNumberFormat="1" applyFont="1" applyBorder="1" applyAlignment="1">
      <alignment vertical="center" wrapText="1"/>
    </xf>
    <xf numFmtId="0" fontId="2" fillId="0" borderId="14" xfId="1" applyFont="1" applyBorder="1" applyAlignment="1">
      <alignment vertical="center"/>
    </xf>
    <xf numFmtId="2" fontId="2" fillId="0" borderId="14" xfId="1" applyNumberFormat="1" applyFont="1" applyBorder="1" applyAlignment="1">
      <alignment vertical="center"/>
    </xf>
    <xf numFmtId="2" fontId="12" fillId="0" borderId="14" xfId="1" applyNumberFormat="1" applyFont="1" applyBorder="1" applyAlignment="1">
      <alignment vertical="center"/>
    </xf>
    <xf numFmtId="0" fontId="2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2" fontId="2" fillId="0" borderId="0" xfId="1" applyNumberFormat="1" applyFont="1" applyAlignment="1">
      <alignment vertical="center"/>
    </xf>
    <xf numFmtId="0" fontId="14" fillId="0" borderId="0" xfId="1" applyFont="1" applyAlignment="1" applyProtection="1">
      <alignment vertical="center"/>
    </xf>
    <xf numFmtId="0" fontId="14" fillId="0" borderId="0" xfId="1" applyFont="1" applyAlignment="1">
      <alignment vertical="center"/>
    </xf>
    <xf numFmtId="0" fontId="15" fillId="0" borderId="0" xfId="1" applyFont="1"/>
    <xf numFmtId="0" fontId="16" fillId="0" borderId="0" xfId="1" applyFont="1"/>
    <xf numFmtId="0" fontId="34" fillId="0" borderId="0" xfId="0" applyFont="1" applyFill="1"/>
    <xf numFmtId="0" fontId="35" fillId="0" borderId="0" xfId="0" applyFont="1" applyFill="1"/>
    <xf numFmtId="2" fontId="11" fillId="18" borderId="16" xfId="1" applyNumberFormat="1" applyFont="1" applyFill="1" applyBorder="1" applyAlignment="1" applyProtection="1">
      <alignment vertical="center" wrapText="1"/>
    </xf>
    <xf numFmtId="0" fontId="11" fillId="4" borderId="0" xfId="1" applyFont="1" applyFill="1" applyAlignment="1">
      <alignment wrapText="1"/>
    </xf>
    <xf numFmtId="2" fontId="11" fillId="4" borderId="16" xfId="1" applyNumberFormat="1" applyFont="1" applyFill="1" applyBorder="1" applyAlignment="1" applyProtection="1">
      <alignment vertical="center" wrapText="1"/>
    </xf>
    <xf numFmtId="166" fontId="2" fillId="4" borderId="14" xfId="1" applyNumberFormat="1" applyFont="1" applyFill="1" applyBorder="1" applyAlignment="1">
      <alignment vertical="center" wrapText="1"/>
    </xf>
    <xf numFmtId="0" fontId="35" fillId="4" borderId="0" xfId="0" applyFont="1" applyFill="1"/>
    <xf numFmtId="0" fontId="28" fillId="0" borderId="0" xfId="88"/>
    <xf numFmtId="0" fontId="28" fillId="0" borderId="0" xfId="88" applyFont="1" applyFill="1"/>
    <xf numFmtId="49" fontId="40" fillId="0" borderId="7" xfId="88" applyNumberFormat="1" applyFont="1" applyFill="1" applyBorder="1" applyAlignment="1">
      <alignment horizontal="left" vertical="center"/>
    </xf>
    <xf numFmtId="0" fontId="39" fillId="0" borderId="0" xfId="88" applyFont="1" applyFill="1" applyAlignment="1">
      <alignment vertical="center"/>
    </xf>
    <xf numFmtId="0" fontId="41" fillId="0" borderId="0" xfId="88" applyFont="1" applyFill="1" applyAlignment="1"/>
    <xf numFmtId="0" fontId="41" fillId="0" borderId="0" xfId="88" applyFont="1" applyFill="1" applyAlignment="1">
      <alignment horizontal="right" vertical="center"/>
    </xf>
    <xf numFmtId="0" fontId="39" fillId="0" borderId="5" xfId="88" quotePrefix="1" applyFont="1" applyFill="1" applyBorder="1" applyAlignment="1">
      <alignment horizontal="center" vertical="center" wrapText="1"/>
    </xf>
    <xf numFmtId="0" fontId="42" fillId="0" borderId="44" xfId="89" applyFont="1" applyFill="1" applyBorder="1" applyAlignment="1">
      <alignment horizontal="center" vertical="center" wrapText="1"/>
    </xf>
    <xf numFmtId="0" fontId="39" fillId="0" borderId="6" xfId="89" applyFont="1" applyFill="1" applyBorder="1" applyAlignment="1">
      <alignment horizontal="center" vertical="center"/>
    </xf>
    <xf numFmtId="0" fontId="41" fillId="0" borderId="14" xfId="88" applyFont="1" applyFill="1" applyBorder="1" applyAlignment="1">
      <alignment horizontal="center" vertical="center" wrapText="1"/>
    </xf>
    <xf numFmtId="167" fontId="28" fillId="0" borderId="14" xfId="88" applyNumberFormat="1" applyFont="1" applyFill="1" applyBorder="1" applyAlignment="1">
      <alignment horizontal="center" vertical="center" shrinkToFit="1"/>
    </xf>
    <xf numFmtId="167" fontId="41" fillId="0" borderId="8" xfId="88" applyNumberFormat="1" applyFont="1" applyFill="1" applyBorder="1" applyAlignment="1">
      <alignment horizontal="center" vertical="center"/>
    </xf>
    <xf numFmtId="0" fontId="41" fillId="0" borderId="9" xfId="88" applyFont="1" applyFill="1" applyBorder="1" applyAlignment="1">
      <alignment horizontal="center" vertical="center"/>
    </xf>
    <xf numFmtId="0" fontId="43" fillId="0" borderId="9" xfId="89" applyFont="1" applyFill="1" applyBorder="1" applyAlignment="1">
      <alignment horizontal="center" vertical="center" wrapText="1"/>
    </xf>
    <xf numFmtId="14" fontId="41" fillId="0" borderId="0" xfId="88" applyNumberFormat="1" applyFont="1" applyFill="1" applyBorder="1" applyAlignment="1">
      <alignment horizontal="center" vertical="center"/>
    </xf>
    <xf numFmtId="0" fontId="41" fillId="0" borderId="0" xfId="88" applyFont="1" applyFill="1" applyBorder="1" applyAlignment="1">
      <alignment horizontal="center" vertical="center"/>
    </xf>
    <xf numFmtId="14" fontId="39" fillId="0" borderId="0" xfId="89" applyNumberFormat="1" applyFont="1" applyFill="1" applyBorder="1" applyAlignment="1">
      <alignment horizontal="center" vertical="center" wrapText="1"/>
    </xf>
    <xf numFmtId="0" fontId="39" fillId="0" borderId="0" xfId="89" applyFont="1" applyFill="1" applyBorder="1" applyAlignment="1">
      <alignment horizontal="center" vertical="center" wrapText="1"/>
    </xf>
    <xf numFmtId="0" fontId="39" fillId="0" borderId="0" xfId="89" applyFont="1" applyFill="1" applyBorder="1" applyAlignment="1">
      <alignment horizontal="center" vertical="center"/>
    </xf>
    <xf numFmtId="0" fontId="28" fillId="0" borderId="0" xfId="88" applyBorder="1"/>
    <xf numFmtId="0" fontId="41" fillId="0" borderId="0" xfId="88" applyFont="1" applyFill="1" applyBorder="1" applyAlignment="1"/>
    <xf numFmtId="0" fontId="41" fillId="0" borderId="0" xfId="88" applyFont="1" applyFill="1" applyBorder="1" applyAlignment="1">
      <alignment horizontal="center"/>
    </xf>
    <xf numFmtId="0" fontId="40" fillId="0" borderId="0" xfId="1" applyFont="1" applyFill="1" applyAlignment="1">
      <alignment horizontal="right"/>
    </xf>
    <xf numFmtId="0" fontId="41" fillId="0" borderId="7" xfId="88" applyFont="1" applyFill="1" applyBorder="1" applyAlignment="1"/>
    <xf numFmtId="168" fontId="45" fillId="0" borderId="0" xfId="1" applyNumberFormat="1" applyFont="1" applyFill="1" applyAlignment="1">
      <alignment horizontal="left" vertical="center"/>
    </xf>
    <xf numFmtId="14" fontId="40" fillId="0" borderId="0" xfId="1" applyNumberFormat="1" applyFont="1" applyFill="1" applyAlignment="1">
      <alignment horizontal="right"/>
    </xf>
    <xf numFmtId="0" fontId="41" fillId="0" borderId="0" xfId="88" quotePrefix="1" applyFont="1" applyFill="1" applyBorder="1" applyAlignment="1">
      <alignment horizontal="left"/>
    </xf>
    <xf numFmtId="0" fontId="41" fillId="0" borderId="46" xfId="88" applyFont="1" applyFill="1" applyBorder="1" applyAlignment="1">
      <alignment horizontal="center" vertical="center"/>
    </xf>
    <xf numFmtId="0" fontId="41" fillId="0" borderId="47" xfId="88" applyFont="1" applyFill="1" applyBorder="1" applyAlignment="1">
      <alignment horizontal="centerContinuous" vertical="center"/>
    </xf>
    <xf numFmtId="0" fontId="41" fillId="0" borderId="50" xfId="88" applyFont="1" applyFill="1" applyBorder="1" applyAlignment="1">
      <alignment horizontal="center" vertical="center" wrapText="1"/>
    </xf>
    <xf numFmtId="0" fontId="41" fillId="0" borderId="51" xfId="88" applyFont="1" applyFill="1" applyBorder="1" applyAlignment="1">
      <alignment horizontal="center" vertical="center" wrapText="1"/>
    </xf>
    <xf numFmtId="0" fontId="41" fillId="0" borderId="52" xfId="88" applyFont="1" applyFill="1" applyBorder="1" applyAlignment="1">
      <alignment horizontal="center" vertical="center" wrapText="1"/>
    </xf>
    <xf numFmtId="0" fontId="28" fillId="0" borderId="0" xfId="88" applyFont="1"/>
    <xf numFmtId="0" fontId="43" fillId="0" borderId="54" xfId="88" applyFont="1" applyFill="1" applyBorder="1" applyAlignment="1">
      <alignment horizontal="center" vertical="center"/>
    </xf>
    <xf numFmtId="0" fontId="43" fillId="0" borderId="55" xfId="88" applyFont="1" applyFill="1" applyBorder="1" applyAlignment="1">
      <alignment horizontal="center" vertical="center"/>
    </xf>
    <xf numFmtId="0" fontId="41" fillId="0" borderId="25" xfId="88" applyFont="1" applyFill="1" applyBorder="1" applyAlignment="1">
      <alignment horizontal="center" vertical="center"/>
    </xf>
    <xf numFmtId="0" fontId="41" fillId="0" borderId="26" xfId="88" applyFont="1" applyFill="1" applyBorder="1" applyAlignment="1">
      <alignment horizontal="left" vertical="center" wrapText="1"/>
    </xf>
    <xf numFmtId="0" fontId="41" fillId="0" borderId="26" xfId="88" applyFont="1" applyFill="1" applyBorder="1" applyAlignment="1">
      <alignment horizontal="center" vertical="center"/>
    </xf>
    <xf numFmtId="169" fontId="46" fillId="0" borderId="56" xfId="88" applyNumberFormat="1" applyFont="1" applyFill="1" applyBorder="1" applyAlignment="1">
      <alignment horizontal="center" vertical="center" shrinkToFit="1"/>
    </xf>
    <xf numFmtId="170" fontId="41" fillId="0" borderId="26" xfId="88" applyNumberFormat="1" applyFont="1" applyFill="1" applyBorder="1" applyAlignment="1">
      <alignment horizontal="center" vertical="center" shrinkToFit="1"/>
    </xf>
    <xf numFmtId="0" fontId="39" fillId="0" borderId="26" xfId="88" applyFont="1" applyFill="1" applyBorder="1" applyAlignment="1">
      <alignment horizontal="center" vertical="center"/>
    </xf>
    <xf numFmtId="0" fontId="28" fillId="0" borderId="0" xfId="88" applyFont="1" applyAlignment="1">
      <alignment horizontal="center" vertical="center"/>
    </xf>
    <xf numFmtId="0" fontId="41" fillId="0" borderId="31" xfId="88" applyFont="1" applyFill="1" applyBorder="1" applyAlignment="1">
      <alignment horizontal="center" vertical="center"/>
    </xf>
    <xf numFmtId="0" fontId="41" fillId="0" borderId="14" xfId="88" applyFont="1" applyFill="1" applyBorder="1" applyAlignment="1">
      <alignment horizontal="left" vertical="center" wrapText="1"/>
    </xf>
    <xf numFmtId="0" fontId="41" fillId="0" borderId="14" xfId="88" applyFont="1" applyFill="1" applyBorder="1" applyAlignment="1">
      <alignment horizontal="center" vertical="center"/>
    </xf>
    <xf numFmtId="171" fontId="46" fillId="0" borderId="56" xfId="88" applyNumberFormat="1" applyFont="1" applyFill="1" applyBorder="1" applyAlignment="1">
      <alignment horizontal="center" vertical="center" shrinkToFit="1"/>
    </xf>
    <xf numFmtId="170" fontId="41" fillId="0" borderId="14" xfId="88" applyNumberFormat="1" applyFont="1" applyFill="1" applyBorder="1" applyAlignment="1">
      <alignment horizontal="center" vertical="center" shrinkToFit="1"/>
    </xf>
    <xf numFmtId="0" fontId="39" fillId="0" borderId="14" xfId="88" applyFont="1" applyFill="1" applyBorder="1" applyAlignment="1">
      <alignment horizontal="center" vertical="center"/>
    </xf>
    <xf numFmtId="0" fontId="41" fillId="0" borderId="14" xfId="88" applyFont="1" applyFill="1" applyBorder="1" applyAlignment="1">
      <alignment horizontal="left" vertical="center" shrinkToFit="1"/>
    </xf>
    <xf numFmtId="0" fontId="46" fillId="0" borderId="14" xfId="88" applyFont="1" applyFill="1" applyBorder="1" applyAlignment="1">
      <alignment horizontal="center" vertical="center"/>
    </xf>
    <xf numFmtId="172" fontId="46" fillId="0" borderId="14" xfId="88" applyNumberFormat="1" applyFont="1" applyFill="1" applyBorder="1" applyAlignment="1">
      <alignment horizontal="center" vertical="center" shrinkToFit="1"/>
    </xf>
    <xf numFmtId="172" fontId="39" fillId="0" borderId="14" xfId="88" applyNumberFormat="1" applyFont="1" applyFill="1" applyBorder="1" applyAlignment="1">
      <alignment horizontal="center" vertical="top" shrinkToFit="1"/>
    </xf>
    <xf numFmtId="0" fontId="41" fillId="0" borderId="14" xfId="88" applyFont="1" applyFill="1" applyBorder="1" applyAlignment="1">
      <alignment horizontal="right" vertical="top" shrinkToFit="1"/>
    </xf>
    <xf numFmtId="0" fontId="47" fillId="0" borderId="0" xfId="88" applyNumberFormat="1" applyFont="1" applyFill="1" applyBorder="1" applyAlignment="1">
      <alignment horizontal="center" vertical="center"/>
    </xf>
    <xf numFmtId="0" fontId="39" fillId="0" borderId="12" xfId="88" applyFont="1" applyFill="1" applyBorder="1" applyAlignment="1">
      <alignment horizontal="center" vertical="center" shrinkToFit="1"/>
    </xf>
    <xf numFmtId="0" fontId="46" fillId="0" borderId="0" xfId="88" applyFont="1" applyFill="1" applyBorder="1" applyAlignment="1">
      <alignment horizontal="center" vertical="center"/>
    </xf>
    <xf numFmtId="0" fontId="46" fillId="0" borderId="0" xfId="88" applyFont="1" applyFill="1" applyBorder="1" applyAlignment="1">
      <alignment horizontal="center" vertical="center" shrinkToFit="1"/>
    </xf>
    <xf numFmtId="170" fontId="39" fillId="0" borderId="0" xfId="88" applyNumberFormat="1" applyFont="1" applyFill="1" applyBorder="1" applyAlignment="1">
      <alignment horizontal="center" vertical="center" shrinkToFit="1"/>
    </xf>
    <xf numFmtId="172" fontId="39" fillId="0" borderId="0" xfId="88" applyNumberFormat="1" applyFont="1" applyFill="1" applyBorder="1" applyAlignment="1">
      <alignment horizontal="left" vertical="center" shrinkToFit="1"/>
    </xf>
    <xf numFmtId="0" fontId="41" fillId="0" borderId="0" xfId="88" applyFont="1" applyFill="1" applyBorder="1" applyAlignment="1">
      <alignment horizontal="right" vertical="top" shrinkToFit="1"/>
    </xf>
    <xf numFmtId="0" fontId="47" fillId="0" borderId="0" xfId="88" applyNumberFormat="1" applyFont="1" applyFill="1" applyBorder="1" applyAlignment="1">
      <alignment horizontal="center" vertical="top"/>
    </xf>
    <xf numFmtId="0" fontId="41" fillId="0" borderId="0" xfId="88" applyFont="1" applyFill="1" applyBorder="1" applyAlignment="1">
      <alignment horizontal="left" vertical="center" shrinkToFit="1"/>
    </xf>
    <xf numFmtId="0" fontId="41" fillId="0" borderId="0" xfId="88" applyFont="1" applyFill="1" applyBorder="1" applyAlignment="1">
      <alignment horizontal="center" vertical="top" shrinkToFit="1"/>
    </xf>
    <xf numFmtId="170" fontId="48" fillId="0" borderId="0" xfId="88" applyNumberFormat="1" applyFont="1" applyFill="1" applyBorder="1" applyAlignment="1">
      <alignment horizontal="center" vertical="center" shrinkToFit="1"/>
    </xf>
    <xf numFmtId="172" fontId="41" fillId="0" borderId="0" xfId="88" applyNumberFormat="1" applyFont="1" applyFill="1" applyBorder="1" applyAlignment="1">
      <alignment horizontal="right" vertical="top" shrinkToFit="1"/>
    </xf>
    <xf numFmtId="0" fontId="49" fillId="0" borderId="0" xfId="88" applyNumberFormat="1" applyFont="1" applyBorder="1" applyAlignment="1">
      <alignment horizontal="center" vertical="top"/>
    </xf>
    <xf numFmtId="0" fontId="41" fillId="0" borderId="0" xfId="88" applyFont="1" applyBorder="1" applyAlignment="1">
      <alignment horizontal="left" vertical="center" shrinkToFit="1"/>
    </xf>
    <xf numFmtId="0" fontId="41" fillId="0" borderId="0" xfId="88" applyFont="1" applyBorder="1" applyAlignment="1">
      <alignment horizontal="center" vertical="top" shrinkToFit="1"/>
    </xf>
    <xf numFmtId="0" fontId="41" fillId="0" borderId="0" xfId="88" quotePrefix="1" applyFont="1" applyAlignment="1">
      <alignment horizontal="left"/>
    </xf>
    <xf numFmtId="170" fontId="50" fillId="0" borderId="0" xfId="88" applyNumberFormat="1" applyFont="1" applyBorder="1" applyAlignment="1">
      <alignment horizontal="center" vertical="center" shrinkToFit="1"/>
    </xf>
    <xf numFmtId="0" fontId="41" fillId="0" borderId="0" xfId="88" applyFont="1" applyBorder="1" applyAlignment="1">
      <alignment horizontal="right" vertical="top" shrinkToFit="1"/>
    </xf>
    <xf numFmtId="0" fontId="39" fillId="0" borderId="0" xfId="88" applyFont="1" applyBorder="1" applyAlignment="1">
      <alignment horizontal="left" vertical="center" shrinkToFit="1"/>
    </xf>
    <xf numFmtId="14" fontId="39" fillId="0" borderId="0" xfId="88" applyNumberFormat="1" applyFont="1" applyAlignment="1">
      <alignment horizontal="right"/>
    </xf>
    <xf numFmtId="0" fontId="41" fillId="0" borderId="0" xfId="88" applyFont="1" applyBorder="1" applyAlignment="1">
      <alignment vertical="top"/>
    </xf>
    <xf numFmtId="0" fontId="41" fillId="0" borderId="0" xfId="88" applyFont="1" applyAlignment="1">
      <alignment horizontal="right" vertical="top"/>
    </xf>
    <xf numFmtId="0" fontId="28" fillId="0" borderId="7" xfId="88" applyBorder="1"/>
    <xf numFmtId="173" fontId="51" fillId="0" borderId="7" xfId="1" applyNumberFormat="1" applyFont="1" applyFill="1" applyBorder="1" applyAlignment="1">
      <alignment horizontal="left"/>
    </xf>
    <xf numFmtId="0" fontId="52" fillId="20" borderId="7" xfId="1" applyFont="1" applyFill="1" applyBorder="1" applyAlignment="1"/>
    <xf numFmtId="0" fontId="52" fillId="20" borderId="0" xfId="1" applyFont="1" applyFill="1" applyBorder="1" applyAlignment="1"/>
    <xf numFmtId="0" fontId="49" fillId="0" borderId="0" xfId="88" applyNumberFormat="1" applyFont="1" applyAlignment="1">
      <alignment horizontal="center" vertical="top"/>
    </xf>
    <xf numFmtId="0" fontId="46" fillId="0" borderId="12" xfId="88" applyFont="1" applyBorder="1" applyAlignment="1">
      <alignment horizontal="center" vertical="top"/>
    </xf>
    <xf numFmtId="0" fontId="46" fillId="0" borderId="0" xfId="88" applyFont="1" applyBorder="1" applyAlignment="1">
      <alignment vertical="top"/>
    </xf>
    <xf numFmtId="0" fontId="49" fillId="0" borderId="0" xfId="88" applyNumberFormat="1" applyFont="1" applyAlignment="1">
      <alignment horizontal="center"/>
    </xf>
    <xf numFmtId="0" fontId="41" fillId="0" borderId="0" xfId="88" applyFont="1" applyAlignment="1"/>
    <xf numFmtId="0" fontId="41" fillId="0" borderId="0" xfId="88" applyFont="1" applyBorder="1" applyAlignment="1">
      <alignment horizontal="right" vertical="top"/>
    </xf>
    <xf numFmtId="0" fontId="41" fillId="0" borderId="7" xfId="88" applyFont="1" applyBorder="1" applyAlignment="1"/>
    <xf numFmtId="0" fontId="10" fillId="0" borderId="16" xfId="1" applyFont="1" applyBorder="1" applyAlignment="1">
      <alignment horizontal="center" vertical="center" wrapText="1"/>
    </xf>
    <xf numFmtId="0" fontId="2" fillId="0" borderId="14" xfId="1" applyFont="1" applyBorder="1" applyAlignment="1">
      <alignment horizontal="center" vertical="center" wrapText="1"/>
    </xf>
    <xf numFmtId="175" fontId="40" fillId="18" borderId="14" xfId="0" applyNumberFormat="1" applyFont="1" applyFill="1" applyBorder="1" applyAlignment="1">
      <alignment horizontal="right" vertical="center" shrinkToFit="1"/>
    </xf>
    <xf numFmtId="0" fontId="11" fillId="0" borderId="0" xfId="1" applyFont="1"/>
    <xf numFmtId="0" fontId="11" fillId="0" borderId="0" xfId="1" applyFont="1" applyAlignment="1">
      <alignment horizontal="right"/>
    </xf>
    <xf numFmtId="0" fontId="58" fillId="0" borderId="0" xfId="1" applyFont="1" applyAlignment="1"/>
    <xf numFmtId="0" fontId="58" fillId="0" borderId="0" xfId="1" applyFont="1" applyAlignment="1">
      <alignment horizontal="center"/>
    </xf>
    <xf numFmtId="14" fontId="58" fillId="18" borderId="0" xfId="1" applyNumberFormat="1" applyFont="1" applyFill="1" applyAlignment="1"/>
    <xf numFmtId="0" fontId="58" fillId="0" borderId="1" xfId="1" applyFont="1" applyBorder="1" applyAlignment="1"/>
    <xf numFmtId="0" fontId="59" fillId="0" borderId="0" xfId="1" applyFont="1"/>
    <xf numFmtId="0" fontId="11" fillId="3" borderId="12" xfId="1" applyNumberFormat="1" applyFont="1" applyFill="1" applyBorder="1" applyAlignment="1"/>
    <xf numFmtId="0" fontId="11" fillId="0" borderId="0" xfId="1" applyNumberFormat="1" applyFont="1"/>
    <xf numFmtId="0" fontId="61" fillId="3" borderId="12" xfId="1" applyNumberFormat="1" applyFont="1" applyFill="1" applyBorder="1" applyAlignment="1"/>
    <xf numFmtId="49" fontId="61" fillId="3" borderId="0" xfId="1" applyNumberFormat="1" applyFont="1" applyFill="1" applyAlignment="1"/>
    <xf numFmtId="0" fontId="3" fillId="0" borderId="0" xfId="1" applyFont="1" applyAlignment="1">
      <alignment vertical="center"/>
    </xf>
    <xf numFmtId="166" fontId="35" fillId="0" borderId="0" xfId="0" applyNumberFormat="1" applyFont="1" applyFill="1"/>
    <xf numFmtId="0" fontId="2" fillId="0" borderId="0" xfId="1" applyFont="1" applyAlignment="1">
      <alignment horizontal="center" vertical="center"/>
    </xf>
    <xf numFmtId="0" fontId="39" fillId="0" borderId="32" xfId="89" applyFont="1" applyFill="1" applyBorder="1" applyAlignment="1">
      <alignment horizontal="center" vertical="center" wrapText="1"/>
    </xf>
    <xf numFmtId="0" fontId="39" fillId="0" borderId="10" xfId="89" applyFont="1" applyFill="1" applyBorder="1" applyAlignment="1">
      <alignment horizontal="center" vertical="center" wrapText="1"/>
    </xf>
    <xf numFmtId="14" fontId="39" fillId="0" borderId="9" xfId="89" applyNumberFormat="1" applyFont="1" applyFill="1" applyBorder="1" applyAlignment="1">
      <alignment horizontal="center" vertical="center" wrapText="1"/>
    </xf>
    <xf numFmtId="0" fontId="44" fillId="0" borderId="0" xfId="88" applyFont="1" applyBorder="1" applyAlignment="1">
      <alignment horizontal="center" vertical="top"/>
    </xf>
    <xf numFmtId="0" fontId="39" fillId="0" borderId="0" xfId="88" quotePrefix="1" applyFont="1" applyFill="1" applyAlignment="1">
      <alignment horizontal="right" vertical="center"/>
    </xf>
    <xf numFmtId="0" fontId="39" fillId="0" borderId="0" xfId="88" applyFont="1" applyFill="1" applyAlignment="1">
      <alignment horizontal="right" vertical="center"/>
    </xf>
    <xf numFmtId="0" fontId="41" fillId="0" borderId="4" xfId="88" quotePrefix="1" applyFont="1" applyFill="1" applyBorder="1" applyAlignment="1">
      <alignment horizontal="center" vertical="center" wrapText="1"/>
    </xf>
    <xf numFmtId="0" fontId="41" fillId="0" borderId="31" xfId="88" quotePrefix="1" applyFont="1" applyFill="1" applyBorder="1" applyAlignment="1">
      <alignment horizontal="center" vertical="center" wrapText="1"/>
    </xf>
    <xf numFmtId="49" fontId="39" fillId="0" borderId="5" xfId="89" applyNumberFormat="1" applyFont="1" applyFill="1" applyBorder="1" applyAlignment="1">
      <alignment horizontal="center" vertical="center"/>
    </xf>
    <xf numFmtId="0" fontId="39" fillId="0" borderId="5" xfId="89" applyFont="1" applyFill="1" applyBorder="1" applyAlignment="1">
      <alignment horizontal="center" vertical="center"/>
    </xf>
    <xf numFmtId="0" fontId="39" fillId="0" borderId="30" xfId="89" quotePrefix="1" applyFont="1" applyFill="1" applyBorder="1" applyAlignment="1">
      <alignment horizontal="center" vertical="center" wrapText="1"/>
    </xf>
    <xf numFmtId="0" fontId="39" fillId="0" borderId="15" xfId="89" quotePrefix="1" applyFont="1" applyFill="1" applyBorder="1" applyAlignment="1">
      <alignment horizontal="center" vertical="center" wrapText="1"/>
    </xf>
    <xf numFmtId="0" fontId="39" fillId="0" borderId="16" xfId="89" quotePrefix="1" applyFont="1" applyFill="1" applyBorder="1" applyAlignment="1">
      <alignment horizontal="center" vertical="center" wrapText="1"/>
    </xf>
    <xf numFmtId="49" fontId="44" fillId="0" borderId="7" xfId="88" applyNumberFormat="1" applyFont="1" applyFill="1" applyBorder="1" applyAlignment="1">
      <alignment horizontal="center"/>
    </xf>
    <xf numFmtId="0" fontId="41" fillId="0" borderId="45" xfId="88" applyFont="1" applyFill="1" applyBorder="1" applyAlignment="1">
      <alignment horizontal="center" vertical="center" wrapText="1"/>
    </xf>
    <xf numFmtId="0" fontId="41" fillId="0" borderId="49" xfId="88" applyFont="1" applyFill="1" applyBorder="1" applyAlignment="1">
      <alignment horizontal="center" vertical="center" wrapText="1"/>
    </xf>
    <xf numFmtId="0" fontId="41" fillId="0" borderId="5" xfId="88" applyFont="1" applyFill="1" applyBorder="1" applyAlignment="1">
      <alignment horizontal="center" vertical="center" wrapText="1"/>
    </xf>
    <xf numFmtId="0" fontId="41" fillId="0" borderId="9" xfId="88" applyFont="1" applyFill="1" applyBorder="1" applyAlignment="1">
      <alignment horizontal="center" vertical="center" wrapText="1"/>
    </xf>
    <xf numFmtId="0" fontId="41" fillId="0" borderId="5" xfId="88" quotePrefix="1" applyFont="1" applyFill="1" applyBorder="1" applyAlignment="1">
      <alignment horizontal="center" vertical="center" wrapText="1"/>
    </xf>
    <xf numFmtId="0" fontId="41" fillId="0" borderId="9" xfId="88" quotePrefix="1" applyFont="1" applyFill="1" applyBorder="1" applyAlignment="1">
      <alignment horizontal="center" vertical="center" wrapText="1"/>
    </xf>
    <xf numFmtId="0" fontId="41" fillId="0" borderId="48" xfId="88" applyFont="1" applyFill="1" applyBorder="1" applyAlignment="1">
      <alignment horizontal="center" vertical="center"/>
    </xf>
    <xf numFmtId="0" fontId="41" fillId="0" borderId="53" xfId="88" applyFont="1" applyFill="1" applyBorder="1" applyAlignment="1">
      <alignment horizontal="center" vertical="center"/>
    </xf>
    <xf numFmtId="0" fontId="46" fillId="0" borderId="12" xfId="88" applyFont="1" applyBorder="1" applyAlignment="1">
      <alignment horizontal="center" vertical="top"/>
    </xf>
    <xf numFmtId="49" fontId="6" fillId="18" borderId="14" xfId="1" applyNumberFormat="1" applyFont="1" applyFill="1" applyBorder="1" applyAlignment="1">
      <alignment horizontal="center" vertical="center" wrapText="1"/>
    </xf>
    <xf numFmtId="0" fontId="2" fillId="0" borderId="14" xfId="1" applyFont="1" applyBorder="1" applyAlignment="1">
      <alignment horizontal="center" vertical="center" wrapText="1"/>
    </xf>
    <xf numFmtId="0" fontId="6" fillId="18" borderId="30" xfId="1" applyFont="1" applyFill="1" applyBorder="1" applyAlignment="1">
      <alignment horizontal="center" vertical="center" wrapText="1"/>
    </xf>
    <xf numFmtId="0" fontId="6" fillId="18" borderId="15" xfId="1" applyFont="1" applyFill="1" applyBorder="1" applyAlignment="1">
      <alignment horizontal="center" vertical="center" wrapText="1"/>
    </xf>
    <xf numFmtId="0" fontId="6" fillId="18" borderId="16" xfId="1" applyFont="1" applyFill="1" applyBorder="1" applyAlignment="1">
      <alignment horizontal="center" vertical="center" wrapText="1"/>
    </xf>
    <xf numFmtId="0" fontId="7" fillId="18" borderId="30" xfId="1" applyFont="1" applyFill="1" applyBorder="1" applyAlignment="1">
      <alignment horizontal="center" vertical="center" wrapText="1"/>
    </xf>
    <xf numFmtId="0" fontId="7" fillId="18" borderId="15" xfId="1" applyFont="1" applyFill="1" applyBorder="1" applyAlignment="1">
      <alignment horizontal="center" vertical="center" wrapText="1"/>
    </xf>
    <xf numFmtId="0" fontId="7" fillId="18" borderId="16" xfId="1" applyFont="1" applyFill="1" applyBorder="1" applyAlignment="1">
      <alignment horizontal="center" vertical="center" wrapText="1"/>
    </xf>
    <xf numFmtId="0" fontId="7" fillId="18" borderId="14" xfId="1" applyFont="1" applyFill="1" applyBorder="1" applyAlignment="1">
      <alignment horizontal="center" vertical="center" wrapText="1"/>
    </xf>
    <xf numFmtId="0" fontId="1" fillId="18" borderId="33" xfId="1" applyFill="1" applyBorder="1" applyAlignment="1">
      <alignment horizontal="center" wrapText="1"/>
    </xf>
    <xf numFmtId="0" fontId="11" fillId="3" borderId="25" xfId="1" applyFont="1" applyFill="1" applyBorder="1" applyAlignment="1">
      <alignment horizontal="center" vertical="top" wrapText="1"/>
    </xf>
    <xf numFmtId="0" fontId="11" fillId="3" borderId="26" xfId="1" applyFont="1" applyFill="1" applyBorder="1" applyAlignment="1">
      <alignment horizontal="center" vertical="top" wrapText="1"/>
    </xf>
    <xf numFmtId="0" fontId="11" fillId="3" borderId="26" xfId="1" applyFont="1" applyFill="1" applyBorder="1" applyAlignment="1">
      <alignment horizontal="center" vertical="center" wrapText="1"/>
    </xf>
    <xf numFmtId="0" fontId="11" fillId="3" borderId="17" xfId="1" applyFont="1" applyFill="1" applyBorder="1" applyAlignment="1">
      <alignment horizontal="center" vertical="center" wrapText="1"/>
    </xf>
    <xf numFmtId="0" fontId="56" fillId="3" borderId="26" xfId="1" applyFont="1" applyFill="1" applyBorder="1" applyAlignment="1">
      <alignment horizontal="center" vertical="center" wrapText="1"/>
    </xf>
    <xf numFmtId="0" fontId="56" fillId="3" borderId="29" xfId="1" applyFont="1" applyFill="1" applyBorder="1" applyAlignment="1">
      <alignment horizontal="center" vertical="center" wrapText="1"/>
    </xf>
    <xf numFmtId="0" fontId="11" fillId="3" borderId="30" xfId="1" applyFont="1" applyFill="1" applyBorder="1" applyAlignment="1">
      <alignment horizontal="center" vertical="center" wrapText="1"/>
    </xf>
    <xf numFmtId="0" fontId="11" fillId="3" borderId="15" xfId="1" applyFont="1" applyFill="1" applyBorder="1" applyAlignment="1">
      <alignment horizontal="center" vertical="center" wrapText="1"/>
    </xf>
    <xf numFmtId="0" fontId="11" fillId="3" borderId="28" xfId="1" applyFont="1" applyFill="1" applyBorder="1" applyAlignment="1">
      <alignment horizontal="center" vertical="center" wrapText="1"/>
    </xf>
    <xf numFmtId="0" fontId="14" fillId="3" borderId="26" xfId="1" applyFont="1" applyFill="1" applyBorder="1" applyAlignment="1">
      <alignment horizontal="center" vertical="center" wrapText="1"/>
    </xf>
    <xf numFmtId="0" fontId="14" fillId="3" borderId="29" xfId="1" applyFont="1" applyFill="1" applyBorder="1" applyAlignment="1">
      <alignment horizontal="center" vertical="center" wrapText="1"/>
    </xf>
    <xf numFmtId="0" fontId="14" fillId="3" borderId="30" xfId="1" applyFont="1" applyFill="1" applyBorder="1" applyAlignment="1">
      <alignment horizontal="center" vertical="center" wrapText="1"/>
    </xf>
    <xf numFmtId="0" fontId="14" fillId="3" borderId="28" xfId="1" applyFont="1" applyFill="1" applyBorder="1" applyAlignment="1">
      <alignment horizontal="center" vertical="center" wrapText="1"/>
    </xf>
    <xf numFmtId="0" fontId="11" fillId="3" borderId="16" xfId="1" applyFont="1" applyFill="1" applyBorder="1" applyAlignment="1">
      <alignment horizontal="center" vertical="center" wrapText="1"/>
    </xf>
    <xf numFmtId="165" fontId="56" fillId="3" borderId="30" xfId="1" applyNumberFormat="1" applyFont="1" applyFill="1" applyBorder="1" applyAlignment="1">
      <alignment horizontal="center" vertical="center" wrapText="1"/>
    </xf>
    <xf numFmtId="165" fontId="56" fillId="3" borderId="16" xfId="1" applyNumberFormat="1" applyFont="1" applyFill="1" applyBorder="1" applyAlignment="1">
      <alignment horizontal="center" vertical="center" wrapText="1"/>
    </xf>
    <xf numFmtId="0" fontId="34" fillId="0" borderId="30" xfId="0" applyFont="1" applyFill="1" applyBorder="1" applyAlignment="1">
      <alignment horizontal="left"/>
    </xf>
    <xf numFmtId="0" fontId="34" fillId="0" borderId="15" xfId="0" applyFont="1" applyFill="1" applyBorder="1" applyAlignment="1">
      <alignment horizontal="left"/>
    </xf>
    <xf numFmtId="0" fontId="34" fillId="0" borderId="16" xfId="0" applyFont="1" applyFill="1" applyBorder="1" applyAlignment="1">
      <alignment horizontal="left"/>
    </xf>
    <xf numFmtId="0" fontId="14" fillId="3" borderId="18" xfId="1" applyFont="1" applyFill="1" applyBorder="1" applyAlignment="1" applyProtection="1">
      <alignment horizontal="center" vertical="center" wrapText="1"/>
    </xf>
    <xf numFmtId="0" fontId="14" fillId="3" borderId="26" xfId="1" applyFont="1" applyFill="1" applyBorder="1" applyAlignment="1" applyProtection="1">
      <alignment horizontal="center" vertical="center" wrapText="1"/>
    </xf>
    <xf numFmtId="165" fontId="14" fillId="3" borderId="30" xfId="1" applyNumberFormat="1" applyFont="1" applyFill="1" applyBorder="1" applyAlignment="1">
      <alignment horizontal="center" vertical="center" wrapText="1"/>
    </xf>
    <xf numFmtId="165" fontId="14" fillId="3" borderId="16" xfId="1" applyNumberFormat="1" applyFont="1" applyFill="1" applyBorder="1" applyAlignment="1">
      <alignment horizontal="center" vertical="center" wrapText="1"/>
    </xf>
    <xf numFmtId="0" fontId="63" fillId="3" borderId="18" xfId="1" applyFont="1" applyFill="1" applyBorder="1" applyAlignment="1">
      <alignment horizontal="center" vertical="center" wrapText="1"/>
    </xf>
    <xf numFmtId="0" fontId="63" fillId="3" borderId="26" xfId="1" applyFont="1" applyFill="1" applyBorder="1" applyAlignment="1">
      <alignment horizontal="center" vertical="center" wrapText="1"/>
    </xf>
    <xf numFmtId="165" fontId="63" fillId="3" borderId="30" xfId="1" applyNumberFormat="1" applyFont="1" applyFill="1" applyBorder="1" applyAlignment="1">
      <alignment horizontal="center" vertical="center" wrapText="1"/>
    </xf>
    <xf numFmtId="165" fontId="63" fillId="3" borderId="16" xfId="1" applyNumberFormat="1" applyFont="1" applyFill="1" applyBorder="1" applyAlignment="1">
      <alignment horizontal="center" vertical="center" wrapText="1"/>
    </xf>
    <xf numFmtId="0" fontId="63" fillId="3" borderId="29" xfId="1" applyFont="1" applyFill="1" applyBorder="1" applyAlignment="1">
      <alignment horizontal="center" vertical="center" wrapText="1"/>
    </xf>
    <xf numFmtId="0" fontId="56" fillId="3" borderId="17" xfId="1" applyFont="1" applyFill="1" applyBorder="1" applyAlignment="1">
      <alignment horizontal="center" vertical="center" wrapText="1"/>
    </xf>
    <xf numFmtId="0" fontId="62" fillId="0" borderId="30" xfId="0" applyFont="1" applyFill="1" applyBorder="1" applyAlignment="1">
      <alignment horizontal="left"/>
    </xf>
    <xf numFmtId="0" fontId="62" fillId="0" borderId="15" xfId="0" applyFont="1" applyFill="1" applyBorder="1" applyAlignment="1">
      <alignment horizontal="left"/>
    </xf>
    <xf numFmtId="0" fontId="62" fillId="0" borderId="16" xfId="0" applyFont="1" applyFill="1" applyBorder="1" applyAlignment="1">
      <alignment horizontal="left"/>
    </xf>
    <xf numFmtId="0" fontId="11" fillId="4" borderId="30" xfId="1" applyFont="1" applyFill="1" applyBorder="1" applyAlignment="1">
      <alignment horizontal="center" vertical="center" wrapText="1"/>
    </xf>
    <xf numFmtId="0" fontId="11" fillId="4" borderId="15" xfId="1" applyFont="1" applyFill="1" applyBorder="1" applyAlignment="1">
      <alignment horizontal="center" vertical="center" wrapText="1"/>
    </xf>
    <xf numFmtId="0" fontId="11" fillId="4" borderId="28" xfId="1" applyFont="1" applyFill="1" applyBorder="1" applyAlignment="1">
      <alignment horizontal="center" vertical="center" wrapText="1"/>
    </xf>
    <xf numFmtId="0" fontId="11" fillId="0" borderId="27" xfId="1" applyFont="1" applyBorder="1" applyAlignment="1">
      <alignment horizontal="center" vertical="top" wrapText="1"/>
    </xf>
    <xf numFmtId="0" fontId="11" fillId="0" borderId="15" xfId="1" applyFont="1" applyBorder="1" applyAlignment="1">
      <alignment horizontal="center" vertical="top" wrapText="1"/>
    </xf>
    <xf numFmtId="0" fontId="11" fillId="0" borderId="16" xfId="1" applyFont="1" applyBorder="1" applyAlignment="1">
      <alignment horizontal="center" vertical="top" wrapText="1"/>
    </xf>
    <xf numFmtId="0" fontId="11" fillId="0" borderId="30" xfId="1" applyFont="1" applyBorder="1" applyAlignment="1">
      <alignment horizontal="center" vertical="center" wrapText="1"/>
    </xf>
    <xf numFmtId="0" fontId="11" fillId="0" borderId="15" xfId="1" applyFont="1" applyBorder="1" applyAlignment="1">
      <alignment horizontal="center" vertical="center" wrapText="1"/>
    </xf>
    <xf numFmtId="0" fontId="14" fillId="0" borderId="27" xfId="1" applyFont="1" applyBorder="1" applyAlignment="1">
      <alignment horizontal="left" vertical="center" wrapText="1"/>
    </xf>
    <xf numFmtId="0" fontId="14" fillId="0" borderId="15" xfId="1" applyFont="1" applyBorder="1" applyAlignment="1">
      <alignment horizontal="left" vertical="center" wrapText="1"/>
    </xf>
    <xf numFmtId="0" fontId="14" fillId="0" borderId="28" xfId="1" applyFont="1" applyBorder="1" applyAlignment="1">
      <alignment horizontal="left" vertical="center" wrapText="1"/>
    </xf>
    <xf numFmtId="0" fontId="14" fillId="0" borderId="15" xfId="1" applyFont="1" applyBorder="1" applyAlignment="1" applyProtection="1">
      <alignment horizontal="center" vertical="center" wrapText="1"/>
    </xf>
    <xf numFmtId="0" fontId="14" fillId="0" borderId="16" xfId="1" applyFont="1" applyBorder="1" applyAlignment="1" applyProtection="1">
      <alignment horizontal="center" vertical="center" wrapText="1"/>
    </xf>
    <xf numFmtId="0" fontId="14" fillId="0" borderId="30" xfId="1" applyFont="1" applyBorder="1" applyAlignment="1">
      <alignment horizontal="center" vertical="center" wrapText="1"/>
    </xf>
    <xf numFmtId="0" fontId="14" fillId="0" borderId="28" xfId="1" applyFont="1" applyBorder="1" applyAlignment="1">
      <alignment horizontal="center" vertical="center" wrapText="1"/>
    </xf>
    <xf numFmtId="0" fontId="14" fillId="0" borderId="27" xfId="1" applyFont="1" applyBorder="1" applyAlignment="1">
      <alignment horizontal="center" vertical="center" wrapText="1"/>
    </xf>
    <xf numFmtId="0" fontId="14" fillId="0" borderId="15" xfId="1" applyFont="1" applyBorder="1" applyAlignment="1">
      <alignment horizontal="center" vertical="center" wrapText="1"/>
    </xf>
    <xf numFmtId="0" fontId="14" fillId="0" borderId="16" xfId="1" applyFont="1" applyBorder="1" applyAlignment="1">
      <alignment horizontal="center" vertical="center" wrapText="1"/>
    </xf>
    <xf numFmtId="0" fontId="11" fillId="0" borderId="16" xfId="1" applyFont="1" applyBorder="1" applyAlignment="1">
      <alignment horizontal="center" vertical="center" wrapText="1"/>
    </xf>
    <xf numFmtId="0" fontId="14" fillId="0" borderId="14" xfId="1" applyFont="1" applyBorder="1" applyAlignment="1" applyProtection="1">
      <alignment horizontal="center" vertical="center" wrapText="1"/>
    </xf>
    <xf numFmtId="0" fontId="14" fillId="0" borderId="2" xfId="1" applyFont="1" applyBorder="1" applyAlignment="1">
      <alignment horizontal="center" vertical="center" wrapText="1"/>
    </xf>
    <xf numFmtId="0" fontId="14" fillId="0" borderId="20" xfId="1" applyFont="1" applyBorder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1" fillId="4" borderId="31" xfId="1" applyFont="1" applyFill="1" applyBorder="1" applyAlignment="1">
      <alignment horizontal="center" vertical="top" wrapText="1"/>
    </xf>
    <xf numFmtId="0" fontId="11" fillId="4" borderId="14" xfId="1" applyFont="1" applyFill="1" applyBorder="1" applyAlignment="1">
      <alignment horizontal="center" vertical="top" wrapText="1"/>
    </xf>
    <xf numFmtId="0" fontId="11" fillId="4" borderId="14" xfId="1" applyFont="1" applyFill="1" applyBorder="1" applyAlignment="1">
      <alignment horizontal="center" vertical="center" wrapText="1"/>
    </xf>
    <xf numFmtId="0" fontId="11" fillId="4" borderId="32" xfId="1" applyFont="1" applyFill="1" applyBorder="1" applyAlignment="1">
      <alignment horizontal="center" vertical="center" wrapText="1"/>
    </xf>
    <xf numFmtId="0" fontId="14" fillId="4" borderId="27" xfId="1" applyFont="1" applyFill="1" applyBorder="1" applyAlignment="1">
      <alignment horizontal="left" vertical="center" wrapText="1"/>
    </xf>
    <xf numFmtId="0" fontId="14" fillId="4" borderId="15" xfId="1" applyFont="1" applyFill="1" applyBorder="1" applyAlignment="1">
      <alignment horizontal="left" vertical="center" wrapText="1"/>
    </xf>
    <xf numFmtId="0" fontId="14" fillId="4" borderId="28" xfId="1" applyFont="1" applyFill="1" applyBorder="1" applyAlignment="1">
      <alignment horizontal="left" vertical="center" wrapText="1"/>
    </xf>
    <xf numFmtId="0" fontId="14" fillId="4" borderId="15" xfId="1" applyFont="1" applyFill="1" applyBorder="1" applyAlignment="1" applyProtection="1">
      <alignment horizontal="center" vertical="center" wrapText="1"/>
    </xf>
    <xf numFmtId="0" fontId="14" fillId="4" borderId="16" xfId="1" applyFont="1" applyFill="1" applyBorder="1" applyAlignment="1" applyProtection="1">
      <alignment horizontal="center" vertical="center" wrapText="1"/>
    </xf>
    <xf numFmtId="0" fontId="14" fillId="4" borderId="30" xfId="1" applyFont="1" applyFill="1" applyBorder="1" applyAlignment="1">
      <alignment horizontal="center" vertical="center" wrapText="1"/>
    </xf>
    <xf numFmtId="0" fontId="14" fillId="4" borderId="28" xfId="1" applyFont="1" applyFill="1" applyBorder="1" applyAlignment="1">
      <alignment horizontal="center" vertical="center" wrapText="1"/>
    </xf>
    <xf numFmtId="0" fontId="14" fillId="4" borderId="27" xfId="1" applyFont="1" applyFill="1" applyBorder="1" applyAlignment="1">
      <alignment horizontal="center" vertical="center" wrapText="1"/>
    </xf>
    <xf numFmtId="0" fontId="14" fillId="4" borderId="15" xfId="1" applyFont="1" applyFill="1" applyBorder="1" applyAlignment="1">
      <alignment horizontal="center" vertical="center" wrapText="1"/>
    </xf>
    <xf numFmtId="0" fontId="14" fillId="4" borderId="16" xfId="1" applyFont="1" applyFill="1" applyBorder="1" applyAlignment="1">
      <alignment horizontal="center" vertical="center" wrapText="1"/>
    </xf>
    <xf numFmtId="0" fontId="37" fillId="4" borderId="30" xfId="1" applyNumberFormat="1" applyFont="1" applyFill="1" applyBorder="1" applyAlignment="1">
      <alignment horizontal="center" vertical="center" wrapText="1"/>
    </xf>
    <xf numFmtId="0" fontId="37" fillId="4" borderId="16" xfId="1" applyNumberFormat="1" applyFont="1" applyFill="1" applyBorder="1" applyAlignment="1">
      <alignment horizontal="center" vertical="center" wrapText="1"/>
    </xf>
    <xf numFmtId="165" fontId="14" fillId="4" borderId="30" xfId="1" applyNumberFormat="1" applyFont="1" applyFill="1" applyBorder="1" applyAlignment="1">
      <alignment horizontal="center" vertical="center" wrapText="1"/>
    </xf>
    <xf numFmtId="165" fontId="14" fillId="4" borderId="16" xfId="1" applyNumberFormat="1" applyFont="1" applyFill="1" applyBorder="1" applyAlignment="1">
      <alignment horizontal="center" vertical="center" wrapText="1"/>
    </xf>
    <xf numFmtId="0" fontId="11" fillId="4" borderId="16" xfId="1" applyFont="1" applyFill="1" applyBorder="1" applyAlignment="1">
      <alignment horizontal="center" vertical="center" wrapText="1"/>
    </xf>
    <xf numFmtId="0" fontId="56" fillId="4" borderId="14" xfId="1" applyFont="1" applyFill="1" applyBorder="1" applyAlignment="1">
      <alignment horizontal="center" vertical="center" wrapText="1"/>
    </xf>
    <xf numFmtId="0" fontId="56" fillId="4" borderId="32" xfId="1" applyFont="1" applyFill="1" applyBorder="1" applyAlignment="1">
      <alignment horizontal="center" vertical="center" wrapText="1"/>
    </xf>
    <xf numFmtId="0" fontId="56" fillId="4" borderId="27" xfId="1" applyFont="1" applyFill="1" applyBorder="1" applyAlignment="1">
      <alignment horizontal="left" vertical="center" wrapText="1"/>
    </xf>
    <xf numFmtId="0" fontId="56" fillId="4" borderId="15" xfId="1" applyFont="1" applyFill="1" applyBorder="1" applyAlignment="1">
      <alignment horizontal="left" vertical="center" wrapText="1"/>
    </xf>
    <xf numFmtId="0" fontId="56" fillId="4" borderId="28" xfId="1" applyFont="1" applyFill="1" applyBorder="1" applyAlignment="1">
      <alignment horizontal="left" vertical="center" wrapText="1"/>
    </xf>
    <xf numFmtId="0" fontId="56" fillId="4" borderId="15" xfId="1" applyFont="1" applyFill="1" applyBorder="1" applyAlignment="1" applyProtection="1">
      <alignment horizontal="center" vertical="center" wrapText="1"/>
    </xf>
    <xf numFmtId="0" fontId="56" fillId="4" borderId="16" xfId="1" applyFont="1" applyFill="1" applyBorder="1" applyAlignment="1" applyProtection="1">
      <alignment horizontal="center" vertical="center" wrapText="1"/>
    </xf>
    <xf numFmtId="0" fontId="56" fillId="4" borderId="30" xfId="1" applyFont="1" applyFill="1" applyBorder="1" applyAlignment="1">
      <alignment horizontal="center" vertical="center" wrapText="1"/>
    </xf>
    <xf numFmtId="0" fontId="56" fillId="4" borderId="28" xfId="1" applyFont="1" applyFill="1" applyBorder="1" applyAlignment="1">
      <alignment horizontal="center" vertical="center" wrapText="1"/>
    </xf>
    <xf numFmtId="0" fontId="56" fillId="4" borderId="27" xfId="1" applyFont="1" applyFill="1" applyBorder="1" applyAlignment="1">
      <alignment horizontal="center" vertical="center" wrapText="1"/>
    </xf>
    <xf numFmtId="0" fontId="56" fillId="4" borderId="15" xfId="1" applyFont="1" applyFill="1" applyBorder="1" applyAlignment="1">
      <alignment horizontal="center" vertical="center" wrapText="1"/>
    </xf>
    <xf numFmtId="0" fontId="56" fillId="4" borderId="16" xfId="1" applyFont="1" applyFill="1" applyBorder="1" applyAlignment="1">
      <alignment horizontal="center" vertical="center" wrapText="1"/>
    </xf>
    <xf numFmtId="0" fontId="64" fillId="4" borderId="30" xfId="1" applyNumberFormat="1" applyFont="1" applyFill="1" applyBorder="1" applyAlignment="1">
      <alignment horizontal="center" vertical="center" wrapText="1"/>
    </xf>
    <xf numFmtId="0" fontId="64" fillId="4" borderId="16" xfId="1" applyNumberFormat="1" applyFont="1" applyFill="1" applyBorder="1" applyAlignment="1">
      <alignment horizontal="center" vertical="center" wrapText="1"/>
    </xf>
    <xf numFmtId="165" fontId="56" fillId="4" borderId="30" xfId="1" applyNumberFormat="1" applyFont="1" applyFill="1" applyBorder="1" applyAlignment="1">
      <alignment horizontal="center" vertical="center" wrapText="1"/>
    </xf>
    <xf numFmtId="165" fontId="56" fillId="4" borderId="16" xfId="1" applyNumberFormat="1" applyFont="1" applyFill="1" applyBorder="1" applyAlignment="1">
      <alignment horizontal="center" vertical="center" wrapText="1"/>
    </xf>
    <xf numFmtId="0" fontId="56" fillId="0" borderId="27" xfId="1" applyFont="1" applyBorder="1" applyAlignment="1">
      <alignment horizontal="left" vertical="center" wrapText="1"/>
    </xf>
    <xf numFmtId="0" fontId="56" fillId="0" borderId="15" xfId="1" applyFont="1" applyBorder="1" applyAlignment="1">
      <alignment horizontal="left" vertical="center" wrapText="1"/>
    </xf>
    <xf numFmtId="0" fontId="56" fillId="0" borderId="28" xfId="1" applyFont="1" applyBorder="1" applyAlignment="1">
      <alignment horizontal="left" vertical="center" wrapText="1"/>
    </xf>
    <xf numFmtId="0" fontId="56" fillId="0" borderId="15" xfId="1" applyFont="1" applyBorder="1" applyAlignment="1" applyProtection="1">
      <alignment horizontal="center" vertical="center" wrapText="1"/>
    </xf>
    <xf numFmtId="0" fontId="56" fillId="0" borderId="16" xfId="1" applyFont="1" applyBorder="1" applyAlignment="1" applyProtection="1">
      <alignment horizontal="center" vertical="center" wrapText="1"/>
    </xf>
    <xf numFmtId="0" fontId="56" fillId="0" borderId="30" xfId="1" applyFont="1" applyBorder="1" applyAlignment="1">
      <alignment horizontal="center" vertical="center" wrapText="1"/>
    </xf>
    <xf numFmtId="0" fontId="56" fillId="0" borderId="28" xfId="1" applyFont="1" applyBorder="1" applyAlignment="1">
      <alignment horizontal="center" vertical="center" wrapText="1"/>
    </xf>
    <xf numFmtId="0" fontId="56" fillId="0" borderId="27" xfId="1" applyFont="1" applyBorder="1" applyAlignment="1">
      <alignment horizontal="center" vertical="center" wrapText="1"/>
    </xf>
    <xf numFmtId="0" fontId="56" fillId="0" borderId="15" xfId="1" applyFont="1" applyBorder="1" applyAlignment="1">
      <alignment horizontal="center" vertical="center" wrapText="1"/>
    </xf>
    <xf numFmtId="0" fontId="56" fillId="0" borderId="16" xfId="1" applyFont="1" applyBorder="1" applyAlignment="1">
      <alignment horizontal="center" vertical="center" wrapText="1"/>
    </xf>
    <xf numFmtId="0" fontId="63" fillId="0" borderId="15" xfId="1" applyFont="1" applyBorder="1" applyAlignment="1" applyProtection="1">
      <alignment horizontal="center" vertical="center" wrapText="1"/>
    </xf>
    <xf numFmtId="0" fontId="63" fillId="0" borderId="16" xfId="1" applyFont="1" applyBorder="1" applyAlignment="1" applyProtection="1">
      <alignment horizontal="center" vertical="center" wrapText="1"/>
    </xf>
    <xf numFmtId="0" fontId="63" fillId="0" borderId="30" xfId="1" applyFont="1" applyBorder="1" applyAlignment="1">
      <alignment horizontal="center" vertical="center" wrapText="1"/>
    </xf>
    <xf numFmtId="0" fontId="63" fillId="0" borderId="28" xfId="1" applyFont="1" applyBorder="1" applyAlignment="1">
      <alignment horizontal="center" vertical="center" wrapText="1"/>
    </xf>
    <xf numFmtId="0" fontId="63" fillId="0" borderId="27" xfId="1" applyFont="1" applyBorder="1" applyAlignment="1">
      <alignment horizontal="center" vertical="center" wrapText="1"/>
    </xf>
    <xf numFmtId="0" fontId="63" fillId="0" borderId="15" xfId="1" applyFont="1" applyBorder="1" applyAlignment="1">
      <alignment horizontal="center" vertical="center" wrapText="1"/>
    </xf>
    <xf numFmtId="0" fontId="63" fillId="0" borderId="16" xfId="1" applyFont="1" applyBorder="1" applyAlignment="1">
      <alignment horizontal="center" vertical="center" wrapText="1"/>
    </xf>
    <xf numFmtId="0" fontId="55" fillId="0" borderId="30" xfId="0" applyFont="1" applyFill="1" applyBorder="1" applyAlignment="1">
      <alignment horizontal="left"/>
    </xf>
    <xf numFmtId="0" fontId="55" fillId="0" borderId="15" xfId="0" applyFont="1" applyFill="1" applyBorder="1" applyAlignment="1">
      <alignment horizontal="left"/>
    </xf>
    <xf numFmtId="0" fontId="55" fillId="0" borderId="16" xfId="0" applyFont="1" applyFill="1" applyBorder="1" applyAlignment="1">
      <alignment horizontal="left"/>
    </xf>
    <xf numFmtId="0" fontId="63" fillId="3" borderId="18" xfId="1" applyFont="1" applyFill="1" applyBorder="1" applyAlignment="1" applyProtection="1">
      <alignment horizontal="center" vertical="center" wrapText="1"/>
    </xf>
    <xf numFmtId="0" fontId="63" fillId="3" borderId="26" xfId="1" applyFont="1" applyFill="1" applyBorder="1" applyAlignment="1" applyProtection="1">
      <alignment horizontal="center" vertical="center" wrapText="1"/>
    </xf>
    <xf numFmtId="0" fontId="11" fillId="0" borderId="28" xfId="1" applyFont="1" applyBorder="1" applyAlignment="1">
      <alignment horizontal="center" vertical="center" wrapText="1"/>
    </xf>
    <xf numFmtId="0" fontId="11" fillId="0" borderId="31" xfId="1" applyFont="1" applyBorder="1" applyAlignment="1">
      <alignment horizontal="center" vertical="top" wrapText="1"/>
    </xf>
    <xf numFmtId="0" fontId="11" fillId="0" borderId="14" xfId="1" applyFont="1" applyBorder="1" applyAlignment="1">
      <alignment horizontal="center" vertical="top" wrapText="1"/>
    </xf>
    <xf numFmtId="0" fontId="11" fillId="0" borderId="14" xfId="1" applyFont="1" applyBorder="1" applyAlignment="1">
      <alignment horizontal="center" vertical="center" wrapText="1"/>
    </xf>
    <xf numFmtId="0" fontId="11" fillId="0" borderId="32" xfId="1" applyFont="1" applyBorder="1" applyAlignment="1">
      <alignment horizontal="center" vertical="center" wrapText="1"/>
    </xf>
    <xf numFmtId="0" fontId="14" fillId="0" borderId="31" xfId="1" applyFont="1" applyBorder="1" applyAlignment="1" applyProtection="1">
      <alignment horizontal="center" vertical="center" wrapText="1"/>
    </xf>
    <xf numFmtId="0" fontId="14" fillId="0" borderId="32" xfId="1" applyFont="1" applyBorder="1" applyAlignment="1">
      <alignment horizontal="center" vertical="center" wrapText="1"/>
    </xf>
    <xf numFmtId="0" fontId="14" fillId="0" borderId="27" xfId="1" applyFont="1" applyBorder="1" applyAlignment="1" applyProtection="1">
      <alignment horizontal="center" vertical="center" wrapText="1"/>
    </xf>
    <xf numFmtId="0" fontId="63" fillId="0" borderId="27" xfId="1" applyFont="1" applyBorder="1" applyAlignment="1" applyProtection="1">
      <alignment horizontal="center" vertical="center" wrapText="1"/>
    </xf>
    <xf numFmtId="0" fontId="14" fillId="3" borderId="27" xfId="1" applyFont="1" applyFill="1" applyBorder="1" applyAlignment="1">
      <alignment horizontal="center" vertical="center" wrapText="1"/>
    </xf>
    <xf numFmtId="0" fontId="14" fillId="3" borderId="15" xfId="1" applyFont="1" applyFill="1" applyBorder="1" applyAlignment="1">
      <alignment horizontal="center" vertical="center" wrapText="1"/>
    </xf>
    <xf numFmtId="0" fontId="14" fillId="3" borderId="16" xfId="1" applyFont="1" applyFill="1" applyBorder="1" applyAlignment="1">
      <alignment horizontal="center" vertical="center" wrapText="1"/>
    </xf>
    <xf numFmtId="0" fontId="14" fillId="3" borderId="18" xfId="1" applyFont="1" applyFill="1" applyBorder="1" applyAlignment="1">
      <alignment horizontal="center" vertical="center" wrapText="1"/>
    </xf>
    <xf numFmtId="0" fontId="56" fillId="3" borderId="25" xfId="1" applyFont="1" applyFill="1" applyBorder="1" applyAlignment="1">
      <alignment horizontal="center" vertical="top" wrapText="1"/>
    </xf>
    <xf numFmtId="0" fontId="56" fillId="3" borderId="26" xfId="1" applyFont="1" applyFill="1" applyBorder="1" applyAlignment="1">
      <alignment horizontal="center" vertical="top" wrapText="1"/>
    </xf>
    <xf numFmtId="0" fontId="57" fillId="0" borderId="30" xfId="0" applyFont="1" applyFill="1" applyBorder="1" applyAlignment="1">
      <alignment horizontal="center" vertical="center"/>
    </xf>
    <xf numFmtId="0" fontId="57" fillId="0" borderId="15" xfId="0" applyFont="1" applyFill="1" applyBorder="1" applyAlignment="1">
      <alignment horizontal="center" vertical="center"/>
    </xf>
    <xf numFmtId="0" fontId="57" fillId="0" borderId="16" xfId="0" applyFont="1" applyFill="1" applyBorder="1" applyAlignment="1">
      <alignment horizontal="center" vertical="center"/>
    </xf>
    <xf numFmtId="14" fontId="57" fillId="0" borderId="30" xfId="0" applyNumberFormat="1" applyFont="1" applyFill="1" applyBorder="1" applyAlignment="1">
      <alignment horizontal="center" wrapText="1"/>
    </xf>
    <xf numFmtId="0" fontId="57" fillId="0" borderId="15" xfId="0" applyFont="1" applyFill="1" applyBorder="1" applyAlignment="1">
      <alignment horizontal="center" wrapText="1"/>
    </xf>
    <xf numFmtId="0" fontId="57" fillId="0" borderId="16" xfId="0" applyFont="1" applyFill="1" applyBorder="1" applyAlignment="1">
      <alignment horizontal="center" wrapText="1"/>
    </xf>
    <xf numFmtId="0" fontId="14" fillId="0" borderId="7" xfId="1" applyFont="1" applyBorder="1" applyAlignment="1">
      <alignment horizontal="center" vertical="center"/>
    </xf>
    <xf numFmtId="0" fontId="57" fillId="0" borderId="30" xfId="0" applyFont="1" applyFill="1" applyBorder="1" applyAlignment="1">
      <alignment horizontal="center" wrapText="1"/>
    </xf>
    <xf numFmtId="0" fontId="14" fillId="4" borderId="31" xfId="1" applyFont="1" applyFill="1" applyBorder="1" applyAlignment="1" applyProtection="1">
      <alignment horizontal="center" vertical="center" wrapText="1"/>
    </xf>
    <xf numFmtId="0" fontId="14" fillId="4" borderId="14" xfId="1" applyFont="1" applyFill="1" applyBorder="1" applyAlignment="1" applyProtection="1">
      <alignment horizontal="center" vertical="center" wrapText="1"/>
    </xf>
    <xf numFmtId="0" fontId="14" fillId="4" borderId="14" xfId="1" applyFont="1" applyFill="1" applyBorder="1" applyAlignment="1">
      <alignment horizontal="center" vertical="center" wrapText="1"/>
    </xf>
    <xf numFmtId="0" fontId="14" fillId="4" borderId="32" xfId="1" applyFont="1" applyFill="1" applyBorder="1" applyAlignment="1">
      <alignment horizontal="center" vertical="center" wrapText="1"/>
    </xf>
    <xf numFmtId="0" fontId="56" fillId="3" borderId="18" xfId="1" applyFont="1" applyFill="1" applyBorder="1" applyAlignment="1" applyProtection="1">
      <alignment horizontal="center" vertical="center" wrapText="1"/>
    </xf>
    <xf numFmtId="0" fontId="56" fillId="3" borderId="26" xfId="1" applyFont="1" applyFill="1" applyBorder="1" applyAlignment="1" applyProtection="1">
      <alignment horizontal="center" vertical="center" wrapText="1"/>
    </xf>
    <xf numFmtId="2" fontId="2" fillId="0" borderId="0" xfId="1" applyNumberFormat="1" applyFont="1" applyAlignment="1">
      <alignment horizontal="center"/>
    </xf>
    <xf numFmtId="0" fontId="2" fillId="0" borderId="0" xfId="1" applyFont="1" applyAlignment="1">
      <alignment horizontal="center"/>
    </xf>
    <xf numFmtId="0" fontId="11" fillId="0" borderId="0" xfId="1" applyFont="1" applyAlignment="1">
      <alignment horizontal="right"/>
    </xf>
    <xf numFmtId="0" fontId="11" fillId="0" borderId="3" xfId="1" applyFont="1" applyBorder="1" applyAlignment="1">
      <alignment horizontal="right"/>
    </xf>
    <xf numFmtId="49" fontId="11" fillId="0" borderId="4" xfId="1" applyNumberFormat="1" applyFont="1" applyBorder="1" applyAlignment="1">
      <alignment horizontal="center"/>
    </xf>
    <xf numFmtId="49" fontId="11" fillId="0" borderId="5" xfId="1" applyNumberFormat="1" applyFont="1" applyBorder="1" applyAlignment="1">
      <alignment horizontal="center"/>
    </xf>
    <xf numFmtId="49" fontId="11" fillId="0" borderId="6" xfId="1" applyNumberFormat="1" applyFont="1" applyBorder="1" applyAlignment="1">
      <alignment horizontal="center"/>
    </xf>
    <xf numFmtId="0" fontId="11" fillId="0" borderId="0" xfId="1" applyFont="1" applyAlignment="1">
      <alignment horizontal="left"/>
    </xf>
    <xf numFmtId="0" fontId="11" fillId="0" borderId="7" xfId="1" applyFont="1" applyBorder="1" applyAlignment="1">
      <alignment horizontal="center"/>
    </xf>
    <xf numFmtId="49" fontId="11" fillId="0" borderId="8" xfId="1" applyNumberFormat="1" applyFont="1" applyBorder="1" applyAlignment="1">
      <alignment horizontal="center"/>
    </xf>
    <xf numFmtId="49" fontId="11" fillId="0" borderId="9" xfId="1" applyNumberFormat="1" applyFont="1" applyBorder="1" applyAlignment="1">
      <alignment horizontal="center"/>
    </xf>
    <xf numFmtId="49" fontId="11" fillId="0" borderId="10" xfId="1" applyNumberFormat="1" applyFont="1" applyBorder="1" applyAlignment="1">
      <alignment horizontal="center"/>
    </xf>
    <xf numFmtId="17" fontId="11" fillId="3" borderId="0" xfId="1" applyNumberFormat="1" applyFont="1" applyFill="1" applyAlignment="1">
      <alignment horizontal="right"/>
    </xf>
    <xf numFmtId="0" fontId="11" fillId="3" borderId="0" xfId="1" applyFont="1" applyFill="1" applyAlignment="1">
      <alignment horizontal="right"/>
    </xf>
    <xf numFmtId="49" fontId="61" fillId="3" borderId="0" xfId="1" applyNumberFormat="1" applyFont="1" applyFill="1" applyAlignment="1">
      <alignment horizontal="left"/>
    </xf>
    <xf numFmtId="0" fontId="11" fillId="2" borderId="15" xfId="1" applyFont="1" applyFill="1" applyBorder="1" applyAlignment="1">
      <alignment horizontal="right"/>
    </xf>
    <xf numFmtId="0" fontId="11" fillId="2" borderId="15" xfId="1" applyFont="1" applyFill="1" applyBorder="1" applyAlignment="1">
      <alignment horizontal="center"/>
    </xf>
    <xf numFmtId="0" fontId="11" fillId="2" borderId="15" xfId="1" applyFont="1" applyFill="1" applyBorder="1" applyAlignment="1">
      <alignment horizontal="left"/>
    </xf>
    <xf numFmtId="0" fontId="60" fillId="3" borderId="12" xfId="1" applyNumberFormat="1" applyFont="1" applyFill="1" applyBorder="1" applyAlignment="1">
      <alignment horizontal="right"/>
    </xf>
    <xf numFmtId="0" fontId="58" fillId="2" borderId="15" xfId="1" applyNumberFormat="1" applyFont="1" applyFill="1" applyBorder="1" applyAlignment="1">
      <alignment horizontal="center"/>
    </xf>
    <xf numFmtId="0" fontId="61" fillId="0" borderId="15" xfId="1" applyNumberFormat="1" applyFont="1" applyFill="1" applyBorder="1" applyAlignment="1">
      <alignment horizontal="center"/>
    </xf>
    <xf numFmtId="0" fontId="11" fillId="3" borderId="12" xfId="1" applyNumberFormat="1" applyFont="1" applyFill="1" applyBorder="1" applyAlignment="1">
      <alignment horizontal="right"/>
    </xf>
    <xf numFmtId="0" fontId="61" fillId="3" borderId="12" xfId="1" applyNumberFormat="1" applyFont="1" applyFill="1" applyBorder="1" applyAlignment="1">
      <alignment horizontal="center"/>
    </xf>
    <xf numFmtId="0" fontId="58" fillId="0" borderId="0" xfId="1" applyFont="1" applyAlignment="1">
      <alignment horizontal="center"/>
    </xf>
    <xf numFmtId="49" fontId="58" fillId="18" borderId="0" xfId="1" applyNumberFormat="1" applyFont="1" applyFill="1" applyBorder="1" applyAlignment="1">
      <alignment horizontal="center"/>
    </xf>
    <xf numFmtId="0" fontId="58" fillId="0" borderId="0" xfId="1" applyFont="1" applyAlignment="1">
      <alignment horizontal="right"/>
    </xf>
    <xf numFmtId="49" fontId="58" fillId="0" borderId="0" xfId="1" applyNumberFormat="1" applyFont="1" applyFill="1" applyBorder="1" applyAlignment="1">
      <alignment horizontal="center"/>
    </xf>
    <xf numFmtId="49" fontId="11" fillId="0" borderId="2" xfId="1" applyNumberFormat="1" applyFont="1" applyBorder="1" applyAlignment="1">
      <alignment horizontal="center"/>
    </xf>
    <xf numFmtId="0" fontId="11" fillId="0" borderId="2" xfId="1" applyFont="1" applyBorder="1" applyAlignment="1">
      <alignment horizontal="center" vertical="top" wrapText="1"/>
    </xf>
    <xf numFmtId="14" fontId="11" fillId="0" borderId="11" xfId="1" applyNumberFormat="1" applyFont="1" applyFill="1" applyBorder="1" applyAlignment="1">
      <alignment horizontal="center" vertical="center"/>
    </xf>
    <xf numFmtId="0" fontId="11" fillId="0" borderId="12" xfId="1" applyFont="1" applyFill="1" applyBorder="1" applyAlignment="1">
      <alignment horizontal="center" vertical="center"/>
    </xf>
    <xf numFmtId="0" fontId="11" fillId="0" borderId="13" xfId="1" applyFont="1" applyFill="1" applyBorder="1" applyAlignment="1">
      <alignment horizontal="center" vertical="center"/>
    </xf>
    <xf numFmtId="14" fontId="1" fillId="0" borderId="33" xfId="1" applyNumberFormat="1" applyFont="1" applyFill="1" applyBorder="1" applyAlignment="1">
      <alignment horizontal="center" vertical="center"/>
    </xf>
    <xf numFmtId="0" fontId="1" fillId="0" borderId="0" xfId="1" applyFont="1" applyFill="1" applyBorder="1" applyAlignment="1">
      <alignment horizontal="center" vertical="center"/>
    </xf>
    <xf numFmtId="0" fontId="1" fillId="0" borderId="1" xfId="1" applyFont="1" applyFill="1" applyBorder="1" applyAlignment="1">
      <alignment horizontal="center" vertical="center"/>
    </xf>
    <xf numFmtId="0" fontId="1" fillId="0" borderId="17" xfId="1" applyFont="1" applyFill="1" applyBorder="1" applyAlignment="1">
      <alignment horizontal="center" vertical="center"/>
    </xf>
    <xf numFmtId="0" fontId="1" fillId="0" borderId="7" xfId="1" applyFont="1" applyFill="1" applyBorder="1" applyAlignment="1">
      <alignment horizontal="center" vertical="center"/>
    </xf>
    <xf numFmtId="0" fontId="1" fillId="0" borderId="18" xfId="1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top" wrapText="1"/>
    </xf>
    <xf numFmtId="0" fontId="11" fillId="0" borderId="14" xfId="1" applyFont="1" applyFill="1" applyBorder="1" applyAlignment="1">
      <alignment horizontal="center" vertical="center" wrapText="1"/>
    </xf>
    <xf numFmtId="0" fontId="2" fillId="0" borderId="14" xfId="1" applyFont="1" applyFill="1" applyBorder="1" applyAlignment="1">
      <alignment horizontal="center" vertical="center" wrapText="1"/>
    </xf>
    <xf numFmtId="0" fontId="5" fillId="0" borderId="14" xfId="1" applyFont="1" applyBorder="1" applyAlignment="1">
      <alignment horizontal="center" vertical="center" wrapText="1"/>
    </xf>
    <xf numFmtId="49" fontId="11" fillId="0" borderId="14" xfId="1" applyNumberFormat="1" applyFont="1" applyFill="1" applyBorder="1" applyAlignment="1">
      <alignment horizontal="center" vertical="center" wrapText="1"/>
    </xf>
    <xf numFmtId="49" fontId="5" fillId="0" borderId="14" xfId="1" applyNumberFormat="1" applyFont="1" applyFill="1" applyBorder="1" applyAlignment="1">
      <alignment horizontal="center" vertical="center" wrapText="1"/>
    </xf>
    <xf numFmtId="49" fontId="11" fillId="18" borderId="14" xfId="1" applyNumberFormat="1" applyFont="1" applyFill="1" applyBorder="1" applyAlignment="1">
      <alignment horizontal="center" vertical="center" wrapText="1"/>
    </xf>
    <xf numFmtId="0" fontId="11" fillId="0" borderId="11" xfId="1" applyFont="1" applyBorder="1" applyAlignment="1">
      <alignment horizontal="center" vertical="center"/>
    </xf>
    <xf numFmtId="0" fontId="11" fillId="0" borderId="12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7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18" borderId="30" xfId="1" applyFont="1" applyFill="1" applyBorder="1" applyAlignment="1">
      <alignment horizontal="center" vertical="center" wrapText="1"/>
    </xf>
    <xf numFmtId="0" fontId="11" fillId="18" borderId="15" xfId="1" applyFont="1" applyFill="1" applyBorder="1" applyAlignment="1">
      <alignment horizontal="center" vertical="center" wrapText="1"/>
    </xf>
    <xf numFmtId="0" fontId="11" fillId="18" borderId="16" xfId="1" applyFont="1" applyFill="1" applyBorder="1" applyAlignment="1">
      <alignment horizontal="center" vertical="center" wrapText="1"/>
    </xf>
    <xf numFmtId="0" fontId="58" fillId="18" borderId="14" xfId="1" applyFont="1" applyFill="1" applyBorder="1" applyAlignment="1">
      <alignment horizontal="center" vertical="center" wrapText="1"/>
    </xf>
    <xf numFmtId="0" fontId="11" fillId="0" borderId="19" xfId="1" applyFont="1" applyBorder="1" applyAlignment="1">
      <alignment horizontal="center" vertical="top" wrapText="1"/>
    </xf>
    <xf numFmtId="0" fontId="11" fillId="0" borderId="4" xfId="1" applyFont="1" applyBorder="1" applyAlignment="1">
      <alignment horizontal="center" vertical="top" wrapText="1"/>
    </xf>
    <xf numFmtId="0" fontId="11" fillId="0" borderId="5" xfId="1" applyFont="1" applyBorder="1" applyAlignment="1">
      <alignment horizontal="center" vertical="top" wrapText="1"/>
    </xf>
    <xf numFmtId="0" fontId="11" fillId="0" borderId="6" xfId="1" applyFont="1" applyBorder="1" applyAlignment="1">
      <alignment horizontal="center" vertical="top" wrapText="1"/>
    </xf>
    <xf numFmtId="0" fontId="11" fillId="0" borderId="20" xfId="1" applyFont="1" applyBorder="1" applyAlignment="1">
      <alignment horizontal="center" vertical="top" wrapText="1"/>
    </xf>
    <xf numFmtId="0" fontId="4" fillId="0" borderId="21" xfId="1" applyFont="1" applyBorder="1" applyAlignment="1">
      <alignment horizontal="center" vertical="top" wrapText="1"/>
    </xf>
    <xf numFmtId="0" fontId="4" fillId="0" borderId="22" xfId="1" applyFont="1" applyBorder="1" applyAlignment="1">
      <alignment horizontal="center" vertical="top" wrapText="1"/>
    </xf>
    <xf numFmtId="0" fontId="4" fillId="0" borderId="23" xfId="1" applyFont="1" applyBorder="1" applyAlignment="1">
      <alignment horizontal="center" vertical="top" wrapText="1"/>
    </xf>
    <xf numFmtId="0" fontId="11" fillId="3" borderId="29" xfId="1" applyFont="1" applyFill="1" applyBorder="1" applyAlignment="1">
      <alignment horizontal="center" vertical="center" wrapText="1"/>
    </xf>
    <xf numFmtId="0" fontId="11" fillId="4" borderId="26" xfId="1" applyFont="1" applyFill="1" applyBorder="1" applyAlignment="1">
      <alignment horizontal="center" vertical="top" wrapText="1"/>
    </xf>
    <xf numFmtId="0" fontId="11" fillId="4" borderId="17" xfId="1" applyFont="1" applyFill="1" applyBorder="1" applyAlignment="1">
      <alignment horizontal="center" vertical="top" wrapText="1"/>
    </xf>
    <xf numFmtId="0" fontId="11" fillId="4" borderId="25" xfId="1" applyFont="1" applyFill="1" applyBorder="1" applyAlignment="1">
      <alignment horizontal="center" vertical="top" wrapText="1"/>
    </xf>
    <xf numFmtId="0" fontId="4" fillId="0" borderId="24" xfId="1" applyFont="1" applyBorder="1" applyAlignment="1">
      <alignment horizontal="center" vertical="top" wrapText="1"/>
    </xf>
    <xf numFmtId="0" fontId="11" fillId="4" borderId="29" xfId="1" applyFont="1" applyFill="1" applyBorder="1" applyAlignment="1">
      <alignment horizontal="center" vertical="top" wrapText="1"/>
    </xf>
    <xf numFmtId="0" fontId="11" fillId="4" borderId="18" xfId="1" applyFont="1" applyFill="1" applyBorder="1" applyAlignment="1">
      <alignment horizontal="center" vertical="top" wrapText="1"/>
    </xf>
    <xf numFmtId="0" fontId="11" fillId="4" borderId="27" xfId="1" applyFont="1" applyFill="1" applyBorder="1" applyAlignment="1">
      <alignment horizontal="center" vertical="top" wrapText="1"/>
    </xf>
    <xf numFmtId="0" fontId="11" fillId="4" borderId="15" xfId="1" applyFont="1" applyFill="1" applyBorder="1" applyAlignment="1">
      <alignment horizontal="center" vertical="top" wrapText="1"/>
    </xf>
    <xf numFmtId="0" fontId="11" fillId="4" borderId="28" xfId="1" applyFont="1" applyFill="1" applyBorder="1" applyAlignment="1">
      <alignment horizontal="center" vertical="top" wrapText="1"/>
    </xf>
    <xf numFmtId="0" fontId="56" fillId="3" borderId="18" xfId="1" applyFont="1" applyFill="1" applyBorder="1" applyAlignment="1">
      <alignment horizontal="center" vertical="center" wrapText="1"/>
    </xf>
    <xf numFmtId="0" fontId="36" fillId="0" borderId="30" xfId="0" applyFont="1" applyFill="1" applyBorder="1" applyAlignment="1">
      <alignment horizontal="left"/>
    </xf>
    <xf numFmtId="0" fontId="36" fillId="0" borderId="15" xfId="0" applyFont="1" applyFill="1" applyBorder="1" applyAlignment="1">
      <alignment horizontal="left"/>
    </xf>
    <xf numFmtId="0" fontId="36" fillId="0" borderId="16" xfId="0" applyFont="1" applyFill="1" applyBorder="1" applyAlignment="1">
      <alignment horizontal="left"/>
    </xf>
    <xf numFmtId="0" fontId="63" fillId="0" borderId="14" xfId="1" applyFont="1" applyBorder="1" applyAlignment="1" applyProtection="1">
      <alignment horizontal="center" vertical="center" wrapText="1"/>
    </xf>
    <xf numFmtId="0" fontId="63" fillId="0" borderId="14" xfId="1" applyFont="1" applyBorder="1" applyAlignment="1">
      <alignment horizontal="center" vertical="center" wrapText="1"/>
    </xf>
    <xf numFmtId="0" fontId="63" fillId="0" borderId="32" xfId="1" applyFont="1" applyBorder="1" applyAlignment="1">
      <alignment horizontal="center" vertical="center" wrapText="1"/>
    </xf>
    <xf numFmtId="0" fontId="14" fillId="3" borderId="27" xfId="1" applyFont="1" applyFill="1" applyBorder="1" applyAlignment="1" applyProtection="1">
      <alignment horizontal="center" vertical="center" wrapText="1"/>
    </xf>
    <xf numFmtId="0" fontId="14" fillId="3" borderId="15" xfId="1" applyFont="1" applyFill="1" applyBorder="1" applyAlignment="1" applyProtection="1">
      <alignment horizontal="center" vertical="center" wrapText="1"/>
    </xf>
    <xf numFmtId="0" fontId="14" fillId="3" borderId="16" xfId="1" applyFont="1" applyFill="1" applyBorder="1" applyAlignment="1" applyProtection="1">
      <alignment horizontal="center" vertical="center" wrapText="1"/>
    </xf>
    <xf numFmtId="0" fontId="63" fillId="3" borderId="30" xfId="1" applyFont="1" applyFill="1" applyBorder="1" applyAlignment="1">
      <alignment horizontal="center" vertical="center" wrapText="1"/>
    </xf>
    <xf numFmtId="0" fontId="63" fillId="3" borderId="28" xfId="1" applyFont="1" applyFill="1" applyBorder="1" applyAlignment="1">
      <alignment horizontal="center" vertical="center" wrapText="1"/>
    </xf>
    <xf numFmtId="0" fontId="11" fillId="3" borderId="27" xfId="1" applyFont="1" applyFill="1" applyBorder="1" applyAlignment="1">
      <alignment horizontal="center" vertical="top" wrapText="1"/>
    </xf>
    <xf numFmtId="0" fontId="11" fillId="3" borderId="15" xfId="1" applyFont="1" applyFill="1" applyBorder="1" applyAlignment="1">
      <alignment horizontal="center" vertical="top" wrapText="1"/>
    </xf>
    <xf numFmtId="0" fontId="11" fillId="3" borderId="16" xfId="1" applyFont="1" applyFill="1" applyBorder="1" applyAlignment="1">
      <alignment horizontal="center" vertical="top" wrapText="1"/>
    </xf>
    <xf numFmtId="0" fontId="11" fillId="3" borderId="31" xfId="1" applyFont="1" applyFill="1" applyBorder="1" applyAlignment="1">
      <alignment horizontal="center" vertical="top" wrapText="1"/>
    </xf>
    <xf numFmtId="0" fontId="11" fillId="3" borderId="14" xfId="1" applyFont="1" applyFill="1" applyBorder="1" applyAlignment="1">
      <alignment horizontal="center" vertical="top" wrapText="1"/>
    </xf>
    <xf numFmtId="0" fontId="11" fillId="3" borderId="14" xfId="1" applyFont="1" applyFill="1" applyBorder="1" applyAlignment="1">
      <alignment horizontal="center" vertical="center" wrapText="1"/>
    </xf>
    <xf numFmtId="0" fontId="14" fillId="3" borderId="14" xfId="1" applyFont="1" applyFill="1" applyBorder="1" applyAlignment="1" applyProtection="1">
      <alignment horizontal="center" vertical="center" wrapText="1"/>
    </xf>
    <xf numFmtId="0" fontId="14" fillId="3" borderId="14" xfId="1" applyFont="1" applyFill="1" applyBorder="1" applyAlignment="1">
      <alignment horizontal="center" vertical="center" wrapText="1"/>
    </xf>
    <xf numFmtId="0" fontId="14" fillId="3" borderId="32" xfId="1" applyFont="1" applyFill="1" applyBorder="1" applyAlignment="1">
      <alignment horizontal="center" vertical="center" wrapText="1"/>
    </xf>
    <xf numFmtId="0" fontId="63" fillId="3" borderId="27" xfId="1" applyFont="1" applyFill="1" applyBorder="1" applyAlignment="1" applyProtection="1">
      <alignment horizontal="center" vertical="center" wrapText="1"/>
    </xf>
    <xf numFmtId="0" fontId="63" fillId="3" borderId="15" xfId="1" applyFont="1" applyFill="1" applyBorder="1" applyAlignment="1" applyProtection="1">
      <alignment horizontal="center" vertical="center" wrapText="1"/>
    </xf>
    <xf numFmtId="0" fontId="63" fillId="3" borderId="16" xfId="1" applyFont="1" applyFill="1" applyBorder="1" applyAlignment="1" applyProtection="1">
      <alignment horizontal="center" vertical="center" wrapText="1"/>
    </xf>
    <xf numFmtId="0" fontId="63" fillId="3" borderId="27" xfId="1" applyFont="1" applyFill="1" applyBorder="1" applyAlignment="1">
      <alignment horizontal="center" vertical="center" wrapText="1"/>
    </xf>
    <xf numFmtId="0" fontId="63" fillId="3" borderId="15" xfId="1" applyFont="1" applyFill="1" applyBorder="1" applyAlignment="1">
      <alignment horizontal="center" vertical="center" wrapText="1"/>
    </xf>
    <xf numFmtId="0" fontId="63" fillId="3" borderId="16" xfId="1" applyFont="1" applyFill="1" applyBorder="1" applyAlignment="1">
      <alignment horizontal="center" vertical="center" wrapText="1"/>
    </xf>
    <xf numFmtId="0" fontId="56" fillId="0" borderId="14" xfId="1" applyFont="1" applyBorder="1" applyAlignment="1" applyProtection="1">
      <alignment horizontal="center" vertical="center" wrapText="1"/>
    </xf>
    <xf numFmtId="0" fontId="37" fillId="4" borderId="26" xfId="1" applyNumberFormat="1" applyFont="1" applyFill="1" applyBorder="1" applyAlignment="1">
      <alignment horizontal="center" vertical="center" wrapText="1"/>
    </xf>
    <xf numFmtId="0" fontId="37" fillId="4" borderId="17" xfId="1" applyNumberFormat="1" applyFont="1" applyFill="1" applyBorder="1" applyAlignment="1">
      <alignment horizontal="center" vertical="center" wrapText="1"/>
    </xf>
    <xf numFmtId="0" fontId="14" fillId="4" borderId="31" xfId="1" applyFont="1" applyFill="1" applyBorder="1" applyAlignment="1">
      <alignment horizontal="center" vertical="center" wrapText="1"/>
    </xf>
    <xf numFmtId="0" fontId="65" fillId="0" borderId="0" xfId="1" applyFont="1" applyAlignment="1">
      <alignment horizontal="left"/>
    </xf>
    <xf numFmtId="0" fontId="2" fillId="0" borderId="7" xfId="1" applyFont="1" applyBorder="1" applyAlignment="1">
      <alignment horizontal="center" vertical="center"/>
    </xf>
    <xf numFmtId="0" fontId="2" fillId="0" borderId="7" xfId="1" applyFont="1" applyBorder="1" applyAlignment="1">
      <alignment vertical="center"/>
    </xf>
    <xf numFmtId="0" fontId="65" fillId="0" borderId="0" xfId="1" applyFont="1" applyAlignment="1">
      <alignment horizontal="left" vertical="center"/>
    </xf>
    <xf numFmtId="0" fontId="2" fillId="18" borderId="7" xfId="1" applyFont="1" applyFill="1" applyBorder="1" applyAlignment="1">
      <alignment horizontal="center" vertical="center"/>
    </xf>
    <xf numFmtId="165" fontId="14" fillId="0" borderId="12" xfId="1" applyNumberFormat="1" applyFont="1" applyBorder="1" applyAlignment="1">
      <alignment horizontal="center" vertical="center"/>
    </xf>
    <xf numFmtId="0" fontId="14" fillId="0" borderId="12" xfId="1" applyFont="1" applyBorder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54" fillId="0" borderId="52" xfId="1" applyFont="1" applyBorder="1" applyAlignment="1">
      <alignment horizontal="center" vertical="top" wrapText="1"/>
    </xf>
    <xf numFmtId="0" fontId="54" fillId="0" borderId="57" xfId="1" applyFont="1" applyBorder="1" applyAlignment="1">
      <alignment horizontal="center" vertical="top" wrapText="1"/>
    </xf>
    <xf numFmtId="0" fontId="4" fillId="0" borderId="52" xfId="1" applyFont="1" applyBorder="1" applyAlignment="1">
      <alignment horizontal="center" vertical="top" wrapText="1"/>
    </xf>
    <xf numFmtId="0" fontId="4" fillId="0" borderId="57" xfId="1" applyFont="1" applyBorder="1" applyAlignment="1">
      <alignment horizontal="center" vertical="top" wrapText="1"/>
    </xf>
    <xf numFmtId="0" fontId="4" fillId="0" borderId="51" xfId="1" applyFont="1" applyBorder="1" applyAlignment="1">
      <alignment horizontal="center" vertical="top" wrapText="1"/>
    </xf>
    <xf numFmtId="0" fontId="4" fillId="0" borderId="58" xfId="1" applyFont="1" applyBorder="1" applyAlignment="1">
      <alignment horizontal="center" vertical="top" wrapText="1"/>
    </xf>
    <xf numFmtId="0" fontId="4" fillId="0" borderId="59" xfId="1" applyFont="1" applyBorder="1" applyAlignment="1">
      <alignment horizontal="center" vertical="top" wrapText="1"/>
    </xf>
  </cellXfs>
  <cellStyles count="96">
    <cellStyle name="Акцент1 2" xfId="2" xr:uid="{00000000-0005-0000-0000-000000000000}"/>
    <cellStyle name="Акцент1 3" xfId="3" xr:uid="{00000000-0005-0000-0000-000001000000}"/>
    <cellStyle name="Акцент2 2" xfId="4" xr:uid="{00000000-0005-0000-0000-000002000000}"/>
    <cellStyle name="Акцент2 3" xfId="5" xr:uid="{00000000-0005-0000-0000-000003000000}"/>
    <cellStyle name="Акцент3 2" xfId="6" xr:uid="{00000000-0005-0000-0000-000004000000}"/>
    <cellStyle name="Акцент3 3" xfId="7" xr:uid="{00000000-0005-0000-0000-000005000000}"/>
    <cellStyle name="Акцент4 2" xfId="8" xr:uid="{00000000-0005-0000-0000-000006000000}"/>
    <cellStyle name="Акцент4 3" xfId="9" xr:uid="{00000000-0005-0000-0000-000007000000}"/>
    <cellStyle name="Акцент5 2" xfId="10" xr:uid="{00000000-0005-0000-0000-000008000000}"/>
    <cellStyle name="Акцент5 3" xfId="11" xr:uid="{00000000-0005-0000-0000-000009000000}"/>
    <cellStyle name="Акцент6 2" xfId="12" xr:uid="{00000000-0005-0000-0000-00000A000000}"/>
    <cellStyle name="Акцент6 3" xfId="13" xr:uid="{00000000-0005-0000-0000-00000B000000}"/>
    <cellStyle name="Ввод  2" xfId="14" xr:uid="{00000000-0005-0000-0000-00000C000000}"/>
    <cellStyle name="Ввод  2 2" xfId="15" xr:uid="{00000000-0005-0000-0000-00000D000000}"/>
    <cellStyle name="Ввод  2 3" xfId="16" xr:uid="{00000000-0005-0000-0000-00000E000000}"/>
    <cellStyle name="Ввод  2 4" xfId="17" xr:uid="{00000000-0005-0000-0000-00000F000000}"/>
    <cellStyle name="Ввод  3" xfId="18" xr:uid="{00000000-0005-0000-0000-000010000000}"/>
    <cellStyle name="Ввод  3 2" xfId="19" xr:uid="{00000000-0005-0000-0000-000011000000}"/>
    <cellStyle name="Ввод  3 3" xfId="20" xr:uid="{00000000-0005-0000-0000-000012000000}"/>
    <cellStyle name="Ввод  3 4" xfId="21" xr:uid="{00000000-0005-0000-0000-000013000000}"/>
    <cellStyle name="Вывод 2" xfId="22" xr:uid="{00000000-0005-0000-0000-000014000000}"/>
    <cellStyle name="Вывод 2 2" xfId="23" xr:uid="{00000000-0005-0000-0000-000015000000}"/>
    <cellStyle name="Вывод 2 3" xfId="24" xr:uid="{00000000-0005-0000-0000-000016000000}"/>
    <cellStyle name="Вывод 2 4" xfId="25" xr:uid="{00000000-0005-0000-0000-000017000000}"/>
    <cellStyle name="Вывод 2 5" xfId="89" xr:uid="{00000000-0005-0000-0000-000018000000}"/>
    <cellStyle name="Вывод 3" xfId="26" xr:uid="{00000000-0005-0000-0000-000019000000}"/>
    <cellStyle name="Вывод 3 2" xfId="27" xr:uid="{00000000-0005-0000-0000-00001A000000}"/>
    <cellStyle name="Вывод 3 3" xfId="28" xr:uid="{00000000-0005-0000-0000-00001B000000}"/>
    <cellStyle name="Вывод 3 4" xfId="29" xr:uid="{00000000-0005-0000-0000-00001C000000}"/>
    <cellStyle name="Вычисление 2" xfId="30" xr:uid="{00000000-0005-0000-0000-00001D000000}"/>
    <cellStyle name="Вычисление 2 2" xfId="31" xr:uid="{00000000-0005-0000-0000-00001E000000}"/>
    <cellStyle name="Вычисление 2 3" xfId="32" xr:uid="{00000000-0005-0000-0000-00001F000000}"/>
    <cellStyle name="Вычисление 2 4" xfId="33" xr:uid="{00000000-0005-0000-0000-000020000000}"/>
    <cellStyle name="Вычисление 3" xfId="34" xr:uid="{00000000-0005-0000-0000-000021000000}"/>
    <cellStyle name="Вычисление 3 2" xfId="35" xr:uid="{00000000-0005-0000-0000-000022000000}"/>
    <cellStyle name="Вычисление 3 3" xfId="36" xr:uid="{00000000-0005-0000-0000-000023000000}"/>
    <cellStyle name="Вычисление 3 4" xfId="37" xr:uid="{00000000-0005-0000-0000-000024000000}"/>
    <cellStyle name="Заголовок 1 2" xfId="38" xr:uid="{00000000-0005-0000-0000-000025000000}"/>
    <cellStyle name="Заголовок 1 3" xfId="39" xr:uid="{00000000-0005-0000-0000-000026000000}"/>
    <cellStyle name="Заголовок 2 2" xfId="40" xr:uid="{00000000-0005-0000-0000-000027000000}"/>
    <cellStyle name="Заголовок 2 3" xfId="41" xr:uid="{00000000-0005-0000-0000-000028000000}"/>
    <cellStyle name="Заголовок 3 2" xfId="42" xr:uid="{00000000-0005-0000-0000-000029000000}"/>
    <cellStyle name="Заголовок 3 3" xfId="43" xr:uid="{00000000-0005-0000-0000-00002A000000}"/>
    <cellStyle name="Заголовок 4 2" xfId="44" xr:uid="{00000000-0005-0000-0000-00002B000000}"/>
    <cellStyle name="Заголовок 4 3" xfId="45" xr:uid="{00000000-0005-0000-0000-00002C000000}"/>
    <cellStyle name="Итог 2" xfId="46" xr:uid="{00000000-0005-0000-0000-00002D000000}"/>
    <cellStyle name="Итог 2 2" xfId="47" xr:uid="{00000000-0005-0000-0000-00002E000000}"/>
    <cellStyle name="Итог 2 3" xfId="48" xr:uid="{00000000-0005-0000-0000-00002F000000}"/>
    <cellStyle name="Итог 2 4" xfId="49" xr:uid="{00000000-0005-0000-0000-000030000000}"/>
    <cellStyle name="Итог 3" xfId="50" xr:uid="{00000000-0005-0000-0000-000031000000}"/>
    <cellStyle name="Итог 3 2" xfId="51" xr:uid="{00000000-0005-0000-0000-000032000000}"/>
    <cellStyle name="Итог 3 3" xfId="52" xr:uid="{00000000-0005-0000-0000-000033000000}"/>
    <cellStyle name="Итог 3 4" xfId="53" xr:uid="{00000000-0005-0000-0000-000034000000}"/>
    <cellStyle name="Контрольная ячейка 2" xfId="54" xr:uid="{00000000-0005-0000-0000-000035000000}"/>
    <cellStyle name="Контрольная ячейка 3" xfId="55" xr:uid="{00000000-0005-0000-0000-000036000000}"/>
    <cellStyle name="Название 2" xfId="56" xr:uid="{00000000-0005-0000-0000-000037000000}"/>
    <cellStyle name="Название 3" xfId="57" xr:uid="{00000000-0005-0000-0000-000038000000}"/>
    <cellStyle name="Нейтральный 2" xfId="58" xr:uid="{00000000-0005-0000-0000-000039000000}"/>
    <cellStyle name="Нейтральный 3" xfId="59" xr:uid="{00000000-0005-0000-0000-00003A000000}"/>
    <cellStyle name="Обычный" xfId="0" builtinId="0"/>
    <cellStyle name="Обычный 2" xfId="90" xr:uid="{00000000-0005-0000-0000-00003C000000}"/>
    <cellStyle name="Обычный 2 2" xfId="60" xr:uid="{00000000-0005-0000-0000-00003D000000}"/>
    <cellStyle name="Обычный 2 3" xfId="61" xr:uid="{00000000-0005-0000-0000-00003E000000}"/>
    <cellStyle name="Обычный 2 4" xfId="62" xr:uid="{00000000-0005-0000-0000-00003F000000}"/>
    <cellStyle name="Обычный 2 5" xfId="63" xr:uid="{00000000-0005-0000-0000-000040000000}"/>
    <cellStyle name="Обычный 2 6" xfId="64" xr:uid="{00000000-0005-0000-0000-000041000000}"/>
    <cellStyle name="Обычный 2 7" xfId="65" xr:uid="{00000000-0005-0000-0000-000042000000}"/>
    <cellStyle name="Обычный 3" xfId="1" xr:uid="{00000000-0005-0000-0000-000043000000}"/>
    <cellStyle name="Обычный 3 2" xfId="91" xr:uid="{00000000-0005-0000-0000-000044000000}"/>
    <cellStyle name="Обычный 4" xfId="66" xr:uid="{00000000-0005-0000-0000-000045000000}"/>
    <cellStyle name="Обычный 4 2" xfId="88" xr:uid="{00000000-0005-0000-0000-000046000000}"/>
    <cellStyle name="Обычный 5" xfId="67" xr:uid="{00000000-0005-0000-0000-000047000000}"/>
    <cellStyle name="Обычный 6" xfId="68" xr:uid="{00000000-0005-0000-0000-000048000000}"/>
    <cellStyle name="Обычный 7" xfId="69" xr:uid="{00000000-0005-0000-0000-000049000000}"/>
    <cellStyle name="Обычный 8" xfId="92" xr:uid="{00000000-0005-0000-0000-00004A000000}"/>
    <cellStyle name="Обычный 9" xfId="93" xr:uid="{00000000-0005-0000-0000-00004B000000}"/>
    <cellStyle name="Плохой 2" xfId="70" xr:uid="{00000000-0005-0000-0000-00004C000000}"/>
    <cellStyle name="Плохой 3" xfId="71" xr:uid="{00000000-0005-0000-0000-00004D000000}"/>
    <cellStyle name="Пояснение 2" xfId="72" xr:uid="{00000000-0005-0000-0000-00004E000000}"/>
    <cellStyle name="Пояснение 3" xfId="73" xr:uid="{00000000-0005-0000-0000-00004F000000}"/>
    <cellStyle name="Примечание 2" xfId="74" xr:uid="{00000000-0005-0000-0000-000050000000}"/>
    <cellStyle name="Примечание 2 2" xfId="75" xr:uid="{00000000-0005-0000-0000-000051000000}"/>
    <cellStyle name="Примечание 2 3" xfId="76" xr:uid="{00000000-0005-0000-0000-000052000000}"/>
    <cellStyle name="Примечание 2 4" xfId="77" xr:uid="{00000000-0005-0000-0000-000053000000}"/>
    <cellStyle name="Примечание 3" xfId="78" xr:uid="{00000000-0005-0000-0000-000054000000}"/>
    <cellStyle name="Примечание 3 2" xfId="79" xr:uid="{00000000-0005-0000-0000-000055000000}"/>
    <cellStyle name="Примечание 3 3" xfId="80" xr:uid="{00000000-0005-0000-0000-000056000000}"/>
    <cellStyle name="Примечание 3 4" xfId="81" xr:uid="{00000000-0005-0000-0000-000057000000}"/>
    <cellStyle name="Связанная ячейка 2" xfId="82" xr:uid="{00000000-0005-0000-0000-000058000000}"/>
    <cellStyle name="Связанная ячейка 3" xfId="83" xr:uid="{00000000-0005-0000-0000-000059000000}"/>
    <cellStyle name="Текст предупреждения 2" xfId="84" xr:uid="{00000000-0005-0000-0000-00005A000000}"/>
    <cellStyle name="Текст предупреждения 3" xfId="85" xr:uid="{00000000-0005-0000-0000-00005B000000}"/>
    <cellStyle name="Финансовый 2" xfId="94" xr:uid="{00000000-0005-0000-0000-00005C000000}"/>
    <cellStyle name="Финансовый 3" xfId="95" xr:uid="{00000000-0005-0000-0000-00005D000000}"/>
    <cellStyle name="Хороший 2" xfId="86" xr:uid="{00000000-0005-0000-0000-00005E000000}"/>
    <cellStyle name="Хороший 3" xfId="87" xr:uid="{00000000-0005-0000-0000-00005F000000}"/>
  </cellStyles>
  <dxfs count="0"/>
  <tableStyles count="0" defaultTableStyle="TableStyleMedium2" defaultPivotStyle="PivotStyleLight16"/>
  <colors>
    <mruColors>
      <color rgb="FF7DFF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Заполнить остальные"/>
  <ax:ocxPr ax:name="Size" ax:value="5292;1773"/>
  <ax:ocxPr ax:name="FontName" ax:value="Arial Cyr"/>
  <ax:ocxPr ax:name="FontHeight" ax:value="240"/>
  <ax:ocxPr ax:name="FontCharSet" ax:value="204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Отобразить"/>
  <ax:ocxPr ax:name="Size" ax:value="3942;1482"/>
  <ax:ocxPr ax:name="FontName" ax:value="Arial Cyr"/>
  <ax:ocxPr ax:name="FontHeight" ax:value="240"/>
  <ax:ocxPr ax:name="FontCharSet" ax:value="204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Скрыть"/>
  <ax:ocxPr ax:name="Size" ax:value="3942;1508"/>
  <ax:ocxPr ax:name="FontName" ax:value="Arial Cyr"/>
  <ax:ocxPr ax:name="FontHeight" ax:value="240"/>
  <ax:ocxPr ax:name="FontCharSet" ax:value="204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11</xdr:row>
          <xdr:rowOff>0</xdr:rowOff>
        </xdr:from>
        <xdr:to>
          <xdr:col>38</xdr:col>
          <xdr:colOff>114300</xdr:colOff>
          <xdr:row>17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21DA2D71-D983-46F4-ABEF-2D1CAAACBC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11</xdr:row>
          <xdr:rowOff>0</xdr:rowOff>
        </xdr:from>
        <xdr:to>
          <xdr:col>38</xdr:col>
          <xdr:colOff>114300</xdr:colOff>
          <xdr:row>17</xdr:row>
          <xdr:rowOff>152400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B7E7BCB-E5AF-4F17-AC0F-84F8716F2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2</xdr:row>
          <xdr:rowOff>0</xdr:rowOff>
        </xdr:from>
        <xdr:to>
          <xdr:col>38</xdr:col>
          <xdr:colOff>600075</xdr:colOff>
          <xdr:row>5</xdr:row>
          <xdr:rowOff>47625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DA3C7F0B-0467-43D9-ABBE-A9BC86176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1040;&#1085;&#1085;&#1072;\Anna%20(E)\&#1050;&#1040;&#1053;&#1058;&#1054;&#1043;&#1048;&#1053;&#1040;\&#1052;&#1045;&#1053;&#1070;\&#1056;&#1072;&#1089;&#1082;&#1083;&#1072;&#1076;&#1082;&#107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rutkovskaya/Downloads/&#1082;&#1086;&#1088;%2008.07/&#1048;&#1089;&#1087;&#1088;.%20&#1085;&#1072;&#1082;&#1083;&#1072;&#1076;&#1085;&#1099;&#1077;%20&#1050;&#1072;&#1083;&#1080;&#1085;&#1080;&#1085;&#1075;&#1088;&#1072;&#1076;%2008.0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кладка"/>
      <sheetName val="оборот"/>
      <sheetName val="Меню"/>
      <sheetName val="накладная (2)"/>
    </sheetNames>
    <sheetDataSet>
      <sheetData sheetId="0" refreshError="1"/>
      <sheetData sheetId="1" refreshError="1"/>
      <sheetData sheetId="2" refreshError="1">
        <row r="2">
          <cell r="A2" t="str">
            <v>ячневая</v>
          </cell>
        </row>
        <row r="3">
          <cell r="A3" t="str">
            <v>перловая</v>
          </cell>
        </row>
        <row r="4">
          <cell r="A4" t="str">
            <v>пшеничная</v>
          </cell>
        </row>
        <row r="5">
          <cell r="A5" t="str">
            <v>пшено</v>
          </cell>
        </row>
        <row r="6">
          <cell r="A6" t="str">
            <v>овсяная</v>
          </cell>
        </row>
        <row r="7">
          <cell r="A7" t="str">
            <v>манная</v>
          </cell>
        </row>
        <row r="8">
          <cell r="A8" t="str">
            <v>гречневая</v>
          </cell>
        </row>
      </sheetData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а № 3"/>
      <sheetName val="моющие"/>
      <sheetName val="Норма №3п.п.6 карамель(испр.)"/>
      <sheetName val="Норма №3п.3б. море (испр.)"/>
      <sheetName val="Норма № 3 п.4 вода (испр.)"/>
      <sheetName val="Норма № 3  п 6 карамель"/>
      <sheetName val="Норма №3п.5 праздничные(испр.)"/>
      <sheetName val="Норма ОК 3 (испр.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5:A58"/>
  <sheetViews>
    <sheetView topLeftCell="A22" zoomScale="115" zoomScaleNormal="115" workbookViewId="0">
      <selection activeCell="A45" sqref="A45"/>
    </sheetView>
  </sheetViews>
  <sheetFormatPr defaultRowHeight="12.75" x14ac:dyDescent="0.2"/>
  <cols>
    <col min="1" max="1" width="37.140625" style="1" customWidth="1"/>
    <col min="2" max="16384" width="9.140625" style="1"/>
  </cols>
  <sheetData>
    <row r="5" spans="1:1" ht="12.75" customHeight="1" x14ac:dyDescent="0.2">
      <c r="A5" s="1" t="s">
        <v>120</v>
      </c>
    </row>
    <row r="6" spans="1:1" x14ac:dyDescent="0.2">
      <c r="A6" s="1" t="s">
        <v>121</v>
      </c>
    </row>
    <row r="7" spans="1:1" ht="15" x14ac:dyDescent="0.25">
      <c r="A7" s="30" t="s">
        <v>122</v>
      </c>
    </row>
    <row r="8" spans="1:1" x14ac:dyDescent="0.2">
      <c r="A8" s="1" t="s">
        <v>123</v>
      </c>
    </row>
    <row r="9" spans="1:1" x14ac:dyDescent="0.2">
      <c r="A9" s="1" t="s">
        <v>124</v>
      </c>
    </row>
    <row r="10" spans="1:1" x14ac:dyDescent="0.2">
      <c r="A10" s="1" t="s">
        <v>125</v>
      </c>
    </row>
    <row r="11" spans="1:1" x14ac:dyDescent="0.2">
      <c r="A11" s="1" t="s">
        <v>126</v>
      </c>
    </row>
    <row r="12" spans="1:1" x14ac:dyDescent="0.2">
      <c r="A12" s="1" t="s">
        <v>127</v>
      </c>
    </row>
    <row r="13" spans="1:1" x14ac:dyDescent="0.2">
      <c r="A13" s="1" t="s">
        <v>128</v>
      </c>
    </row>
    <row r="14" spans="1:1" x14ac:dyDescent="0.2">
      <c r="A14" s="1" t="s">
        <v>129</v>
      </c>
    </row>
    <row r="15" spans="1:1" x14ac:dyDescent="0.2">
      <c r="A15" s="1" t="s">
        <v>130</v>
      </c>
    </row>
    <row r="16" spans="1:1" x14ac:dyDescent="0.2">
      <c r="A16" s="1" t="s">
        <v>131</v>
      </c>
    </row>
    <row r="17" spans="1:1" x14ac:dyDescent="0.2">
      <c r="A17" s="1" t="s">
        <v>132</v>
      </c>
    </row>
    <row r="18" spans="1:1" x14ac:dyDescent="0.2">
      <c r="A18" s="1" t="s">
        <v>133</v>
      </c>
    </row>
    <row r="19" spans="1:1" x14ac:dyDescent="0.2">
      <c r="A19" s="1" t="s">
        <v>134</v>
      </c>
    </row>
    <row r="20" spans="1:1" x14ac:dyDescent="0.2">
      <c r="A20" s="1" t="s">
        <v>135</v>
      </c>
    </row>
    <row r="21" spans="1:1" x14ac:dyDescent="0.2">
      <c r="A21" s="1" t="s">
        <v>136</v>
      </c>
    </row>
    <row r="22" spans="1:1" x14ac:dyDescent="0.2">
      <c r="A22" s="1" t="s">
        <v>137</v>
      </c>
    </row>
    <row r="23" spans="1:1" ht="15" x14ac:dyDescent="0.25">
      <c r="A23" s="30" t="s">
        <v>138</v>
      </c>
    </row>
    <row r="24" spans="1:1" x14ac:dyDescent="0.2">
      <c r="A24" s="1" t="s">
        <v>139</v>
      </c>
    </row>
    <row r="25" spans="1:1" x14ac:dyDescent="0.2">
      <c r="A25" s="1" t="s">
        <v>140</v>
      </c>
    </row>
    <row r="26" spans="1:1" x14ac:dyDescent="0.2">
      <c r="A26" s="1" t="s">
        <v>141</v>
      </c>
    </row>
    <row r="27" spans="1:1" x14ac:dyDescent="0.2">
      <c r="A27" s="1" t="s">
        <v>142</v>
      </c>
    </row>
    <row r="28" spans="1:1" x14ac:dyDescent="0.2">
      <c r="A28" s="1" t="s">
        <v>143</v>
      </c>
    </row>
    <row r="29" spans="1:1" x14ac:dyDescent="0.2">
      <c r="A29" s="1" t="s">
        <v>144</v>
      </c>
    </row>
    <row r="30" spans="1:1" x14ac:dyDescent="0.2">
      <c r="A30" s="1" t="s">
        <v>145</v>
      </c>
    </row>
    <row r="31" spans="1:1" x14ac:dyDescent="0.2">
      <c r="A31" s="1" t="s">
        <v>146</v>
      </c>
    </row>
    <row r="32" spans="1:1" x14ac:dyDescent="0.2">
      <c r="A32" s="1" t="s">
        <v>147</v>
      </c>
    </row>
    <row r="33" spans="1:1" x14ac:dyDescent="0.2">
      <c r="A33" s="1" t="s">
        <v>148</v>
      </c>
    </row>
    <row r="34" spans="1:1" x14ac:dyDescent="0.2">
      <c r="A34" s="1" t="s">
        <v>149</v>
      </c>
    </row>
    <row r="35" spans="1:1" x14ac:dyDescent="0.2">
      <c r="A35" s="1" t="s">
        <v>150</v>
      </c>
    </row>
    <row r="36" spans="1:1" x14ac:dyDescent="0.2">
      <c r="A36" s="1" t="s">
        <v>151</v>
      </c>
    </row>
    <row r="37" spans="1:1" x14ac:dyDescent="0.2">
      <c r="A37" s="1" t="s">
        <v>152</v>
      </c>
    </row>
    <row r="38" spans="1:1" x14ac:dyDescent="0.2">
      <c r="A38" s="1" t="s">
        <v>153</v>
      </c>
    </row>
    <row r="39" spans="1:1" x14ac:dyDescent="0.2">
      <c r="A39" s="1" t="s">
        <v>154</v>
      </c>
    </row>
    <row r="40" spans="1:1" x14ac:dyDescent="0.2">
      <c r="A40" s="1" t="s">
        <v>155</v>
      </c>
    </row>
    <row r="41" spans="1:1" x14ac:dyDescent="0.2">
      <c r="A41" s="1" t="s">
        <v>117</v>
      </c>
    </row>
    <row r="42" spans="1:1" x14ac:dyDescent="0.2">
      <c r="A42" s="1" t="s">
        <v>156</v>
      </c>
    </row>
    <row r="43" spans="1:1" x14ac:dyDescent="0.2">
      <c r="A43" s="1" t="s">
        <v>157</v>
      </c>
    </row>
    <row r="44" spans="1:1" x14ac:dyDescent="0.2">
      <c r="A44" s="1" t="s">
        <v>158</v>
      </c>
    </row>
    <row r="45" spans="1:1" x14ac:dyDescent="0.2">
      <c r="A45" s="1" t="s">
        <v>159</v>
      </c>
    </row>
    <row r="46" spans="1:1" x14ac:dyDescent="0.2">
      <c r="A46" s="1" t="s">
        <v>160</v>
      </c>
    </row>
    <row r="47" spans="1:1" x14ac:dyDescent="0.2">
      <c r="A47" s="1" t="s">
        <v>161</v>
      </c>
    </row>
    <row r="48" spans="1:1" x14ac:dyDescent="0.2">
      <c r="A48" s="1" t="s">
        <v>162</v>
      </c>
    </row>
    <row r="49" spans="1:1" x14ac:dyDescent="0.2">
      <c r="A49" s="1" t="s">
        <v>163</v>
      </c>
    </row>
    <row r="50" spans="1:1" x14ac:dyDescent="0.2">
      <c r="A50" s="1" t="s">
        <v>164</v>
      </c>
    </row>
    <row r="51" spans="1:1" x14ac:dyDescent="0.2">
      <c r="A51" s="1" t="s">
        <v>165</v>
      </c>
    </row>
    <row r="52" spans="1:1" x14ac:dyDescent="0.2">
      <c r="A52" s="1" t="s">
        <v>166</v>
      </c>
    </row>
    <row r="53" spans="1:1" x14ac:dyDescent="0.2">
      <c r="A53" s="1" t="s">
        <v>167</v>
      </c>
    </row>
    <row r="54" spans="1:1" x14ac:dyDescent="0.2">
      <c r="A54" s="1" t="s">
        <v>168</v>
      </c>
    </row>
    <row r="55" spans="1:1" x14ac:dyDescent="0.2">
      <c r="A55" s="1" t="s">
        <v>169</v>
      </c>
    </row>
    <row r="56" spans="1:1" x14ac:dyDescent="0.2">
      <c r="A56" s="1" t="s">
        <v>170</v>
      </c>
    </row>
    <row r="57" spans="1:1" ht="15" x14ac:dyDescent="0.25">
      <c r="A57" s="30" t="s">
        <v>171</v>
      </c>
    </row>
    <row r="58" spans="1:1" x14ac:dyDescent="0.2">
      <c r="A58" s="31" t="s">
        <v>172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50"/>
  <sheetViews>
    <sheetView view="pageBreakPreview" zoomScale="98" zoomScaleSheetLayoutView="98" workbookViewId="0">
      <selection activeCell="G17" sqref="G17"/>
    </sheetView>
  </sheetViews>
  <sheetFormatPr defaultColWidth="9.140625" defaultRowHeight="12.75" outlineLevelRow="1" x14ac:dyDescent="0.2"/>
  <cols>
    <col min="1" max="1" width="8.5703125" style="39" customWidth="1"/>
    <col min="2" max="2" width="36.7109375" style="39" customWidth="1"/>
    <col min="3" max="3" width="7" style="39" customWidth="1"/>
    <col min="4" max="4" width="8.140625" style="39" customWidth="1"/>
    <col min="5" max="5" width="14.140625" style="39" customWidth="1"/>
    <col min="6" max="6" width="15" style="39" customWidth="1"/>
    <col min="7" max="7" width="12.28515625" style="39" customWidth="1"/>
    <col min="8" max="16384" width="9.140625" style="39"/>
  </cols>
  <sheetData>
    <row r="1" spans="1:13" ht="33" customHeight="1" x14ac:dyDescent="0.2"/>
    <row r="2" spans="1:13" ht="18.75" x14ac:dyDescent="0.2">
      <c r="A2" s="40"/>
      <c r="B2" s="146" t="s">
        <v>275</v>
      </c>
      <c r="C2" s="147"/>
      <c r="D2" s="147"/>
      <c r="E2" s="147"/>
      <c r="F2" s="41"/>
      <c r="G2" s="42"/>
    </row>
    <row r="3" spans="1:13" ht="16.5" customHeight="1" thickBot="1" x14ac:dyDescent="0.3">
      <c r="A3" s="43"/>
      <c r="B3" s="43"/>
      <c r="C3" s="43"/>
      <c r="D3" s="43"/>
      <c r="E3" s="43"/>
      <c r="F3" s="43"/>
      <c r="G3" s="44"/>
    </row>
    <row r="4" spans="1:13" ht="46.5" customHeight="1" x14ac:dyDescent="0.2">
      <c r="A4" s="148" t="s">
        <v>276</v>
      </c>
      <c r="B4" s="45" t="s">
        <v>277</v>
      </c>
      <c r="C4" s="150" t="str">
        <f>корабль!O11</f>
        <v>75764 (Ц.Куников)</v>
      </c>
      <c r="D4" s="151"/>
      <c r="E4" s="151"/>
      <c r="F4" s="46" t="s">
        <v>278</v>
      </c>
      <c r="G4" s="47" t="s">
        <v>279</v>
      </c>
    </row>
    <row r="5" spans="1:13" ht="27.75" hidden="1" customHeight="1" x14ac:dyDescent="0.2">
      <c r="A5" s="149"/>
      <c r="B5" s="48"/>
      <c r="C5" s="152"/>
      <c r="D5" s="153"/>
      <c r="E5" s="154"/>
      <c r="F5" s="49"/>
      <c r="G5" s="142">
        <f>корабль!AE11</f>
        <v>1500</v>
      </c>
    </row>
    <row r="6" spans="1:13" ht="32.25" customHeight="1" thickBot="1" x14ac:dyDescent="0.25">
      <c r="A6" s="50">
        <v>44861</v>
      </c>
      <c r="B6" s="51"/>
      <c r="C6" s="144"/>
      <c r="D6" s="144"/>
      <c r="E6" s="144"/>
      <c r="F6" s="52" t="s">
        <v>280</v>
      </c>
      <c r="G6" s="143"/>
    </row>
    <row r="7" spans="1:13" s="58" customFormat="1" ht="10.5" customHeight="1" x14ac:dyDescent="0.2">
      <c r="A7" s="53"/>
      <c r="B7" s="54"/>
      <c r="C7" s="55"/>
      <c r="D7" s="56"/>
      <c r="E7" s="56"/>
      <c r="F7" s="56"/>
      <c r="G7" s="57"/>
    </row>
    <row r="8" spans="1:13" ht="15" hidden="1" outlineLevel="1" x14ac:dyDescent="0.25">
      <c r="A8" s="59" t="s">
        <v>281</v>
      </c>
      <c r="B8" s="43"/>
      <c r="C8" s="155"/>
      <c r="D8" s="155"/>
      <c r="E8" s="155"/>
      <c r="F8" s="59" t="s">
        <v>282</v>
      </c>
      <c r="G8" s="60"/>
    </row>
    <row r="9" spans="1:13" ht="18.75" hidden="1" collapsed="1" x14ac:dyDescent="0.3">
      <c r="A9" s="61"/>
      <c r="B9" s="61" t="s">
        <v>283</v>
      </c>
      <c r="C9" s="62"/>
      <c r="D9" s="62"/>
      <c r="E9" s="62"/>
      <c r="F9" s="63" t="s">
        <v>284</v>
      </c>
      <c r="G9" s="59"/>
    </row>
    <row r="10" spans="1:13" ht="18.75" hidden="1" x14ac:dyDescent="0.3">
      <c r="A10" s="64"/>
      <c r="B10" s="64"/>
      <c r="C10" s="62"/>
      <c r="D10" s="62"/>
      <c r="E10" s="62"/>
      <c r="F10" s="63"/>
      <c r="G10" s="59"/>
      <c r="J10" s="39" t="s">
        <v>285</v>
      </c>
    </row>
    <row r="11" spans="1:13" ht="15.75" thickBot="1" x14ac:dyDescent="0.3">
      <c r="A11" s="65"/>
      <c r="B11" s="59"/>
      <c r="C11" s="59"/>
      <c r="D11" s="59"/>
      <c r="E11" s="59"/>
      <c r="F11" s="59"/>
      <c r="G11" s="59"/>
    </row>
    <row r="12" spans="1:13" ht="24" customHeight="1" x14ac:dyDescent="0.2">
      <c r="A12" s="156" t="s">
        <v>286</v>
      </c>
      <c r="B12" s="66" t="s">
        <v>287</v>
      </c>
      <c r="C12" s="158" t="s">
        <v>288</v>
      </c>
      <c r="D12" s="160" t="s">
        <v>289</v>
      </c>
      <c r="E12" s="67" t="s">
        <v>290</v>
      </c>
      <c r="F12" s="67"/>
      <c r="G12" s="162" t="s">
        <v>291</v>
      </c>
    </row>
    <row r="13" spans="1:13" ht="17.25" customHeight="1" thickBot="1" x14ac:dyDescent="0.25">
      <c r="A13" s="157"/>
      <c r="B13" s="68" t="s">
        <v>292</v>
      </c>
      <c r="C13" s="159"/>
      <c r="D13" s="161"/>
      <c r="E13" s="69" t="s">
        <v>293</v>
      </c>
      <c r="F13" s="70" t="s">
        <v>294</v>
      </c>
      <c r="G13" s="163"/>
      <c r="H13" s="71" t="s">
        <v>295</v>
      </c>
    </row>
    <row r="14" spans="1:13" ht="15" customHeight="1" thickBot="1" x14ac:dyDescent="0.25">
      <c r="A14" s="72">
        <v>1</v>
      </c>
      <c r="B14" s="73">
        <v>2</v>
      </c>
      <c r="C14" s="72">
        <v>3</v>
      </c>
      <c r="D14" s="73">
        <v>4</v>
      </c>
      <c r="E14" s="72">
        <v>5</v>
      </c>
      <c r="F14" s="73">
        <v>6</v>
      </c>
      <c r="G14" s="72">
        <v>7</v>
      </c>
    </row>
    <row r="15" spans="1:13" ht="16.5" customHeight="1" x14ac:dyDescent="0.2">
      <c r="A15" s="74">
        <f>IF(ISBLANK(D15),"",COUNTA(D$15:D15))</f>
        <v>1</v>
      </c>
      <c r="B15" s="75" t="s">
        <v>296</v>
      </c>
      <c r="C15" s="76" t="s">
        <v>96</v>
      </c>
      <c r="D15" s="77">
        <v>7.0200000000000002E-3</v>
      </c>
      <c r="E15" s="78">
        <f>G$5*D15*1</f>
        <v>10.530000000000001</v>
      </c>
      <c r="F15" s="79">
        <v>10.53</v>
      </c>
      <c r="G15" s="79"/>
      <c r="H15" s="80"/>
      <c r="J15" s="39">
        <v>0.81</v>
      </c>
      <c r="L15" s="39">
        <v>100</v>
      </c>
      <c r="M15" s="39">
        <f>J15/L15</f>
        <v>8.1000000000000013E-3</v>
      </c>
    </row>
    <row r="16" spans="1:13" ht="16.5" hidden="1" customHeight="1" x14ac:dyDescent="0.2">
      <c r="A16" s="81">
        <f>IF(ISBLANK(D16),"",COUNTA(D$15:D16))</f>
        <v>2</v>
      </c>
      <c r="B16" s="82" t="s">
        <v>297</v>
      </c>
      <c r="C16" s="83" t="s">
        <v>96</v>
      </c>
      <c r="D16" s="84">
        <f>5.25/30/100</f>
        <v>1.7499999999999998E-3</v>
      </c>
      <c r="E16" s="85">
        <f>G$5*D16</f>
        <v>2.6249999999999996</v>
      </c>
      <c r="F16" s="86">
        <v>3.5</v>
      </c>
      <c r="G16" s="86"/>
      <c r="H16" s="80"/>
      <c r="J16" s="39">
        <v>5.25</v>
      </c>
      <c r="K16" s="39">
        <v>30</v>
      </c>
      <c r="L16" s="39">
        <v>100</v>
      </c>
      <c r="M16" s="39">
        <f>J16/K16/L16</f>
        <v>1.7499999999999998E-3</v>
      </c>
    </row>
    <row r="17" spans="1:9" ht="15" x14ac:dyDescent="0.2">
      <c r="A17" s="81">
        <v>2</v>
      </c>
      <c r="B17" s="87" t="s">
        <v>298</v>
      </c>
      <c r="C17" s="88" t="s">
        <v>96</v>
      </c>
      <c r="D17" s="89">
        <v>4</v>
      </c>
      <c r="E17" s="85">
        <f>G$5*D17</f>
        <v>6000</v>
      </c>
      <c r="F17" s="90">
        <v>6000</v>
      </c>
      <c r="G17" s="91"/>
      <c r="H17" s="71"/>
    </row>
    <row r="18" spans="1:9" ht="15" hidden="1" x14ac:dyDescent="0.2">
      <c r="A18" s="92">
        <v>1</v>
      </c>
      <c r="B18" s="93" t="s">
        <v>299</v>
      </c>
      <c r="C18" s="94"/>
      <c r="D18" s="95"/>
      <c r="E18" s="96">
        <f>SUM(E15:E17)</f>
        <v>6013.1549999999997</v>
      </c>
      <c r="F18" s="97" t="s">
        <v>96</v>
      </c>
      <c r="G18" s="98"/>
      <c r="H18" s="71"/>
    </row>
    <row r="19" spans="1:9" ht="15.75" hidden="1" x14ac:dyDescent="0.2">
      <c r="A19" s="99">
        <v>1</v>
      </c>
      <c r="B19" s="100"/>
      <c r="C19" s="101"/>
      <c r="D19" s="101"/>
      <c r="E19" s="102">
        <f>C19*D19</f>
        <v>0</v>
      </c>
      <c r="F19" s="103"/>
      <c r="G19" s="98"/>
      <c r="H19" s="71"/>
    </row>
    <row r="20" spans="1:9" ht="12.75" hidden="1" customHeight="1" x14ac:dyDescent="0.25">
      <c r="A20" s="43"/>
      <c r="B20" s="43"/>
      <c r="C20" s="43"/>
      <c r="D20" s="43"/>
      <c r="E20" s="43"/>
      <c r="F20" s="43"/>
      <c r="G20" s="43"/>
      <c r="H20" s="71"/>
    </row>
    <row r="21" spans="1:9" ht="30.75" customHeight="1" x14ac:dyDescent="0.25">
      <c r="A21" s="104">
        <v>1</v>
      </c>
      <c r="B21" s="105"/>
      <c r="C21" s="106"/>
      <c r="E21" s="107" t="s">
        <v>300</v>
      </c>
      <c r="F21" s="108"/>
      <c r="G21" s="109"/>
    </row>
    <row r="22" spans="1:9" ht="15.75" hidden="1" x14ac:dyDescent="0.2">
      <c r="A22" s="104">
        <v>1</v>
      </c>
      <c r="B22" s="110"/>
      <c r="C22" s="106"/>
      <c r="E22" s="111"/>
      <c r="F22" s="108"/>
      <c r="G22" s="109"/>
    </row>
    <row r="23" spans="1:9" ht="15.75" x14ac:dyDescent="0.2">
      <c r="A23" s="104"/>
      <c r="B23" s="112"/>
      <c r="C23" s="106"/>
      <c r="E23" s="113" t="s">
        <v>301</v>
      </c>
      <c r="F23" s="108"/>
      <c r="G23" s="109"/>
    </row>
    <row r="24" spans="1:9" ht="16.5" x14ac:dyDescent="0.25">
      <c r="A24" s="104">
        <v>1</v>
      </c>
      <c r="B24" s="71" t="s">
        <v>302</v>
      </c>
      <c r="C24" s="145" t="s">
        <v>303</v>
      </c>
      <c r="D24" s="145"/>
      <c r="E24" s="114"/>
      <c r="F24" s="115">
        <f>'[2]Норма ОК 3 (испр.)'!E131</f>
        <v>0</v>
      </c>
      <c r="G24" s="116"/>
      <c r="H24" s="117"/>
      <c r="I24" s="117"/>
    </row>
    <row r="25" spans="1:9" ht="15" x14ac:dyDescent="0.2">
      <c r="A25" s="118">
        <v>1</v>
      </c>
      <c r="B25" s="119" t="s">
        <v>304</v>
      </c>
      <c r="D25" s="120"/>
      <c r="E25" s="120"/>
      <c r="F25" s="164" t="s">
        <v>51</v>
      </c>
      <c r="G25" s="164"/>
    </row>
    <row r="26" spans="1:9" ht="30" customHeight="1" x14ac:dyDescent="0.25">
      <c r="A26" s="121">
        <v>1</v>
      </c>
      <c r="B26" s="122"/>
      <c r="C26" s="122"/>
      <c r="E26" s="122"/>
      <c r="F26" s="122"/>
      <c r="G26" s="123"/>
    </row>
    <row r="27" spans="1:9" ht="55.5" hidden="1" customHeight="1" thickBot="1" x14ac:dyDescent="0.25">
      <c r="A27" s="40"/>
      <c r="B27" s="146" t="s">
        <v>275</v>
      </c>
      <c r="C27" s="147"/>
      <c r="D27" s="147"/>
      <c r="E27" s="147"/>
      <c r="F27" s="41"/>
      <c r="G27" s="42"/>
    </row>
    <row r="28" spans="1:9" ht="15" hidden="1" x14ac:dyDescent="0.25">
      <c r="A28" s="43"/>
      <c r="B28" s="43"/>
      <c r="C28" s="43"/>
      <c r="D28" s="43"/>
      <c r="E28" s="43"/>
      <c r="F28" s="43"/>
      <c r="G28" s="44"/>
    </row>
    <row r="29" spans="1:9" ht="42.75" hidden="1" customHeight="1" x14ac:dyDescent="0.2">
      <c r="A29" s="148" t="s">
        <v>276</v>
      </c>
      <c r="B29" s="45" t="s">
        <v>305</v>
      </c>
      <c r="C29" s="151" t="s">
        <v>306</v>
      </c>
      <c r="D29" s="151"/>
      <c r="E29" s="151"/>
      <c r="F29" s="46" t="s">
        <v>278</v>
      </c>
      <c r="G29" s="47" t="s">
        <v>279</v>
      </c>
    </row>
    <row r="30" spans="1:9" ht="15" hidden="1" x14ac:dyDescent="0.2">
      <c r="A30" s="149"/>
      <c r="B30" s="48"/>
      <c r="C30" s="152"/>
      <c r="D30" s="153"/>
      <c r="E30" s="154"/>
      <c r="F30" s="49"/>
      <c r="G30" s="142">
        <v>3000</v>
      </c>
    </row>
    <row r="31" spans="1:9" ht="15.75" hidden="1" thickBot="1" x14ac:dyDescent="0.25">
      <c r="A31" s="50">
        <v>42569</v>
      </c>
      <c r="B31" s="51"/>
      <c r="C31" s="144"/>
      <c r="D31" s="144"/>
      <c r="E31" s="144"/>
      <c r="F31" s="52" t="s">
        <v>280</v>
      </c>
      <c r="G31" s="143"/>
    </row>
    <row r="32" spans="1:9" ht="15" hidden="1" customHeight="1" x14ac:dyDescent="0.2">
      <c r="A32" s="53"/>
      <c r="B32" s="54"/>
      <c r="C32" s="55"/>
      <c r="D32" s="56"/>
      <c r="E32" s="56"/>
      <c r="F32" s="56"/>
      <c r="G32" s="57"/>
    </row>
    <row r="33" spans="1:7" ht="15" hidden="1" customHeight="1" x14ac:dyDescent="0.25">
      <c r="A33" s="59" t="s">
        <v>281</v>
      </c>
      <c r="B33" s="43"/>
      <c r="C33" s="155"/>
      <c r="D33" s="155"/>
      <c r="E33" s="155"/>
      <c r="F33" s="59" t="s">
        <v>282</v>
      </c>
      <c r="G33" s="60"/>
    </row>
    <row r="34" spans="1:7" ht="30" hidden="1" customHeight="1" x14ac:dyDescent="0.3">
      <c r="A34" s="61"/>
      <c r="B34" s="61" t="s">
        <v>283</v>
      </c>
      <c r="C34" s="62"/>
      <c r="D34" s="62"/>
      <c r="E34" s="62"/>
      <c r="F34" s="63" t="s">
        <v>284</v>
      </c>
      <c r="G34" s="59"/>
    </row>
    <row r="35" spans="1:7" ht="18.75" hidden="1" customHeight="1" x14ac:dyDescent="0.3">
      <c r="A35" s="64"/>
      <c r="B35" s="64"/>
      <c r="C35" s="62"/>
      <c r="D35" s="62"/>
      <c r="E35" s="62"/>
      <c r="F35" s="63"/>
      <c r="G35" s="59"/>
    </row>
    <row r="36" spans="1:7" ht="15" hidden="1" x14ac:dyDescent="0.25">
      <c r="A36" s="65"/>
      <c r="B36" s="59"/>
      <c r="C36" s="59"/>
      <c r="D36" s="59"/>
      <c r="E36" s="59"/>
      <c r="F36" s="59"/>
      <c r="G36" s="59"/>
    </row>
    <row r="37" spans="1:7" ht="15" hidden="1" customHeight="1" x14ac:dyDescent="0.2">
      <c r="A37" s="156" t="s">
        <v>286</v>
      </c>
      <c r="B37" s="66" t="s">
        <v>287</v>
      </c>
      <c r="C37" s="158" t="s">
        <v>288</v>
      </c>
      <c r="D37" s="160" t="s">
        <v>289</v>
      </c>
      <c r="E37" s="67" t="s">
        <v>290</v>
      </c>
      <c r="F37" s="67"/>
      <c r="G37" s="162" t="s">
        <v>291</v>
      </c>
    </row>
    <row r="38" spans="1:7" ht="15.75" hidden="1" thickBot="1" x14ac:dyDescent="0.25">
      <c r="A38" s="157"/>
      <c r="B38" s="68" t="s">
        <v>292</v>
      </c>
      <c r="C38" s="159"/>
      <c r="D38" s="161"/>
      <c r="E38" s="69" t="s">
        <v>293</v>
      </c>
      <c r="F38" s="70" t="s">
        <v>294</v>
      </c>
      <c r="G38" s="163"/>
    </row>
    <row r="39" spans="1:7" ht="13.5" hidden="1" thickBot="1" x14ac:dyDescent="0.25">
      <c r="A39" s="72">
        <v>1</v>
      </c>
      <c r="B39" s="73">
        <v>2</v>
      </c>
      <c r="C39" s="72">
        <v>3</v>
      </c>
      <c r="D39" s="73">
        <v>4</v>
      </c>
      <c r="E39" s="72">
        <v>5</v>
      </c>
      <c r="F39" s="73">
        <v>6</v>
      </c>
      <c r="G39" s="72">
        <v>7</v>
      </c>
    </row>
    <row r="40" spans="1:7" ht="15" hidden="1" x14ac:dyDescent="0.2">
      <c r="A40" s="74">
        <v>1</v>
      </c>
      <c r="B40" s="75" t="s">
        <v>296</v>
      </c>
      <c r="C40" s="76" t="s">
        <v>96</v>
      </c>
      <c r="D40" s="77">
        <v>7.0200000000000002E-3</v>
      </c>
      <c r="E40" s="78">
        <f>G$5*D40*1</f>
        <v>10.530000000000001</v>
      </c>
      <c r="F40" s="79">
        <v>11.231999999999999</v>
      </c>
      <c r="G40" s="79"/>
    </row>
    <row r="41" spans="1:7" ht="15" hidden="1" x14ac:dyDescent="0.2">
      <c r="A41" s="81">
        <v>2</v>
      </c>
      <c r="B41" s="82" t="s">
        <v>297</v>
      </c>
      <c r="C41" s="83" t="s">
        <v>96</v>
      </c>
      <c r="D41" s="84">
        <f>5.25/30/100</f>
        <v>1.7499999999999998E-3</v>
      </c>
      <c r="E41" s="85">
        <f>G$5*D41</f>
        <v>2.6249999999999996</v>
      </c>
      <c r="F41" s="86">
        <v>2.8</v>
      </c>
      <c r="G41" s="86"/>
    </row>
    <row r="42" spans="1:7" ht="15" hidden="1" x14ac:dyDescent="0.2">
      <c r="A42" s="81">
        <v>3</v>
      </c>
      <c r="B42" s="87" t="s">
        <v>298</v>
      </c>
      <c r="C42" s="88" t="s">
        <v>96</v>
      </c>
      <c r="D42" s="89">
        <v>3</v>
      </c>
      <c r="E42" s="85">
        <f>G$5*D42</f>
        <v>4500</v>
      </c>
      <c r="F42" s="90">
        <v>4800</v>
      </c>
      <c r="G42" s="91"/>
    </row>
    <row r="43" spans="1:7" ht="15" hidden="1" customHeight="1" x14ac:dyDescent="0.2">
      <c r="A43" s="92">
        <v>1</v>
      </c>
      <c r="B43" s="93" t="s">
        <v>299</v>
      </c>
      <c r="C43" s="94"/>
      <c r="D43" s="95"/>
      <c r="E43" s="96">
        <f>SUM(E40:E42)</f>
        <v>4513.1549999999997</v>
      </c>
      <c r="F43" s="97" t="s">
        <v>96</v>
      </c>
      <c r="G43" s="98"/>
    </row>
    <row r="44" spans="1:7" ht="15.75" hidden="1" customHeight="1" x14ac:dyDescent="0.2">
      <c r="A44" s="99">
        <v>1</v>
      </c>
      <c r="B44" s="100"/>
      <c r="C44" s="101"/>
      <c r="D44" s="101"/>
      <c r="E44" s="102">
        <f>C44*D44</f>
        <v>0</v>
      </c>
      <c r="F44" s="103"/>
      <c r="G44" s="98"/>
    </row>
    <row r="45" spans="1:7" ht="15" hidden="1" customHeight="1" x14ac:dyDescent="0.25">
      <c r="A45" s="43"/>
      <c r="B45" s="43"/>
      <c r="C45" s="43"/>
      <c r="D45" s="43"/>
      <c r="E45" s="43"/>
      <c r="F45" s="43"/>
      <c r="G45" s="43"/>
    </row>
    <row r="46" spans="1:7" ht="30.75" hidden="1" customHeight="1" x14ac:dyDescent="0.25">
      <c r="A46" s="104">
        <v>1</v>
      </c>
      <c r="B46" s="105"/>
      <c r="C46" s="106"/>
      <c r="E46" s="107" t="s">
        <v>300</v>
      </c>
      <c r="F46" s="108"/>
      <c r="G46" s="109"/>
    </row>
    <row r="47" spans="1:7" ht="15.75" hidden="1" customHeight="1" x14ac:dyDescent="0.2">
      <c r="A47" s="104">
        <v>1</v>
      </c>
      <c r="B47" s="110"/>
      <c r="C47" s="106"/>
      <c r="E47" s="111"/>
      <c r="F47" s="108"/>
      <c r="G47" s="109"/>
    </row>
    <row r="48" spans="1:7" ht="15.75" hidden="1" x14ac:dyDescent="0.2">
      <c r="A48" s="104"/>
      <c r="B48" s="112"/>
      <c r="C48" s="106"/>
      <c r="E48" s="113" t="s">
        <v>301</v>
      </c>
      <c r="F48" s="108"/>
      <c r="G48" s="109"/>
    </row>
    <row r="49" spans="1:7" ht="15.75" hidden="1" x14ac:dyDescent="0.25">
      <c r="A49" s="104">
        <v>1</v>
      </c>
      <c r="B49" s="71" t="s">
        <v>302</v>
      </c>
      <c r="C49" s="145" t="s">
        <v>284</v>
      </c>
      <c r="D49" s="145"/>
      <c r="E49" s="114"/>
      <c r="F49" s="124" t="s">
        <v>307</v>
      </c>
      <c r="G49" s="116"/>
    </row>
    <row r="50" spans="1:7" ht="15" hidden="1" x14ac:dyDescent="0.2">
      <c r="A50" s="118">
        <v>1</v>
      </c>
      <c r="B50" s="119" t="s">
        <v>304</v>
      </c>
      <c r="D50" s="120"/>
      <c r="E50" s="120"/>
      <c r="F50" s="164" t="s">
        <v>51</v>
      </c>
      <c r="G50" s="164"/>
    </row>
  </sheetData>
  <autoFilter ref="A13:H20" xr:uid="{00000000-0009-0000-0000-000001000000}"/>
  <mergeCells count="26">
    <mergeCell ref="F50:G50"/>
    <mergeCell ref="C33:E33"/>
    <mergeCell ref="A37:A38"/>
    <mergeCell ref="C37:C38"/>
    <mergeCell ref="D37:D38"/>
    <mergeCell ref="G37:G38"/>
    <mergeCell ref="C49:D49"/>
    <mergeCell ref="F25:G25"/>
    <mergeCell ref="B27:E27"/>
    <mergeCell ref="A29:A30"/>
    <mergeCell ref="C29:E29"/>
    <mergeCell ref="C30:E30"/>
    <mergeCell ref="G30:G31"/>
    <mergeCell ref="C31:E31"/>
    <mergeCell ref="G5:G6"/>
    <mergeCell ref="C6:E6"/>
    <mergeCell ref="C24:D24"/>
    <mergeCell ref="B2:E2"/>
    <mergeCell ref="A4:A5"/>
    <mergeCell ref="C4:E4"/>
    <mergeCell ref="C5:E5"/>
    <mergeCell ref="C8:E8"/>
    <mergeCell ref="A12:A13"/>
    <mergeCell ref="C12:C13"/>
    <mergeCell ref="D12:D13"/>
    <mergeCell ref="G12:G13"/>
  </mergeCells>
  <pageMargins left="0.23622047244094491" right="0.19685039370078741" top="0.15748031496062992" bottom="0.15748031496062992" header="0.31496062992125984" footer="0.31496062992125984"/>
  <pageSetup paperSize="9" scale="98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9" filterMode="1"/>
  <dimension ref="A1:AT192"/>
  <sheetViews>
    <sheetView tabSelected="1" view="pageBreakPreview" topLeftCell="A7" zoomScale="80" zoomScaleSheetLayoutView="80" workbookViewId="0">
      <selection activeCell="G25" sqref="G25:M25"/>
    </sheetView>
  </sheetViews>
  <sheetFormatPr defaultColWidth="2.7109375" defaultRowHeight="15" x14ac:dyDescent="0.2"/>
  <cols>
    <col min="1" max="2" width="2.7109375" style="1" customWidth="1"/>
    <col min="3" max="3" width="3.42578125" style="1" customWidth="1"/>
    <col min="4" max="4" width="4" style="1" customWidth="1"/>
    <col min="5" max="5" width="3.85546875" style="1" customWidth="1"/>
    <col min="6" max="6" width="2" style="1" customWidth="1"/>
    <col min="7" max="9" width="2.7109375" style="1" customWidth="1"/>
    <col min="10" max="10" width="4.42578125" style="1" customWidth="1"/>
    <col min="11" max="11" width="3.28515625" style="1" customWidth="1"/>
    <col min="12" max="12" width="5.42578125" style="1" customWidth="1"/>
    <col min="13" max="13" width="75.42578125" style="1" customWidth="1"/>
    <col min="14" max="14" width="15.5703125" style="1" customWidth="1"/>
    <col min="15" max="15" width="6.42578125" style="1" customWidth="1"/>
    <col min="16" max="16" width="4.5703125" style="1" customWidth="1"/>
    <col min="17" max="17" width="2.5703125" style="1" customWidth="1"/>
    <col min="18" max="18" width="5.28515625" style="1" customWidth="1"/>
    <col min="19" max="19" width="3.140625" style="1" customWidth="1"/>
    <col min="20" max="20" width="9.140625" style="1" customWidth="1"/>
    <col min="21" max="21" width="1.140625" style="1" customWidth="1"/>
    <col min="22" max="22" width="21" style="1" customWidth="1"/>
    <col min="23" max="23" width="8.5703125" style="1" customWidth="1"/>
    <col min="24" max="24" width="7.85546875" style="1" customWidth="1"/>
    <col min="25" max="25" width="24" style="1" customWidth="1"/>
    <col min="26" max="26" width="3.28515625" style="1" customWidth="1"/>
    <col min="27" max="27" width="3" style="1" customWidth="1"/>
    <col min="28" max="28" width="4" style="1" customWidth="1"/>
    <col min="29" max="29" width="6.7109375" style="1" customWidth="1"/>
    <col min="30" max="30" width="6.28515625" style="1" customWidth="1"/>
    <col min="31" max="32" width="3.140625" style="1" customWidth="1"/>
    <col min="33" max="33" width="10.140625" style="1" customWidth="1"/>
    <col min="34" max="34" width="11.42578125" style="1" customWidth="1"/>
    <col min="35" max="35" width="22" style="2" hidden="1" customWidth="1"/>
    <col min="36" max="36" width="17.85546875" style="2" hidden="1" customWidth="1"/>
    <col min="37" max="37" width="6" style="1" hidden="1" customWidth="1"/>
    <col min="38" max="38" width="19.5703125" style="1" customWidth="1"/>
    <col min="39" max="39" width="11" style="1" customWidth="1"/>
    <col min="40" max="40" width="2.7109375" style="1" customWidth="1"/>
    <col min="41" max="41" width="3.42578125" style="1" bestFit="1" customWidth="1"/>
    <col min="42" max="45" width="2.7109375" style="1"/>
    <col min="46" max="46" width="8.140625" style="1" hidden="1" customWidth="1"/>
    <col min="47" max="16384" width="2.7109375" style="1"/>
  </cols>
  <sheetData>
    <row r="1" spans="1:36" ht="22.5" customHeight="1" x14ac:dyDescent="0.2">
      <c r="A1" s="318" t="s">
        <v>0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318"/>
      <c r="Z1" s="318"/>
      <c r="AA1" s="318"/>
      <c r="AB1" s="318"/>
      <c r="AC1" s="318"/>
      <c r="AD1" s="318"/>
      <c r="AE1" s="318"/>
      <c r="AF1" s="318"/>
      <c r="AG1" s="318"/>
      <c r="AH1" s="128"/>
    </row>
    <row r="2" spans="1:36" ht="11.25" customHeight="1" x14ac:dyDescent="0.2">
      <c r="A2" s="318" t="s">
        <v>1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  <c r="Y2" s="318"/>
      <c r="Z2" s="318"/>
      <c r="AA2" s="318"/>
      <c r="AB2" s="318"/>
      <c r="AC2" s="318"/>
      <c r="AD2" s="318"/>
      <c r="AE2" s="318"/>
      <c r="AF2" s="318"/>
      <c r="AG2" s="318"/>
      <c r="AH2" s="128"/>
    </row>
    <row r="3" spans="1:36" ht="14.25" customHeight="1" x14ac:dyDescent="0.2">
      <c r="A3" s="318" t="s">
        <v>2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  <c r="Y3" s="318"/>
      <c r="Z3" s="318"/>
      <c r="AA3" s="318"/>
      <c r="AB3" s="318"/>
      <c r="AC3" s="318"/>
      <c r="AD3" s="318"/>
      <c r="AE3" s="318"/>
      <c r="AF3" s="318"/>
      <c r="AG3" s="318"/>
      <c r="AH3" s="128"/>
    </row>
    <row r="4" spans="1:36" s="3" customFormat="1" ht="15.75" x14ac:dyDescent="0.25">
      <c r="A4" s="129"/>
      <c r="B4" s="129"/>
      <c r="C4" s="129"/>
      <c r="D4" s="129"/>
      <c r="E4" s="129"/>
      <c r="F4" s="129"/>
      <c r="G4" s="129"/>
      <c r="H4" s="129"/>
      <c r="I4" s="129"/>
      <c r="J4" s="128"/>
      <c r="K4" s="130"/>
      <c r="L4" s="130"/>
      <c r="M4" s="128"/>
      <c r="N4" s="339" t="s">
        <v>3</v>
      </c>
      <c r="O4" s="339"/>
      <c r="P4" s="339"/>
      <c r="Q4" s="339"/>
      <c r="R4" s="339"/>
      <c r="S4" s="339"/>
      <c r="T4" s="339"/>
      <c r="U4" s="340" t="s">
        <v>321</v>
      </c>
      <c r="V4" s="340"/>
      <c r="W4" s="340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8"/>
    </row>
    <row r="5" spans="1:36" ht="16.5" thickBot="1" x14ac:dyDescent="0.3">
      <c r="A5" s="128"/>
      <c r="B5" s="128"/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341" t="s">
        <v>95</v>
      </c>
      <c r="N5" s="341"/>
      <c r="O5" s="341"/>
      <c r="P5" s="341"/>
      <c r="Q5" s="341"/>
      <c r="R5" s="341"/>
      <c r="S5" s="341"/>
      <c r="T5" s="341"/>
      <c r="U5" s="342" t="s">
        <v>91</v>
      </c>
      <c r="V5" s="342"/>
      <c r="W5" s="342"/>
      <c r="X5" s="131" t="s">
        <v>4</v>
      </c>
      <c r="Y5" s="132">
        <v>45009</v>
      </c>
      <c r="Z5" s="130" t="s">
        <v>5</v>
      </c>
      <c r="AA5" s="133"/>
      <c r="AB5" s="343" t="s">
        <v>6</v>
      </c>
      <c r="AC5" s="343"/>
      <c r="AD5" s="343"/>
      <c r="AE5" s="343"/>
      <c r="AF5" s="343"/>
      <c r="AG5" s="343"/>
      <c r="AH5" s="128"/>
    </row>
    <row r="6" spans="1:36" ht="11.25" customHeight="1" x14ac:dyDescent="0.2">
      <c r="A6" s="128" t="s">
        <v>7</v>
      </c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28"/>
      <c r="V6" s="128"/>
      <c r="W6" s="318" t="s">
        <v>8</v>
      </c>
      <c r="X6" s="318"/>
      <c r="Y6" s="318"/>
      <c r="Z6" s="318"/>
      <c r="AA6" s="319"/>
      <c r="AB6" s="320" t="s">
        <v>9</v>
      </c>
      <c r="AC6" s="321"/>
      <c r="AD6" s="321"/>
      <c r="AE6" s="321"/>
      <c r="AF6" s="321"/>
      <c r="AG6" s="322"/>
      <c r="AH6" s="128"/>
    </row>
    <row r="7" spans="1:36" ht="20.25" customHeight="1" thickBot="1" x14ac:dyDescent="0.25">
      <c r="A7" s="323" t="s">
        <v>10</v>
      </c>
      <c r="B7" s="323"/>
      <c r="C7" s="323"/>
      <c r="D7" s="323"/>
      <c r="E7" s="324" t="s">
        <v>112</v>
      </c>
      <c r="F7" s="324"/>
      <c r="G7" s="324"/>
      <c r="H7" s="324"/>
      <c r="I7" s="324"/>
      <c r="J7" s="324"/>
      <c r="K7" s="324"/>
      <c r="L7" s="324"/>
      <c r="M7" s="324"/>
      <c r="N7" s="324"/>
      <c r="O7" s="324"/>
      <c r="P7" s="324"/>
      <c r="Q7" s="324"/>
      <c r="R7" s="324"/>
      <c r="S7" s="324"/>
      <c r="T7" s="324"/>
      <c r="U7" s="324"/>
      <c r="V7" s="324"/>
      <c r="W7" s="324"/>
      <c r="X7" s="324"/>
      <c r="Y7" s="318" t="s">
        <v>11</v>
      </c>
      <c r="Z7" s="318"/>
      <c r="AA7" s="319"/>
      <c r="AB7" s="325"/>
      <c r="AC7" s="326"/>
      <c r="AD7" s="326"/>
      <c r="AE7" s="326"/>
      <c r="AF7" s="326"/>
      <c r="AG7" s="327"/>
      <c r="AH7" s="128"/>
    </row>
    <row r="8" spans="1:36" ht="9" customHeight="1" x14ac:dyDescent="0.2">
      <c r="A8" s="128" t="s">
        <v>7</v>
      </c>
      <c r="B8" s="128" t="s">
        <v>7</v>
      </c>
      <c r="C8" s="128" t="s">
        <v>7</v>
      </c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</row>
    <row r="9" spans="1:36" ht="22.5" customHeight="1" x14ac:dyDescent="0.2">
      <c r="A9" s="361" t="s">
        <v>12</v>
      </c>
      <c r="B9" s="362"/>
      <c r="C9" s="362"/>
      <c r="D9" s="362"/>
      <c r="E9" s="363"/>
      <c r="F9" s="289" t="s">
        <v>13</v>
      </c>
      <c r="G9" s="289"/>
      <c r="H9" s="289"/>
      <c r="I9" s="289" t="s">
        <v>14</v>
      </c>
      <c r="J9" s="289"/>
      <c r="K9" s="289"/>
      <c r="L9" s="289"/>
      <c r="M9" s="289"/>
      <c r="N9" s="289"/>
      <c r="O9" s="211" t="s">
        <v>15</v>
      </c>
      <c r="P9" s="211"/>
      <c r="Q9" s="211"/>
      <c r="R9" s="211"/>
      <c r="S9" s="211"/>
      <c r="T9" s="211"/>
      <c r="U9" s="211"/>
      <c r="V9" s="211"/>
      <c r="W9" s="211"/>
      <c r="X9" s="212"/>
      <c r="Y9" s="289" t="s">
        <v>16</v>
      </c>
      <c r="Z9" s="289"/>
      <c r="AA9" s="289"/>
      <c r="AB9" s="289"/>
      <c r="AC9" s="289"/>
      <c r="AD9" s="289"/>
      <c r="AE9" s="289" t="s">
        <v>17</v>
      </c>
      <c r="AF9" s="289"/>
      <c r="AG9" s="289"/>
      <c r="AH9" s="128"/>
    </row>
    <row r="10" spans="1:36" ht="87" customHeight="1" x14ac:dyDescent="0.2">
      <c r="A10" s="364"/>
      <c r="B10" s="365"/>
      <c r="C10" s="365"/>
      <c r="D10" s="365"/>
      <c r="E10" s="366"/>
      <c r="F10" s="344"/>
      <c r="G10" s="344"/>
      <c r="H10" s="344"/>
      <c r="I10" s="289" t="s">
        <v>18</v>
      </c>
      <c r="J10" s="289"/>
      <c r="K10" s="289"/>
      <c r="L10" s="289"/>
      <c r="M10" s="289" t="s">
        <v>19</v>
      </c>
      <c r="N10" s="289"/>
      <c r="O10" s="289" t="s">
        <v>18</v>
      </c>
      <c r="P10" s="289"/>
      <c r="Q10" s="289"/>
      <c r="R10" s="289"/>
      <c r="S10" s="289" t="s">
        <v>19</v>
      </c>
      <c r="T10" s="289"/>
      <c r="U10" s="289"/>
      <c r="V10" s="289"/>
      <c r="W10" s="289"/>
      <c r="X10" s="289"/>
      <c r="Y10" s="344" t="s">
        <v>20</v>
      </c>
      <c r="Z10" s="344"/>
      <c r="AA10" s="344"/>
      <c r="AB10" s="344" t="s">
        <v>21</v>
      </c>
      <c r="AC10" s="344"/>
      <c r="AD10" s="344"/>
      <c r="AE10" s="344"/>
      <c r="AF10" s="344"/>
      <c r="AG10" s="344"/>
      <c r="AH10" s="128"/>
    </row>
    <row r="11" spans="1:36" ht="51" customHeight="1" x14ac:dyDescent="0.2">
      <c r="A11" s="345">
        <f>Y5</f>
        <v>45009</v>
      </c>
      <c r="B11" s="346"/>
      <c r="C11" s="346"/>
      <c r="D11" s="346"/>
      <c r="E11" s="347"/>
      <c r="F11" s="289" t="s">
        <v>7</v>
      </c>
      <c r="G11" s="289"/>
      <c r="H11" s="289"/>
      <c r="I11" s="355" t="s">
        <v>119</v>
      </c>
      <c r="J11" s="355"/>
      <c r="K11" s="355"/>
      <c r="L11" s="355"/>
      <c r="M11" s="290" t="s">
        <v>22</v>
      </c>
      <c r="N11" s="358" t="s">
        <v>91</v>
      </c>
      <c r="O11" s="360" t="s">
        <v>314</v>
      </c>
      <c r="P11" s="360"/>
      <c r="Q11" s="360"/>
      <c r="R11" s="360"/>
      <c r="S11" s="360" t="s">
        <v>320</v>
      </c>
      <c r="T11" s="360"/>
      <c r="U11" s="360"/>
      <c r="V11" s="360"/>
      <c r="W11" s="360"/>
      <c r="X11" s="360"/>
      <c r="Y11" s="290" t="s">
        <v>90</v>
      </c>
      <c r="Z11" s="290"/>
      <c r="AA11" s="290"/>
      <c r="AB11" s="367" t="s">
        <v>117</v>
      </c>
      <c r="AC11" s="368"/>
      <c r="AD11" s="369"/>
      <c r="AE11" s="370">
        <v>1500</v>
      </c>
      <c r="AF11" s="370"/>
      <c r="AG11" s="370"/>
      <c r="AH11" s="134"/>
    </row>
    <row r="12" spans="1:36" ht="45.75" hidden="1" customHeight="1" x14ac:dyDescent="0.2">
      <c r="A12" s="348"/>
      <c r="B12" s="349"/>
      <c r="C12" s="349"/>
      <c r="D12" s="349"/>
      <c r="E12" s="350"/>
      <c r="F12" s="354"/>
      <c r="G12" s="354"/>
      <c r="H12" s="354"/>
      <c r="I12" s="356"/>
      <c r="J12" s="356"/>
      <c r="K12" s="356"/>
      <c r="L12" s="356"/>
      <c r="M12" s="357"/>
      <c r="N12" s="359"/>
      <c r="O12" s="165" t="s">
        <v>314</v>
      </c>
      <c r="P12" s="165"/>
      <c r="Q12" s="165"/>
      <c r="R12" s="165"/>
      <c r="S12" s="360" t="s">
        <v>318</v>
      </c>
      <c r="T12" s="360"/>
      <c r="U12" s="360"/>
      <c r="V12" s="360"/>
      <c r="W12" s="360"/>
      <c r="X12" s="360"/>
      <c r="Y12" s="166" t="s">
        <v>90</v>
      </c>
      <c r="Z12" s="166"/>
      <c r="AA12" s="166"/>
      <c r="AB12" s="167" t="s">
        <v>159</v>
      </c>
      <c r="AC12" s="168"/>
      <c r="AD12" s="169"/>
      <c r="AE12" s="170">
        <v>0</v>
      </c>
      <c r="AF12" s="171"/>
      <c r="AG12" s="172"/>
      <c r="AH12" s="4"/>
    </row>
    <row r="13" spans="1:36" ht="58.5" hidden="1" customHeight="1" x14ac:dyDescent="0.2">
      <c r="A13" s="348"/>
      <c r="B13" s="349"/>
      <c r="C13" s="349"/>
      <c r="D13" s="349"/>
      <c r="E13" s="350"/>
      <c r="F13" s="354"/>
      <c r="G13" s="354"/>
      <c r="H13" s="354"/>
      <c r="I13" s="356"/>
      <c r="J13" s="356"/>
      <c r="K13" s="356"/>
      <c r="L13" s="356"/>
      <c r="M13" s="357"/>
      <c r="N13" s="359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6"/>
      <c r="Z13" s="166"/>
      <c r="AA13" s="166"/>
      <c r="AB13" s="167"/>
      <c r="AC13" s="168"/>
      <c r="AD13" s="169"/>
      <c r="AE13" s="170">
        <v>0</v>
      </c>
      <c r="AF13" s="171"/>
      <c r="AG13" s="172"/>
      <c r="AH13" s="4"/>
    </row>
    <row r="14" spans="1:36" ht="50.25" hidden="1" customHeight="1" x14ac:dyDescent="0.2">
      <c r="A14" s="348"/>
      <c r="B14" s="349"/>
      <c r="C14" s="349"/>
      <c r="D14" s="349"/>
      <c r="E14" s="350"/>
      <c r="F14" s="354"/>
      <c r="G14" s="354"/>
      <c r="H14" s="354"/>
      <c r="I14" s="356"/>
      <c r="J14" s="356"/>
      <c r="K14" s="356"/>
      <c r="L14" s="356"/>
      <c r="M14" s="357"/>
      <c r="N14" s="359"/>
      <c r="O14" s="165" t="s">
        <v>312</v>
      </c>
      <c r="P14" s="165"/>
      <c r="Q14" s="165"/>
      <c r="R14" s="165"/>
      <c r="S14" s="165" t="s">
        <v>313</v>
      </c>
      <c r="T14" s="165"/>
      <c r="U14" s="165"/>
      <c r="V14" s="165"/>
      <c r="W14" s="165"/>
      <c r="X14" s="165"/>
      <c r="Y14" s="166" t="s">
        <v>90</v>
      </c>
      <c r="Z14" s="166"/>
      <c r="AA14" s="166"/>
      <c r="AB14" s="167" t="s">
        <v>155</v>
      </c>
      <c r="AC14" s="168"/>
      <c r="AD14" s="169"/>
      <c r="AE14" s="173">
        <v>0</v>
      </c>
      <c r="AF14" s="173"/>
      <c r="AG14" s="173"/>
      <c r="AH14" s="4"/>
    </row>
    <row r="15" spans="1:36" ht="44.25" hidden="1" customHeight="1" x14ac:dyDescent="0.2">
      <c r="A15" s="351"/>
      <c r="B15" s="352"/>
      <c r="C15" s="352"/>
      <c r="D15" s="352"/>
      <c r="E15" s="353"/>
      <c r="F15" s="354"/>
      <c r="G15" s="354"/>
      <c r="H15" s="354"/>
      <c r="I15" s="356"/>
      <c r="J15" s="356"/>
      <c r="K15" s="356"/>
      <c r="L15" s="356"/>
      <c r="M15" s="357"/>
      <c r="N15" s="359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6"/>
      <c r="Z15" s="166"/>
      <c r="AA15" s="166"/>
      <c r="AB15" s="167"/>
      <c r="AC15" s="168"/>
      <c r="AD15" s="169"/>
      <c r="AE15" s="173">
        <v>0</v>
      </c>
      <c r="AF15" s="173"/>
      <c r="AG15" s="173"/>
      <c r="AH15" s="4"/>
    </row>
    <row r="16" spans="1:36" s="5" customFormat="1" ht="16.5" customHeight="1" x14ac:dyDescent="0.25">
      <c r="A16" s="135" t="s">
        <v>23</v>
      </c>
      <c r="B16" s="135"/>
      <c r="C16" s="135"/>
      <c r="D16" s="135"/>
      <c r="E16" s="334" t="s">
        <v>24</v>
      </c>
      <c r="F16" s="334"/>
      <c r="G16" s="334"/>
      <c r="H16" s="335" t="s">
        <v>89</v>
      </c>
      <c r="I16" s="335"/>
      <c r="J16" s="335"/>
      <c r="K16" s="335"/>
      <c r="L16" s="335"/>
      <c r="M16" s="334" t="s">
        <v>25</v>
      </c>
      <c r="N16" s="334"/>
      <c r="O16" s="336" t="s">
        <v>315</v>
      </c>
      <c r="P16" s="336"/>
      <c r="Q16" s="336"/>
      <c r="R16" s="336"/>
      <c r="S16" s="336"/>
      <c r="T16" s="336"/>
      <c r="U16" s="336"/>
      <c r="V16" s="336"/>
      <c r="W16" s="136"/>
      <c r="X16" s="136"/>
      <c r="Y16" s="337"/>
      <c r="Z16" s="337"/>
      <c r="AA16" s="338"/>
      <c r="AB16" s="338"/>
      <c r="AC16" s="338"/>
      <c r="AD16" s="338"/>
      <c r="AE16" s="137"/>
      <c r="AF16" s="137"/>
      <c r="AG16" s="137"/>
      <c r="AH16" s="136"/>
      <c r="AI16" s="6"/>
      <c r="AJ16" s="6"/>
    </row>
    <row r="17" spans="1:46" ht="13.5" customHeight="1" x14ac:dyDescent="0.25">
      <c r="A17" s="328"/>
      <c r="B17" s="329"/>
      <c r="C17" s="329"/>
      <c r="D17" s="329"/>
      <c r="E17" s="329"/>
      <c r="F17" s="329"/>
      <c r="G17" s="329"/>
      <c r="H17" s="329"/>
      <c r="I17" s="330"/>
      <c r="J17" s="330"/>
      <c r="K17" s="330"/>
      <c r="L17" s="330"/>
      <c r="M17" s="330"/>
      <c r="N17" s="330"/>
      <c r="O17" s="330"/>
      <c r="P17" s="330"/>
      <c r="Q17" s="330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138"/>
      <c r="AC17" s="138"/>
      <c r="AD17" s="138"/>
      <c r="AE17" s="138"/>
      <c r="AF17" s="138"/>
      <c r="AG17" s="138"/>
      <c r="AH17" s="128"/>
      <c r="AI17" s="2" t="s">
        <v>7</v>
      </c>
    </row>
    <row r="18" spans="1:46" ht="15" customHeight="1" x14ac:dyDescent="0.2">
      <c r="A18" s="128" t="s">
        <v>26</v>
      </c>
      <c r="B18" s="128"/>
      <c r="C18" s="128"/>
      <c r="D18" s="128"/>
      <c r="E18" s="331" t="s">
        <v>244</v>
      </c>
      <c r="F18" s="331"/>
      <c r="G18" s="331"/>
      <c r="H18" s="331"/>
      <c r="I18" s="332" t="s">
        <v>245</v>
      </c>
      <c r="J18" s="332"/>
      <c r="K18" s="332"/>
      <c r="L18" s="332"/>
      <c r="M18" s="332"/>
      <c r="N18" s="332"/>
      <c r="O18" s="332"/>
      <c r="P18" s="332"/>
      <c r="Q18" s="332"/>
      <c r="R18" s="318" t="s">
        <v>27</v>
      </c>
      <c r="S18" s="318"/>
      <c r="T18" s="318"/>
      <c r="U18" s="331" t="str">
        <f>E18</f>
        <v>Зам. Упр.</v>
      </c>
      <c r="V18" s="331"/>
      <c r="W18" s="331"/>
      <c r="X18" s="331"/>
      <c r="Y18" s="331"/>
      <c r="Z18" s="333" t="str">
        <f>I18</f>
        <v>Мещеряков А.А.</v>
      </c>
      <c r="AA18" s="333"/>
      <c r="AB18" s="333"/>
      <c r="AC18" s="333"/>
      <c r="AD18" s="333"/>
      <c r="AE18" s="333"/>
      <c r="AF18" s="333"/>
      <c r="AG18" s="333"/>
      <c r="AH18" s="128" t="s">
        <v>7</v>
      </c>
    </row>
    <row r="19" spans="1:46" ht="15" customHeight="1" thickBot="1" x14ac:dyDescent="0.25">
      <c r="A19" s="128"/>
      <c r="B19" s="128"/>
      <c r="C19" s="128"/>
      <c r="D19" s="128"/>
      <c r="E19" s="128"/>
      <c r="F19" s="128"/>
      <c r="G19" s="128"/>
      <c r="H19" s="128" t="s">
        <v>7</v>
      </c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</row>
    <row r="20" spans="1:46" ht="22.5" customHeight="1" x14ac:dyDescent="0.2">
      <c r="A20" s="372" t="s">
        <v>16</v>
      </c>
      <c r="B20" s="373"/>
      <c r="C20" s="373"/>
      <c r="D20" s="373"/>
      <c r="E20" s="373"/>
      <c r="F20" s="373"/>
      <c r="G20" s="373" t="s">
        <v>28</v>
      </c>
      <c r="H20" s="373"/>
      <c r="I20" s="373"/>
      <c r="J20" s="373"/>
      <c r="K20" s="373"/>
      <c r="L20" s="373"/>
      <c r="M20" s="373"/>
      <c r="N20" s="373"/>
      <c r="O20" s="373"/>
      <c r="P20" s="373"/>
      <c r="Q20" s="373" t="s">
        <v>29</v>
      </c>
      <c r="R20" s="373"/>
      <c r="S20" s="373"/>
      <c r="T20" s="373"/>
      <c r="U20" s="373"/>
      <c r="V20" s="373" t="s">
        <v>30</v>
      </c>
      <c r="W20" s="373"/>
      <c r="X20" s="373"/>
      <c r="Y20" s="373"/>
      <c r="Z20" s="373" t="s">
        <v>31</v>
      </c>
      <c r="AA20" s="373"/>
      <c r="AB20" s="373" t="s">
        <v>32</v>
      </c>
      <c r="AC20" s="373"/>
      <c r="AD20" s="373"/>
      <c r="AE20" s="373" t="s">
        <v>33</v>
      </c>
      <c r="AF20" s="373"/>
      <c r="AG20" s="374"/>
      <c r="AH20" s="225" t="s">
        <v>34</v>
      </c>
      <c r="AI20" s="166" t="s">
        <v>35</v>
      </c>
      <c r="AJ20" s="166" t="s">
        <v>36</v>
      </c>
      <c r="AK20" s="174" t="s">
        <v>274</v>
      </c>
    </row>
    <row r="21" spans="1:46" ht="95.25" customHeight="1" x14ac:dyDescent="0.2">
      <c r="A21" s="371" t="s">
        <v>20</v>
      </c>
      <c r="B21" s="344"/>
      <c r="C21" s="344"/>
      <c r="D21" s="344" t="s">
        <v>21</v>
      </c>
      <c r="E21" s="344"/>
      <c r="F21" s="344"/>
      <c r="G21" s="344" t="s">
        <v>118</v>
      </c>
      <c r="H21" s="344"/>
      <c r="I21" s="344"/>
      <c r="J21" s="344"/>
      <c r="K21" s="344"/>
      <c r="L21" s="344"/>
      <c r="M21" s="344"/>
      <c r="N21" s="344" t="s">
        <v>37</v>
      </c>
      <c r="O21" s="344"/>
      <c r="P21" s="344"/>
      <c r="Q21" s="344" t="s">
        <v>38</v>
      </c>
      <c r="R21" s="344"/>
      <c r="S21" s="344" t="s">
        <v>39</v>
      </c>
      <c r="T21" s="344"/>
      <c r="U21" s="344"/>
      <c r="V21" s="344" t="s">
        <v>40</v>
      </c>
      <c r="W21" s="344"/>
      <c r="X21" s="344" t="s">
        <v>41</v>
      </c>
      <c r="Y21" s="344"/>
      <c r="Z21" s="344"/>
      <c r="AA21" s="344"/>
      <c r="AB21" s="344"/>
      <c r="AC21" s="344"/>
      <c r="AD21" s="344"/>
      <c r="AE21" s="344"/>
      <c r="AF21" s="344"/>
      <c r="AG21" s="375"/>
      <c r="AH21" s="225"/>
      <c r="AI21" s="166"/>
      <c r="AJ21" s="166"/>
      <c r="AK21" s="174"/>
    </row>
    <row r="22" spans="1:46" ht="9" customHeight="1" thickBot="1" x14ac:dyDescent="0.25">
      <c r="A22" s="436"/>
      <c r="B22" s="434"/>
      <c r="C22" s="433"/>
      <c r="D22" s="432"/>
      <c r="E22" s="434"/>
      <c r="F22" s="433"/>
      <c r="G22" s="432"/>
      <c r="H22" s="434"/>
      <c r="I22" s="434"/>
      <c r="J22" s="434"/>
      <c r="K22" s="434"/>
      <c r="L22" s="434"/>
      <c r="M22" s="433"/>
      <c r="N22" s="432"/>
      <c r="O22" s="434"/>
      <c r="P22" s="433"/>
      <c r="Q22" s="432"/>
      <c r="R22" s="433"/>
      <c r="S22" s="432"/>
      <c r="T22" s="434"/>
      <c r="U22" s="433"/>
      <c r="V22" s="432"/>
      <c r="W22" s="433"/>
      <c r="X22" s="430" t="s">
        <v>308</v>
      </c>
      <c r="Y22" s="431"/>
      <c r="Z22" s="432"/>
      <c r="AA22" s="433"/>
      <c r="AB22" s="432"/>
      <c r="AC22" s="434"/>
      <c r="AD22" s="433"/>
      <c r="AE22" s="432"/>
      <c r="AF22" s="434"/>
      <c r="AG22" s="435"/>
      <c r="AH22" s="125"/>
      <c r="AI22" s="126"/>
      <c r="AJ22" s="126"/>
      <c r="AK22" s="174"/>
    </row>
    <row r="23" spans="1:46" ht="11.25" customHeight="1" thickBot="1" x14ac:dyDescent="0.25">
      <c r="A23" s="376">
        <v>1</v>
      </c>
      <c r="B23" s="377"/>
      <c r="C23" s="377"/>
      <c r="D23" s="377">
        <v>2</v>
      </c>
      <c r="E23" s="377"/>
      <c r="F23" s="377"/>
      <c r="G23" s="378">
        <v>3</v>
      </c>
      <c r="H23" s="378"/>
      <c r="I23" s="378"/>
      <c r="J23" s="378"/>
      <c r="K23" s="378"/>
      <c r="L23" s="378"/>
      <c r="M23" s="378"/>
      <c r="N23" s="377">
        <v>4</v>
      </c>
      <c r="O23" s="377"/>
      <c r="P23" s="377"/>
      <c r="Q23" s="377">
        <v>5</v>
      </c>
      <c r="R23" s="377"/>
      <c r="S23" s="377">
        <v>6</v>
      </c>
      <c r="T23" s="377"/>
      <c r="U23" s="377"/>
      <c r="V23" s="377">
        <v>7</v>
      </c>
      <c r="W23" s="377"/>
      <c r="X23" s="377">
        <v>8</v>
      </c>
      <c r="Y23" s="377"/>
      <c r="Z23" s="377">
        <v>9</v>
      </c>
      <c r="AA23" s="377"/>
      <c r="AB23" s="377">
        <v>10</v>
      </c>
      <c r="AC23" s="377"/>
      <c r="AD23" s="377"/>
      <c r="AE23" s="377">
        <v>11</v>
      </c>
      <c r="AF23" s="377"/>
      <c r="AG23" s="383"/>
      <c r="AH23" s="7"/>
      <c r="AI23" s="8"/>
      <c r="AJ23" s="8"/>
      <c r="AK23" s="174"/>
    </row>
    <row r="24" spans="1:46" s="11" customFormat="1" ht="15" customHeight="1" x14ac:dyDescent="0.2">
      <c r="A24" s="382"/>
      <c r="B24" s="380"/>
      <c r="C24" s="380"/>
      <c r="D24" s="380" t="s">
        <v>42</v>
      </c>
      <c r="E24" s="380"/>
      <c r="F24" s="381"/>
      <c r="G24" s="386" t="s">
        <v>117</v>
      </c>
      <c r="H24" s="387"/>
      <c r="I24" s="387"/>
      <c r="J24" s="387"/>
      <c r="K24" s="387"/>
      <c r="L24" s="387"/>
      <c r="M24" s="388"/>
      <c r="N24" s="382"/>
      <c r="O24" s="380"/>
      <c r="P24" s="380"/>
      <c r="Q24" s="380"/>
      <c r="R24" s="384"/>
      <c r="S24" s="385"/>
      <c r="T24" s="380"/>
      <c r="U24" s="380"/>
      <c r="V24" s="380"/>
      <c r="W24" s="381"/>
      <c r="X24" s="382"/>
      <c r="Y24" s="380"/>
      <c r="Z24" s="380"/>
      <c r="AA24" s="380"/>
      <c r="AB24" s="380"/>
      <c r="AC24" s="380"/>
      <c r="AD24" s="380"/>
      <c r="AE24" s="380"/>
      <c r="AF24" s="380"/>
      <c r="AG24" s="384"/>
      <c r="AH24" s="9"/>
      <c r="AI24" s="10"/>
      <c r="AJ24" s="10"/>
      <c r="AK24" s="174"/>
      <c r="AT24" s="12"/>
    </row>
    <row r="25" spans="1:46" s="12" customFormat="1" ht="26.25" customHeight="1" x14ac:dyDescent="0.35">
      <c r="A25" s="175"/>
      <c r="B25" s="176"/>
      <c r="C25" s="176"/>
      <c r="D25" s="177"/>
      <c r="E25" s="177"/>
      <c r="F25" s="178"/>
      <c r="G25" s="204" t="s">
        <v>310</v>
      </c>
      <c r="H25" s="205"/>
      <c r="I25" s="205"/>
      <c r="J25" s="205"/>
      <c r="K25" s="205"/>
      <c r="L25" s="205"/>
      <c r="M25" s="206"/>
      <c r="N25" s="285"/>
      <c r="O25" s="286"/>
      <c r="P25" s="286"/>
      <c r="Q25" s="199"/>
      <c r="R25" s="202"/>
      <c r="S25" s="198" t="s">
        <v>96</v>
      </c>
      <c r="T25" s="199"/>
      <c r="U25" s="199"/>
      <c r="V25" s="200">
        <f>$AE$11*AH25/1000</f>
        <v>225</v>
      </c>
      <c r="W25" s="201"/>
      <c r="X25" s="200"/>
      <c r="Y25" s="201"/>
      <c r="Z25" s="177"/>
      <c r="AA25" s="177"/>
      <c r="AB25" s="177"/>
      <c r="AC25" s="177"/>
      <c r="AD25" s="177"/>
      <c r="AE25" s="177">
        <f>IF(V25="",0,AK25)</f>
        <v>1</v>
      </c>
      <c r="AF25" s="177"/>
      <c r="AG25" s="379"/>
      <c r="AH25" s="34">
        <v>150</v>
      </c>
      <c r="AI25" s="13">
        <v>46.12</v>
      </c>
      <c r="AJ25" s="13">
        <f>AI25*V25</f>
        <v>10377</v>
      </c>
      <c r="AK25" s="12">
        <f>IF(V25,1,0)</f>
        <v>1</v>
      </c>
      <c r="AL25" s="32">
        <f>V25/0.15</f>
        <v>1500</v>
      </c>
      <c r="AM25" s="32"/>
      <c r="AT25" s="12" t="s">
        <v>56</v>
      </c>
    </row>
    <row r="26" spans="1:46" s="12" customFormat="1" ht="28.5" customHeight="1" x14ac:dyDescent="0.35">
      <c r="A26" s="175"/>
      <c r="B26" s="176"/>
      <c r="C26" s="176"/>
      <c r="D26" s="177"/>
      <c r="E26" s="177"/>
      <c r="F26" s="178"/>
      <c r="G26" s="204" t="s">
        <v>311</v>
      </c>
      <c r="H26" s="205" t="s">
        <v>173</v>
      </c>
      <c r="I26" s="205" t="s">
        <v>173</v>
      </c>
      <c r="J26" s="205" t="s">
        <v>173</v>
      </c>
      <c r="K26" s="205" t="s">
        <v>173</v>
      </c>
      <c r="L26" s="205" t="s">
        <v>173</v>
      </c>
      <c r="M26" s="206" t="s">
        <v>173</v>
      </c>
      <c r="N26" s="285"/>
      <c r="O26" s="286"/>
      <c r="P26" s="286"/>
      <c r="Q26" s="199"/>
      <c r="R26" s="202"/>
      <c r="S26" s="198" t="s">
        <v>96</v>
      </c>
      <c r="T26" s="199"/>
      <c r="U26" s="199"/>
      <c r="V26" s="200">
        <f t="shared" ref="V26:V37" si="0">$AE$11*AH26/1000</f>
        <v>450</v>
      </c>
      <c r="W26" s="201"/>
      <c r="X26" s="200"/>
      <c r="Y26" s="201"/>
      <c r="Z26" s="177"/>
      <c r="AA26" s="177"/>
      <c r="AB26" s="177"/>
      <c r="AC26" s="177"/>
      <c r="AD26" s="177"/>
      <c r="AE26" s="181">
        <f>IF(V26,SUM($AK$25:AK26),0)</f>
        <v>2</v>
      </c>
      <c r="AF26" s="182"/>
      <c r="AG26" s="183"/>
      <c r="AH26" s="34">
        <v>300</v>
      </c>
      <c r="AI26" s="13">
        <v>53.35</v>
      </c>
      <c r="AJ26" s="13">
        <f t="shared" ref="AJ26:AJ76" si="1">AI26*V26</f>
        <v>24007.5</v>
      </c>
      <c r="AK26" s="12">
        <f t="shared" ref="AK26:AK89" si="2">IF(V26,1,0)</f>
        <v>1</v>
      </c>
      <c r="AL26" s="32">
        <f>V26/0.3</f>
        <v>1500</v>
      </c>
      <c r="AM26" s="32"/>
      <c r="AT26" s="12" t="b">
        <v>0</v>
      </c>
    </row>
    <row r="27" spans="1:46" s="12" customFormat="1" ht="28.5" hidden="1" customHeight="1" x14ac:dyDescent="0.35">
      <c r="A27" s="175"/>
      <c r="B27" s="176"/>
      <c r="C27" s="176"/>
      <c r="D27" s="177"/>
      <c r="E27" s="177"/>
      <c r="F27" s="178"/>
      <c r="G27" s="204" t="s">
        <v>87</v>
      </c>
      <c r="H27" s="205" t="s">
        <v>87</v>
      </c>
      <c r="I27" s="205" t="s">
        <v>87</v>
      </c>
      <c r="J27" s="205" t="s">
        <v>87</v>
      </c>
      <c r="K27" s="205" t="s">
        <v>87</v>
      </c>
      <c r="L27" s="205" t="s">
        <v>87</v>
      </c>
      <c r="M27" s="206" t="s">
        <v>87</v>
      </c>
      <c r="N27" s="285"/>
      <c r="O27" s="286"/>
      <c r="P27" s="286"/>
      <c r="Q27" s="199"/>
      <c r="R27" s="202"/>
      <c r="S27" s="198" t="s">
        <v>96</v>
      </c>
      <c r="T27" s="199"/>
      <c r="U27" s="199"/>
      <c r="V27" s="200">
        <f t="shared" si="0"/>
        <v>0</v>
      </c>
      <c r="W27" s="201"/>
      <c r="X27" s="200">
        <f>V27</f>
        <v>0</v>
      </c>
      <c r="Y27" s="201"/>
      <c r="Z27" s="177"/>
      <c r="AA27" s="177"/>
      <c r="AB27" s="177"/>
      <c r="AC27" s="177"/>
      <c r="AD27" s="177"/>
      <c r="AE27" s="181">
        <f>IF(V27,SUM($AK$25:AK27),0)</f>
        <v>0</v>
      </c>
      <c r="AF27" s="182"/>
      <c r="AG27" s="183"/>
      <c r="AH27" s="34">
        <v>0</v>
      </c>
      <c r="AI27" s="13">
        <v>72</v>
      </c>
      <c r="AJ27" s="13">
        <f t="shared" si="1"/>
        <v>0</v>
      </c>
      <c r="AK27" s="12">
        <f t="shared" si="2"/>
        <v>0</v>
      </c>
      <c r="AL27" s="33">
        <f>V27/0.065+V28/0.06+V29/0.055</f>
        <v>1500</v>
      </c>
      <c r="AM27" s="33"/>
    </row>
    <row r="28" spans="1:46" s="12" customFormat="1" ht="21.95" hidden="1" customHeight="1" x14ac:dyDescent="0.35">
      <c r="A28" s="175"/>
      <c r="B28" s="176"/>
      <c r="C28" s="176"/>
      <c r="D28" s="177"/>
      <c r="E28" s="177"/>
      <c r="F28" s="178"/>
      <c r="G28" s="282" t="s">
        <v>253</v>
      </c>
      <c r="H28" s="283" t="s">
        <v>87</v>
      </c>
      <c r="I28" s="283" t="s">
        <v>87</v>
      </c>
      <c r="J28" s="283" t="s">
        <v>87</v>
      </c>
      <c r="K28" s="283" t="s">
        <v>87</v>
      </c>
      <c r="L28" s="283" t="s">
        <v>87</v>
      </c>
      <c r="M28" s="284" t="s">
        <v>87</v>
      </c>
      <c r="N28" s="314"/>
      <c r="O28" s="315"/>
      <c r="P28" s="315"/>
      <c r="Q28" s="179"/>
      <c r="R28" s="180"/>
      <c r="S28" s="389" t="s">
        <v>96</v>
      </c>
      <c r="T28" s="179"/>
      <c r="U28" s="179"/>
      <c r="V28" s="189">
        <f t="shared" si="0"/>
        <v>0</v>
      </c>
      <c r="W28" s="190"/>
      <c r="X28" s="189">
        <f t="shared" ref="X28:X91" si="3">V28</f>
        <v>0</v>
      </c>
      <c r="Y28" s="190"/>
      <c r="Z28" s="177"/>
      <c r="AA28" s="177"/>
      <c r="AB28" s="177"/>
      <c r="AC28" s="177"/>
      <c r="AD28" s="177"/>
      <c r="AE28" s="181">
        <f>IF(V28,SUM($AK$25:AK28),0)</f>
        <v>0</v>
      </c>
      <c r="AF28" s="182"/>
      <c r="AG28" s="183"/>
      <c r="AH28" s="34">
        <v>0</v>
      </c>
      <c r="AI28" s="13">
        <v>84.7</v>
      </c>
      <c r="AJ28" s="13">
        <f t="shared" si="1"/>
        <v>0</v>
      </c>
      <c r="AK28" s="12">
        <f t="shared" si="2"/>
        <v>0</v>
      </c>
      <c r="AL28" s="33"/>
      <c r="AM28" s="33"/>
    </row>
    <row r="29" spans="1:46" s="12" customFormat="1" ht="21.95" customHeight="1" x14ac:dyDescent="0.35">
      <c r="A29" s="175"/>
      <c r="B29" s="176"/>
      <c r="C29" s="176"/>
      <c r="D29" s="177"/>
      <c r="E29" s="177"/>
      <c r="F29" s="178"/>
      <c r="G29" s="204" t="s">
        <v>111</v>
      </c>
      <c r="H29" s="205" t="s">
        <v>111</v>
      </c>
      <c r="I29" s="205" t="s">
        <v>111</v>
      </c>
      <c r="J29" s="205" t="s">
        <v>111</v>
      </c>
      <c r="K29" s="205" t="s">
        <v>111</v>
      </c>
      <c r="L29" s="205" t="s">
        <v>111</v>
      </c>
      <c r="M29" s="206" t="s">
        <v>111</v>
      </c>
      <c r="N29" s="285"/>
      <c r="O29" s="286"/>
      <c r="P29" s="286"/>
      <c r="Q29" s="199"/>
      <c r="R29" s="202"/>
      <c r="S29" s="198" t="s">
        <v>96</v>
      </c>
      <c r="T29" s="199"/>
      <c r="U29" s="199"/>
      <c r="V29" s="200">
        <f t="shared" si="0"/>
        <v>82.5</v>
      </c>
      <c r="W29" s="201"/>
      <c r="X29" s="200">
        <f t="shared" si="3"/>
        <v>82.5</v>
      </c>
      <c r="Y29" s="201"/>
      <c r="Z29" s="177"/>
      <c r="AA29" s="177"/>
      <c r="AB29" s="177"/>
      <c r="AC29" s="177"/>
      <c r="AD29" s="177"/>
      <c r="AE29" s="181">
        <f>IF(V29,SUM($AK$25:AK29),0)</f>
        <v>3</v>
      </c>
      <c r="AF29" s="182"/>
      <c r="AG29" s="183"/>
      <c r="AH29" s="34">
        <v>55</v>
      </c>
      <c r="AI29" s="13">
        <v>23.34</v>
      </c>
      <c r="AJ29" s="13">
        <f t="shared" si="1"/>
        <v>1925.55</v>
      </c>
      <c r="AK29" s="12">
        <f t="shared" si="2"/>
        <v>1</v>
      </c>
      <c r="AL29" s="33"/>
      <c r="AM29" s="33"/>
      <c r="AT29" s="12" t="s">
        <v>56</v>
      </c>
    </row>
    <row r="30" spans="1:46" s="12" customFormat="1" ht="30" customHeight="1" x14ac:dyDescent="0.35">
      <c r="A30" s="175"/>
      <c r="B30" s="176"/>
      <c r="C30" s="176"/>
      <c r="D30" s="177"/>
      <c r="E30" s="177"/>
      <c r="F30" s="178"/>
      <c r="G30" s="204" t="s">
        <v>174</v>
      </c>
      <c r="H30" s="205" t="s">
        <v>174</v>
      </c>
      <c r="I30" s="205" t="s">
        <v>174</v>
      </c>
      <c r="J30" s="205" t="s">
        <v>174</v>
      </c>
      <c r="K30" s="205" t="s">
        <v>174</v>
      </c>
      <c r="L30" s="205" t="s">
        <v>174</v>
      </c>
      <c r="M30" s="206" t="s">
        <v>174</v>
      </c>
      <c r="N30" s="285"/>
      <c r="O30" s="286"/>
      <c r="P30" s="286"/>
      <c r="Q30" s="199"/>
      <c r="R30" s="202"/>
      <c r="S30" s="198" t="s">
        <v>96</v>
      </c>
      <c r="T30" s="199"/>
      <c r="U30" s="199"/>
      <c r="V30" s="200">
        <f t="shared" si="0"/>
        <v>15</v>
      </c>
      <c r="W30" s="201"/>
      <c r="X30" s="200">
        <f t="shared" si="3"/>
        <v>15</v>
      </c>
      <c r="Y30" s="201"/>
      <c r="Z30" s="177"/>
      <c r="AA30" s="177"/>
      <c r="AB30" s="177"/>
      <c r="AC30" s="177"/>
      <c r="AD30" s="177"/>
      <c r="AE30" s="181">
        <f>IF(V30,SUM($AK$25:AK30),0)</f>
        <v>4</v>
      </c>
      <c r="AF30" s="182"/>
      <c r="AG30" s="183"/>
      <c r="AH30" s="34">
        <v>10</v>
      </c>
      <c r="AI30" s="13">
        <v>168</v>
      </c>
      <c r="AJ30" s="13">
        <f t="shared" si="1"/>
        <v>2520</v>
      </c>
      <c r="AK30" s="12">
        <f t="shared" si="2"/>
        <v>1</v>
      </c>
      <c r="AL30" s="33">
        <f>V30/0.01</f>
        <v>1500</v>
      </c>
      <c r="AM30" s="33"/>
    </row>
    <row r="31" spans="1:46" s="12" customFormat="1" ht="21.95" hidden="1" customHeight="1" x14ac:dyDescent="0.3">
      <c r="A31" s="175"/>
      <c r="B31" s="176"/>
      <c r="C31" s="176"/>
      <c r="D31" s="177"/>
      <c r="E31" s="177"/>
      <c r="F31" s="178"/>
      <c r="G31" s="191" t="s">
        <v>254</v>
      </c>
      <c r="H31" s="192" t="s">
        <v>175</v>
      </c>
      <c r="I31" s="192" t="s">
        <v>175</v>
      </c>
      <c r="J31" s="192" t="s">
        <v>175</v>
      </c>
      <c r="K31" s="192" t="s">
        <v>175</v>
      </c>
      <c r="L31" s="192" t="s">
        <v>175</v>
      </c>
      <c r="M31" s="193" t="s">
        <v>175</v>
      </c>
      <c r="N31" s="194"/>
      <c r="O31" s="195"/>
      <c r="P31" s="195"/>
      <c r="Q31" s="184"/>
      <c r="R31" s="185"/>
      <c r="S31" s="299" t="s">
        <v>96</v>
      </c>
      <c r="T31" s="184"/>
      <c r="U31" s="184"/>
      <c r="V31" s="196">
        <f t="shared" si="0"/>
        <v>0</v>
      </c>
      <c r="W31" s="197"/>
      <c r="X31" s="196">
        <f t="shared" si="3"/>
        <v>0</v>
      </c>
      <c r="Y31" s="197"/>
      <c r="Z31" s="177"/>
      <c r="AA31" s="177"/>
      <c r="AB31" s="177"/>
      <c r="AC31" s="177"/>
      <c r="AD31" s="177"/>
      <c r="AE31" s="181">
        <f>IF(V31,SUM($AK$25:AK31),0)</f>
        <v>0</v>
      </c>
      <c r="AF31" s="182"/>
      <c r="AG31" s="183"/>
      <c r="AH31" s="34">
        <v>0</v>
      </c>
      <c r="AI31" s="13">
        <v>82.21</v>
      </c>
      <c r="AJ31" s="13">
        <f t="shared" si="1"/>
        <v>0</v>
      </c>
      <c r="AK31" s="12">
        <f t="shared" si="2"/>
        <v>0</v>
      </c>
      <c r="AL31" s="33">
        <f>V31*0.87</f>
        <v>0</v>
      </c>
      <c r="AM31" s="33"/>
    </row>
    <row r="32" spans="1:46" s="12" customFormat="1" ht="21.95" hidden="1" customHeight="1" x14ac:dyDescent="0.35">
      <c r="A32" s="175"/>
      <c r="B32" s="176"/>
      <c r="C32" s="176"/>
      <c r="D32" s="177"/>
      <c r="E32" s="177"/>
      <c r="F32" s="178"/>
      <c r="G32" s="282" t="s">
        <v>60</v>
      </c>
      <c r="H32" s="283" t="s">
        <v>60</v>
      </c>
      <c r="I32" s="283" t="s">
        <v>60</v>
      </c>
      <c r="J32" s="283" t="s">
        <v>60</v>
      </c>
      <c r="K32" s="283" t="s">
        <v>60</v>
      </c>
      <c r="L32" s="283" t="s">
        <v>60</v>
      </c>
      <c r="M32" s="284" t="s">
        <v>60</v>
      </c>
      <c r="N32" s="314"/>
      <c r="O32" s="315"/>
      <c r="P32" s="315"/>
      <c r="Q32" s="179"/>
      <c r="R32" s="180"/>
      <c r="S32" s="389" t="s">
        <v>96</v>
      </c>
      <c r="T32" s="179"/>
      <c r="U32" s="179"/>
      <c r="V32" s="189">
        <f t="shared" si="0"/>
        <v>0</v>
      </c>
      <c r="W32" s="190"/>
      <c r="X32" s="189">
        <f t="shared" si="3"/>
        <v>0</v>
      </c>
      <c r="Y32" s="190"/>
      <c r="Z32" s="177"/>
      <c r="AA32" s="177"/>
      <c r="AB32" s="177"/>
      <c r="AC32" s="177"/>
      <c r="AD32" s="177"/>
      <c r="AE32" s="181">
        <f>IF(V32,SUM($AK$25:AK32),0)</f>
        <v>0</v>
      </c>
      <c r="AF32" s="182"/>
      <c r="AG32" s="183"/>
      <c r="AH32" s="34">
        <v>0</v>
      </c>
      <c r="AI32" s="13">
        <v>333</v>
      </c>
      <c r="AJ32" s="13">
        <f t="shared" si="1"/>
        <v>0</v>
      </c>
      <c r="AK32" s="12">
        <f t="shared" si="2"/>
        <v>0</v>
      </c>
      <c r="AL32" s="33">
        <f>(V32+V33+V34+V35+V36+V37+V38+V39+V40+V43+V41+V42)/0.2</f>
        <v>1625.0000032500002</v>
      </c>
      <c r="AM32" s="33"/>
      <c r="AT32" s="12" t="b">
        <v>0</v>
      </c>
    </row>
    <row r="33" spans="1:46" s="12" customFormat="1" ht="26.25" customHeight="1" x14ac:dyDescent="0.35">
      <c r="A33" s="175"/>
      <c r="B33" s="176"/>
      <c r="C33" s="176"/>
      <c r="D33" s="177"/>
      <c r="E33" s="177"/>
      <c r="F33" s="178"/>
      <c r="G33" s="204" t="s">
        <v>57</v>
      </c>
      <c r="H33" s="205" t="s">
        <v>57</v>
      </c>
      <c r="I33" s="205" t="s">
        <v>57</v>
      </c>
      <c r="J33" s="205" t="s">
        <v>57</v>
      </c>
      <c r="K33" s="205" t="s">
        <v>57</v>
      </c>
      <c r="L33" s="205" t="s">
        <v>57</v>
      </c>
      <c r="M33" s="206" t="s">
        <v>57</v>
      </c>
      <c r="N33" s="285"/>
      <c r="O33" s="286"/>
      <c r="P33" s="286"/>
      <c r="Q33" s="199"/>
      <c r="R33" s="202"/>
      <c r="S33" s="198" t="s">
        <v>96</v>
      </c>
      <c r="T33" s="199"/>
      <c r="U33" s="199"/>
      <c r="V33" s="200">
        <f t="shared" si="0"/>
        <v>50.000000100000008</v>
      </c>
      <c r="W33" s="201"/>
      <c r="X33" s="200">
        <f t="shared" si="3"/>
        <v>50.000000100000008</v>
      </c>
      <c r="Y33" s="201"/>
      <c r="Z33" s="177"/>
      <c r="AA33" s="177"/>
      <c r="AB33" s="177"/>
      <c r="AC33" s="177"/>
      <c r="AD33" s="177"/>
      <c r="AE33" s="181">
        <f>IF(V33,SUM($AK$25:AK33),0)</f>
        <v>5</v>
      </c>
      <c r="AF33" s="182"/>
      <c r="AG33" s="183"/>
      <c r="AH33" s="34">
        <v>33.333333400000001</v>
      </c>
      <c r="AI33" s="13">
        <v>55</v>
      </c>
      <c r="AJ33" s="13">
        <f t="shared" si="1"/>
        <v>2750.0000055000005</v>
      </c>
      <c r="AK33" s="12">
        <f t="shared" si="2"/>
        <v>1</v>
      </c>
      <c r="AL33" s="33"/>
      <c r="AM33" s="33"/>
      <c r="AT33" s="12" t="s">
        <v>56</v>
      </c>
    </row>
    <row r="34" spans="1:46" s="12" customFormat="1" ht="30" customHeight="1" x14ac:dyDescent="0.35">
      <c r="A34" s="175"/>
      <c r="B34" s="176"/>
      <c r="C34" s="176"/>
      <c r="D34" s="177"/>
      <c r="E34" s="177"/>
      <c r="F34" s="178"/>
      <c r="G34" s="204" t="s">
        <v>255</v>
      </c>
      <c r="H34" s="205" t="s">
        <v>176</v>
      </c>
      <c r="I34" s="205" t="s">
        <v>176</v>
      </c>
      <c r="J34" s="205" t="s">
        <v>176</v>
      </c>
      <c r="K34" s="205" t="s">
        <v>176</v>
      </c>
      <c r="L34" s="205" t="s">
        <v>176</v>
      </c>
      <c r="M34" s="206" t="s">
        <v>176</v>
      </c>
      <c r="N34" s="285"/>
      <c r="O34" s="286"/>
      <c r="P34" s="286"/>
      <c r="Q34" s="199"/>
      <c r="R34" s="202"/>
      <c r="S34" s="198" t="s">
        <v>96</v>
      </c>
      <c r="T34" s="199"/>
      <c r="U34" s="199"/>
      <c r="V34" s="200">
        <f t="shared" si="0"/>
        <v>50.000000100000008</v>
      </c>
      <c r="W34" s="201"/>
      <c r="X34" s="200">
        <f t="shared" si="3"/>
        <v>50.000000100000008</v>
      </c>
      <c r="Y34" s="201"/>
      <c r="Z34" s="177"/>
      <c r="AA34" s="177"/>
      <c r="AB34" s="177"/>
      <c r="AC34" s="177"/>
      <c r="AD34" s="177"/>
      <c r="AE34" s="181">
        <f>IF(V34,SUM($AK$25:AK34),0)</f>
        <v>6</v>
      </c>
      <c r="AF34" s="182"/>
      <c r="AG34" s="183"/>
      <c r="AH34" s="34">
        <v>33.333333400000001</v>
      </c>
      <c r="AI34" s="13">
        <v>84.5</v>
      </c>
      <c r="AJ34" s="13">
        <f t="shared" si="1"/>
        <v>4225.0000084500007</v>
      </c>
      <c r="AK34" s="12">
        <f t="shared" si="2"/>
        <v>1</v>
      </c>
      <c r="AL34" s="33"/>
      <c r="AM34" s="33"/>
    </row>
    <row r="35" spans="1:46" s="12" customFormat="1" ht="31.5" customHeight="1" x14ac:dyDescent="0.35">
      <c r="A35" s="175"/>
      <c r="B35" s="176"/>
      <c r="C35" s="176"/>
      <c r="D35" s="177"/>
      <c r="E35" s="177"/>
      <c r="F35" s="178"/>
      <c r="G35" s="204" t="s">
        <v>59</v>
      </c>
      <c r="H35" s="205" t="s">
        <v>59</v>
      </c>
      <c r="I35" s="205" t="s">
        <v>59</v>
      </c>
      <c r="J35" s="205" t="s">
        <v>59</v>
      </c>
      <c r="K35" s="205" t="s">
        <v>59</v>
      </c>
      <c r="L35" s="205" t="s">
        <v>59</v>
      </c>
      <c r="M35" s="206" t="s">
        <v>59</v>
      </c>
      <c r="N35" s="285"/>
      <c r="O35" s="286"/>
      <c r="P35" s="286"/>
      <c r="Q35" s="199"/>
      <c r="R35" s="202"/>
      <c r="S35" s="198" t="s">
        <v>96</v>
      </c>
      <c r="T35" s="199"/>
      <c r="U35" s="199"/>
      <c r="V35" s="200">
        <f t="shared" si="0"/>
        <v>50.000000100000008</v>
      </c>
      <c r="W35" s="201"/>
      <c r="X35" s="200">
        <f t="shared" si="3"/>
        <v>50.000000100000008</v>
      </c>
      <c r="Y35" s="201"/>
      <c r="Z35" s="177"/>
      <c r="AA35" s="177"/>
      <c r="AB35" s="177"/>
      <c r="AC35" s="177"/>
      <c r="AD35" s="177"/>
      <c r="AE35" s="181">
        <f>IF(V35,SUM($AK$25:AK35),0)</f>
        <v>7</v>
      </c>
      <c r="AF35" s="182"/>
      <c r="AG35" s="183"/>
      <c r="AH35" s="34">
        <v>33.333333400000001</v>
      </c>
      <c r="AI35" s="13">
        <v>40.22</v>
      </c>
      <c r="AJ35" s="13">
        <f t="shared" si="1"/>
        <v>2011.0000040220002</v>
      </c>
      <c r="AK35" s="12">
        <f t="shared" si="2"/>
        <v>1</v>
      </c>
      <c r="AL35" s="33"/>
      <c r="AM35" s="33"/>
      <c r="AT35" s="12" t="b">
        <v>0</v>
      </c>
    </row>
    <row r="36" spans="1:46" s="12" customFormat="1" ht="30" customHeight="1" x14ac:dyDescent="0.35">
      <c r="A36" s="175"/>
      <c r="B36" s="176"/>
      <c r="C36" s="176"/>
      <c r="D36" s="177"/>
      <c r="E36" s="177"/>
      <c r="F36" s="178"/>
      <c r="G36" s="204" t="s">
        <v>58</v>
      </c>
      <c r="H36" s="205" t="s">
        <v>58</v>
      </c>
      <c r="I36" s="205" t="s">
        <v>58</v>
      </c>
      <c r="J36" s="205" t="s">
        <v>58</v>
      </c>
      <c r="K36" s="205" t="s">
        <v>58</v>
      </c>
      <c r="L36" s="205" t="s">
        <v>58</v>
      </c>
      <c r="M36" s="206" t="s">
        <v>58</v>
      </c>
      <c r="N36" s="285"/>
      <c r="O36" s="286"/>
      <c r="P36" s="286"/>
      <c r="Q36" s="199"/>
      <c r="R36" s="202"/>
      <c r="S36" s="198" t="s">
        <v>96</v>
      </c>
      <c r="T36" s="199"/>
      <c r="U36" s="199"/>
      <c r="V36" s="200">
        <f t="shared" si="0"/>
        <v>50.000000100000008</v>
      </c>
      <c r="W36" s="201"/>
      <c r="X36" s="200">
        <f t="shared" si="3"/>
        <v>50.000000100000008</v>
      </c>
      <c r="Y36" s="201"/>
      <c r="Z36" s="177"/>
      <c r="AA36" s="177"/>
      <c r="AB36" s="177"/>
      <c r="AC36" s="177"/>
      <c r="AD36" s="177"/>
      <c r="AE36" s="181">
        <f>IF(V36,SUM($AK$25:AK36),0)</f>
        <v>8</v>
      </c>
      <c r="AF36" s="182"/>
      <c r="AG36" s="183"/>
      <c r="AH36" s="34">
        <v>33.333333400000001</v>
      </c>
      <c r="AI36" s="13">
        <v>33</v>
      </c>
      <c r="AJ36" s="13">
        <f t="shared" si="1"/>
        <v>1650.0000033000003</v>
      </c>
      <c r="AK36" s="12">
        <f t="shared" si="2"/>
        <v>1</v>
      </c>
      <c r="AL36" s="33"/>
      <c r="AM36" s="33"/>
      <c r="AT36" s="12" t="s">
        <v>56</v>
      </c>
    </row>
    <row r="37" spans="1:46" s="12" customFormat="1" ht="21.95" customHeight="1" x14ac:dyDescent="0.35">
      <c r="A37" s="300"/>
      <c r="B37" s="301"/>
      <c r="C37" s="301"/>
      <c r="D37" s="179"/>
      <c r="E37" s="179"/>
      <c r="F37" s="203"/>
      <c r="G37" s="204" t="s">
        <v>177</v>
      </c>
      <c r="H37" s="205" t="s">
        <v>177</v>
      </c>
      <c r="I37" s="205" t="s">
        <v>177</v>
      </c>
      <c r="J37" s="205" t="s">
        <v>177</v>
      </c>
      <c r="K37" s="205" t="s">
        <v>177</v>
      </c>
      <c r="L37" s="205" t="s">
        <v>177</v>
      </c>
      <c r="M37" s="206" t="s">
        <v>177</v>
      </c>
      <c r="N37" s="285"/>
      <c r="O37" s="286"/>
      <c r="P37" s="286"/>
      <c r="Q37" s="199"/>
      <c r="R37" s="202"/>
      <c r="S37" s="198" t="s">
        <v>96</v>
      </c>
      <c r="T37" s="199"/>
      <c r="U37" s="199"/>
      <c r="V37" s="200">
        <f t="shared" si="0"/>
        <v>25.000000050000004</v>
      </c>
      <c r="W37" s="201"/>
      <c r="X37" s="200">
        <f t="shared" si="3"/>
        <v>25.000000050000004</v>
      </c>
      <c r="Y37" s="201"/>
      <c r="Z37" s="179"/>
      <c r="AA37" s="179"/>
      <c r="AB37" s="177"/>
      <c r="AC37" s="177"/>
      <c r="AD37" s="177"/>
      <c r="AE37" s="181">
        <f>IF(V37,SUM($AK$25:AK37),0)</f>
        <v>9</v>
      </c>
      <c r="AF37" s="182"/>
      <c r="AG37" s="183"/>
      <c r="AH37" s="34">
        <v>16.6666667</v>
      </c>
      <c r="AI37" s="13">
        <v>71</v>
      </c>
      <c r="AJ37" s="13">
        <f t="shared" si="1"/>
        <v>1775.0000035500002</v>
      </c>
      <c r="AK37" s="12">
        <f t="shared" si="2"/>
        <v>1</v>
      </c>
      <c r="AL37" s="33"/>
      <c r="AM37" s="33"/>
      <c r="AT37" s="12" t="b">
        <v>0</v>
      </c>
    </row>
    <row r="38" spans="1:46" s="12" customFormat="1" ht="21.95" hidden="1" customHeight="1" x14ac:dyDescent="0.3">
      <c r="A38" s="175"/>
      <c r="B38" s="176"/>
      <c r="C38" s="176"/>
      <c r="D38" s="177"/>
      <c r="E38" s="177"/>
      <c r="F38" s="178"/>
      <c r="G38" s="191" t="s">
        <v>178</v>
      </c>
      <c r="H38" s="192" t="s">
        <v>178</v>
      </c>
      <c r="I38" s="192" t="s">
        <v>178</v>
      </c>
      <c r="J38" s="192" t="s">
        <v>178</v>
      </c>
      <c r="K38" s="192" t="s">
        <v>178</v>
      </c>
      <c r="L38" s="192" t="s">
        <v>178</v>
      </c>
      <c r="M38" s="193" t="s">
        <v>178</v>
      </c>
      <c r="N38" s="194"/>
      <c r="O38" s="195"/>
      <c r="P38" s="195"/>
      <c r="Q38" s="184"/>
      <c r="R38" s="185"/>
      <c r="S38" s="299" t="s">
        <v>96</v>
      </c>
      <c r="T38" s="184"/>
      <c r="U38" s="184"/>
      <c r="V38" s="196">
        <f t="shared" ref="V38:V101" si="4">$AE$11*AH38/1000</f>
        <v>0</v>
      </c>
      <c r="W38" s="197"/>
      <c r="X38" s="196">
        <f t="shared" si="3"/>
        <v>0</v>
      </c>
      <c r="Y38" s="197"/>
      <c r="Z38" s="177"/>
      <c r="AA38" s="177"/>
      <c r="AB38" s="177"/>
      <c r="AC38" s="177"/>
      <c r="AD38" s="177"/>
      <c r="AE38" s="181">
        <f>IF(V38,SUM($AK$25:AK38),0)</f>
        <v>0</v>
      </c>
      <c r="AF38" s="182"/>
      <c r="AG38" s="183"/>
      <c r="AH38" s="34">
        <v>0</v>
      </c>
      <c r="AI38" s="13">
        <v>31.5</v>
      </c>
      <c r="AJ38" s="13">
        <f t="shared" si="1"/>
        <v>0</v>
      </c>
      <c r="AK38" s="12">
        <f t="shared" si="2"/>
        <v>0</v>
      </c>
      <c r="AL38" s="33"/>
      <c r="AM38" s="33"/>
      <c r="AT38" s="12" t="s">
        <v>56</v>
      </c>
    </row>
    <row r="39" spans="1:46" s="12" customFormat="1" ht="25.5" customHeight="1" x14ac:dyDescent="0.35">
      <c r="A39" s="175"/>
      <c r="B39" s="176"/>
      <c r="C39" s="176"/>
      <c r="D39" s="177"/>
      <c r="E39" s="177"/>
      <c r="F39" s="178"/>
      <c r="G39" s="204" t="s">
        <v>179</v>
      </c>
      <c r="H39" s="205" t="s">
        <v>179</v>
      </c>
      <c r="I39" s="205" t="s">
        <v>179</v>
      </c>
      <c r="J39" s="205" t="s">
        <v>179</v>
      </c>
      <c r="K39" s="205" t="s">
        <v>179</v>
      </c>
      <c r="L39" s="205" t="s">
        <v>179</v>
      </c>
      <c r="M39" s="206" t="s">
        <v>179</v>
      </c>
      <c r="N39" s="285"/>
      <c r="O39" s="286"/>
      <c r="P39" s="286"/>
      <c r="Q39" s="199"/>
      <c r="R39" s="202"/>
      <c r="S39" s="198" t="s">
        <v>96</v>
      </c>
      <c r="T39" s="199"/>
      <c r="U39" s="199"/>
      <c r="V39" s="200">
        <f t="shared" si="4"/>
        <v>50.000000100000008</v>
      </c>
      <c r="W39" s="201"/>
      <c r="X39" s="200">
        <f t="shared" si="3"/>
        <v>50.000000100000008</v>
      </c>
      <c r="Y39" s="201"/>
      <c r="Z39" s="177"/>
      <c r="AA39" s="177"/>
      <c r="AB39" s="177"/>
      <c r="AC39" s="177"/>
      <c r="AD39" s="177"/>
      <c r="AE39" s="181">
        <f>IF(V39,SUM($AK$25:AK39),0)</f>
        <v>10</v>
      </c>
      <c r="AF39" s="182"/>
      <c r="AG39" s="183"/>
      <c r="AH39" s="34">
        <v>33.333333400000001</v>
      </c>
      <c r="AI39" s="13">
        <v>26.36</v>
      </c>
      <c r="AJ39" s="13">
        <f t="shared" si="1"/>
        <v>1318.0000026360001</v>
      </c>
      <c r="AK39" s="12">
        <f t="shared" si="2"/>
        <v>1</v>
      </c>
      <c r="AL39" s="33"/>
      <c r="AM39" s="33"/>
    </row>
    <row r="40" spans="1:46" s="12" customFormat="1" ht="21.95" hidden="1" customHeight="1" x14ac:dyDescent="0.3">
      <c r="A40" s="175"/>
      <c r="B40" s="176"/>
      <c r="C40" s="176"/>
      <c r="D40" s="177"/>
      <c r="E40" s="177"/>
      <c r="F40" s="178"/>
      <c r="G40" s="191" t="s">
        <v>180</v>
      </c>
      <c r="H40" s="192" t="s">
        <v>180</v>
      </c>
      <c r="I40" s="192" t="s">
        <v>180</v>
      </c>
      <c r="J40" s="192" t="s">
        <v>180</v>
      </c>
      <c r="K40" s="192" t="s">
        <v>180</v>
      </c>
      <c r="L40" s="192" t="s">
        <v>180</v>
      </c>
      <c r="M40" s="193" t="s">
        <v>180</v>
      </c>
      <c r="N40" s="194"/>
      <c r="O40" s="195"/>
      <c r="P40" s="195"/>
      <c r="Q40" s="184"/>
      <c r="R40" s="185"/>
      <c r="S40" s="299" t="s">
        <v>96</v>
      </c>
      <c r="T40" s="184"/>
      <c r="U40" s="184"/>
      <c r="V40" s="196">
        <f t="shared" si="4"/>
        <v>0</v>
      </c>
      <c r="W40" s="197"/>
      <c r="X40" s="196">
        <f t="shared" si="3"/>
        <v>0</v>
      </c>
      <c r="Y40" s="197"/>
      <c r="Z40" s="177"/>
      <c r="AA40" s="177"/>
      <c r="AB40" s="177"/>
      <c r="AC40" s="177"/>
      <c r="AD40" s="177"/>
      <c r="AE40" s="181">
        <f>IF(V40,SUM($AK$25:AK40),0)</f>
        <v>0</v>
      </c>
      <c r="AF40" s="182"/>
      <c r="AG40" s="183"/>
      <c r="AH40" s="34">
        <v>0</v>
      </c>
      <c r="AI40" s="13">
        <v>21.26</v>
      </c>
      <c r="AJ40" s="13">
        <f t="shared" si="1"/>
        <v>0</v>
      </c>
      <c r="AK40" s="12">
        <f t="shared" si="2"/>
        <v>0</v>
      </c>
      <c r="AL40" s="33"/>
      <c r="AM40" s="33"/>
      <c r="AT40" s="12" t="s">
        <v>56</v>
      </c>
    </row>
    <row r="41" spans="1:46" s="12" customFormat="1" ht="28.5" customHeight="1" x14ac:dyDescent="0.35">
      <c r="A41" s="175"/>
      <c r="B41" s="176"/>
      <c r="C41" s="176"/>
      <c r="D41" s="177"/>
      <c r="E41" s="177"/>
      <c r="F41" s="178"/>
      <c r="G41" s="204" t="s">
        <v>181</v>
      </c>
      <c r="H41" s="205" t="s">
        <v>181</v>
      </c>
      <c r="I41" s="205" t="s">
        <v>181</v>
      </c>
      <c r="J41" s="205" t="s">
        <v>181</v>
      </c>
      <c r="K41" s="205" t="s">
        <v>181</v>
      </c>
      <c r="L41" s="205" t="s">
        <v>181</v>
      </c>
      <c r="M41" s="206" t="s">
        <v>181</v>
      </c>
      <c r="N41" s="285"/>
      <c r="O41" s="286"/>
      <c r="P41" s="286"/>
      <c r="Q41" s="199"/>
      <c r="R41" s="202"/>
      <c r="S41" s="198" t="s">
        <v>96</v>
      </c>
      <c r="T41" s="199"/>
      <c r="U41" s="199"/>
      <c r="V41" s="200">
        <f t="shared" si="4"/>
        <v>50.000000100000008</v>
      </c>
      <c r="W41" s="201"/>
      <c r="X41" s="200">
        <f t="shared" si="3"/>
        <v>50.000000100000008</v>
      </c>
      <c r="Y41" s="201"/>
      <c r="Z41" s="177"/>
      <c r="AA41" s="177"/>
      <c r="AB41" s="177"/>
      <c r="AC41" s="177"/>
      <c r="AD41" s="177"/>
      <c r="AE41" s="181">
        <f>IF(V41,SUM($AK$25:AK41),0)</f>
        <v>11</v>
      </c>
      <c r="AF41" s="182"/>
      <c r="AG41" s="183"/>
      <c r="AH41" s="34">
        <v>33.333333400000001</v>
      </c>
      <c r="AI41" s="13">
        <v>30</v>
      </c>
      <c r="AJ41" s="13">
        <f t="shared" si="1"/>
        <v>1500.0000030000003</v>
      </c>
      <c r="AK41" s="12">
        <f t="shared" si="2"/>
        <v>1</v>
      </c>
      <c r="AL41" s="33"/>
      <c r="AM41" s="33"/>
      <c r="AT41" s="12" t="b">
        <v>0</v>
      </c>
    </row>
    <row r="42" spans="1:46" s="12" customFormat="1" ht="21.95" hidden="1" customHeight="1" x14ac:dyDescent="0.35">
      <c r="A42" s="175"/>
      <c r="B42" s="176"/>
      <c r="C42" s="176"/>
      <c r="D42" s="177"/>
      <c r="E42" s="177"/>
      <c r="F42" s="178"/>
      <c r="G42" s="282" t="s">
        <v>252</v>
      </c>
      <c r="H42" s="283" t="s">
        <v>182</v>
      </c>
      <c r="I42" s="283" t="s">
        <v>182</v>
      </c>
      <c r="J42" s="283" t="s">
        <v>182</v>
      </c>
      <c r="K42" s="283" t="s">
        <v>182</v>
      </c>
      <c r="L42" s="283" t="s">
        <v>182</v>
      </c>
      <c r="M42" s="284" t="s">
        <v>182</v>
      </c>
      <c r="N42" s="314"/>
      <c r="O42" s="315"/>
      <c r="P42" s="315"/>
      <c r="Q42" s="179"/>
      <c r="R42" s="180"/>
      <c r="S42" s="389" t="s">
        <v>96</v>
      </c>
      <c r="T42" s="179"/>
      <c r="U42" s="179"/>
      <c r="V42" s="189">
        <f t="shared" si="4"/>
        <v>0</v>
      </c>
      <c r="W42" s="190"/>
      <c r="X42" s="189">
        <f t="shared" si="3"/>
        <v>0</v>
      </c>
      <c r="Y42" s="190"/>
      <c r="Z42" s="177"/>
      <c r="AA42" s="177"/>
      <c r="AB42" s="177"/>
      <c r="AC42" s="177"/>
      <c r="AD42" s="177"/>
      <c r="AE42" s="181">
        <f>IF(V42,SUM($AK$25:AK42),0)</f>
        <v>0</v>
      </c>
      <c r="AF42" s="182"/>
      <c r="AG42" s="183"/>
      <c r="AH42" s="34">
        <v>0</v>
      </c>
      <c r="AI42" s="13">
        <v>168</v>
      </c>
      <c r="AJ42" s="13">
        <f t="shared" si="1"/>
        <v>0</v>
      </c>
      <c r="AK42" s="12">
        <f t="shared" si="2"/>
        <v>0</v>
      </c>
      <c r="AL42" s="33"/>
      <c r="AM42" s="33"/>
      <c r="AT42" s="12" t="s">
        <v>56</v>
      </c>
    </row>
    <row r="43" spans="1:46" s="12" customFormat="1" ht="21.95" hidden="1" customHeight="1" x14ac:dyDescent="0.3">
      <c r="A43" s="175"/>
      <c r="B43" s="176"/>
      <c r="C43" s="176"/>
      <c r="D43" s="177"/>
      <c r="E43" s="177"/>
      <c r="F43" s="178"/>
      <c r="G43" s="191">
        <v>0</v>
      </c>
      <c r="H43" s="192">
        <v>0</v>
      </c>
      <c r="I43" s="192">
        <v>0</v>
      </c>
      <c r="J43" s="192">
        <v>0</v>
      </c>
      <c r="K43" s="192">
        <v>0</v>
      </c>
      <c r="L43" s="192">
        <v>0</v>
      </c>
      <c r="M43" s="193">
        <v>0</v>
      </c>
      <c r="N43" s="194"/>
      <c r="O43" s="195"/>
      <c r="P43" s="195"/>
      <c r="Q43" s="184"/>
      <c r="R43" s="185"/>
      <c r="S43" s="299" t="s">
        <v>96</v>
      </c>
      <c r="T43" s="184"/>
      <c r="U43" s="184"/>
      <c r="V43" s="196">
        <f t="shared" si="4"/>
        <v>0</v>
      </c>
      <c r="W43" s="197"/>
      <c r="X43" s="196">
        <f t="shared" si="3"/>
        <v>0</v>
      </c>
      <c r="Y43" s="197"/>
      <c r="Z43" s="177"/>
      <c r="AA43" s="177"/>
      <c r="AB43" s="177"/>
      <c r="AC43" s="177"/>
      <c r="AD43" s="177"/>
      <c r="AE43" s="181">
        <f>IF(V43,SUM($AK$25:AK43),0)</f>
        <v>0</v>
      </c>
      <c r="AF43" s="182"/>
      <c r="AG43" s="183"/>
      <c r="AH43" s="34">
        <v>0</v>
      </c>
      <c r="AI43" s="13">
        <v>142</v>
      </c>
      <c r="AJ43" s="13">
        <f t="shared" si="1"/>
        <v>0</v>
      </c>
      <c r="AK43" s="12">
        <f t="shared" si="2"/>
        <v>0</v>
      </c>
      <c r="AL43" s="33"/>
      <c r="AM43" s="33"/>
      <c r="AT43" s="12" t="s">
        <v>56</v>
      </c>
    </row>
    <row r="44" spans="1:46" s="12" customFormat="1" ht="28.5" customHeight="1" x14ac:dyDescent="0.35">
      <c r="A44" s="175"/>
      <c r="B44" s="176"/>
      <c r="C44" s="176"/>
      <c r="D44" s="177"/>
      <c r="E44" s="177"/>
      <c r="F44" s="178"/>
      <c r="G44" s="204" t="s">
        <v>62</v>
      </c>
      <c r="H44" s="205" t="s">
        <v>62</v>
      </c>
      <c r="I44" s="205" t="s">
        <v>62</v>
      </c>
      <c r="J44" s="205" t="s">
        <v>62</v>
      </c>
      <c r="K44" s="205" t="s">
        <v>62</v>
      </c>
      <c r="L44" s="205" t="s">
        <v>62</v>
      </c>
      <c r="M44" s="206" t="s">
        <v>62</v>
      </c>
      <c r="N44" s="285"/>
      <c r="O44" s="286"/>
      <c r="P44" s="286"/>
      <c r="Q44" s="199"/>
      <c r="R44" s="202"/>
      <c r="S44" s="198" t="s">
        <v>96</v>
      </c>
      <c r="T44" s="199"/>
      <c r="U44" s="199"/>
      <c r="V44" s="200">
        <f t="shared" si="4"/>
        <v>166.5</v>
      </c>
      <c r="W44" s="201"/>
      <c r="X44" s="200">
        <f t="shared" si="3"/>
        <v>166.5</v>
      </c>
      <c r="Y44" s="201"/>
      <c r="Z44" s="177"/>
      <c r="AA44" s="177"/>
      <c r="AB44" s="177" t="s">
        <v>7</v>
      </c>
      <c r="AC44" s="177"/>
      <c r="AD44" s="177"/>
      <c r="AE44" s="181">
        <f>IF(V44,SUM($AK$25:AK44),0)</f>
        <v>12</v>
      </c>
      <c r="AF44" s="182"/>
      <c r="AG44" s="183"/>
      <c r="AH44" s="34">
        <v>111</v>
      </c>
      <c r="AI44" s="13">
        <v>210</v>
      </c>
      <c r="AJ44" s="13">
        <f t="shared" si="1"/>
        <v>34965</v>
      </c>
      <c r="AK44" s="12">
        <f t="shared" si="2"/>
        <v>1</v>
      </c>
      <c r="AL44" s="33">
        <f>((V44+V45+V46+V47+V48)+((V49+V50+V51+V52+V53)/0.75)+((V54+V55)/0.8))/0.25</f>
        <v>1500</v>
      </c>
      <c r="AM44" s="33"/>
      <c r="AT44" s="12" t="s">
        <v>56</v>
      </c>
    </row>
    <row r="45" spans="1:46" s="12" customFormat="1" ht="21.95" hidden="1" customHeight="1" x14ac:dyDescent="0.3">
      <c r="A45" s="175"/>
      <c r="B45" s="176"/>
      <c r="C45" s="176"/>
      <c r="D45" s="177"/>
      <c r="E45" s="177"/>
      <c r="F45" s="178"/>
      <c r="G45" s="191" t="s">
        <v>257</v>
      </c>
      <c r="H45" s="192" t="s">
        <v>183</v>
      </c>
      <c r="I45" s="192" t="s">
        <v>183</v>
      </c>
      <c r="J45" s="192" t="s">
        <v>183</v>
      </c>
      <c r="K45" s="192" t="s">
        <v>183</v>
      </c>
      <c r="L45" s="192" t="s">
        <v>183</v>
      </c>
      <c r="M45" s="193" t="s">
        <v>183</v>
      </c>
      <c r="N45" s="194"/>
      <c r="O45" s="195"/>
      <c r="P45" s="195"/>
      <c r="Q45" s="184"/>
      <c r="R45" s="185"/>
      <c r="S45" s="299" t="s">
        <v>96</v>
      </c>
      <c r="T45" s="184"/>
      <c r="U45" s="184"/>
      <c r="V45" s="196">
        <f t="shared" si="4"/>
        <v>0</v>
      </c>
      <c r="W45" s="197"/>
      <c r="X45" s="196">
        <f t="shared" si="3"/>
        <v>0</v>
      </c>
      <c r="Y45" s="197"/>
      <c r="Z45" s="177"/>
      <c r="AA45" s="177"/>
      <c r="AB45" s="177"/>
      <c r="AC45" s="177"/>
      <c r="AD45" s="177"/>
      <c r="AE45" s="181">
        <f>IF(V45,SUM($AK$25:AK45),0)</f>
        <v>0</v>
      </c>
      <c r="AF45" s="182"/>
      <c r="AG45" s="183"/>
      <c r="AH45" s="34">
        <v>0</v>
      </c>
      <c r="AI45" s="13">
        <v>246</v>
      </c>
      <c r="AJ45" s="13">
        <f t="shared" si="1"/>
        <v>0</v>
      </c>
      <c r="AK45" s="12">
        <f t="shared" si="2"/>
        <v>0</v>
      </c>
      <c r="AL45" s="33"/>
      <c r="AM45" s="33"/>
      <c r="AT45" s="12" t="b">
        <v>0</v>
      </c>
    </row>
    <row r="46" spans="1:46" s="12" customFormat="1" ht="21.95" hidden="1" customHeight="1" x14ac:dyDescent="0.3">
      <c r="A46" s="175"/>
      <c r="B46" s="176"/>
      <c r="C46" s="176"/>
      <c r="D46" s="177"/>
      <c r="E46" s="177"/>
      <c r="F46" s="178"/>
      <c r="G46" s="191" t="s">
        <v>184</v>
      </c>
      <c r="H46" s="192" t="s">
        <v>184</v>
      </c>
      <c r="I46" s="192" t="s">
        <v>184</v>
      </c>
      <c r="J46" s="192" t="s">
        <v>184</v>
      </c>
      <c r="K46" s="192" t="s">
        <v>184</v>
      </c>
      <c r="L46" s="192" t="s">
        <v>184</v>
      </c>
      <c r="M46" s="193" t="s">
        <v>184</v>
      </c>
      <c r="N46" s="194"/>
      <c r="O46" s="195"/>
      <c r="P46" s="195"/>
      <c r="Q46" s="184"/>
      <c r="R46" s="185"/>
      <c r="S46" s="299" t="s">
        <v>96</v>
      </c>
      <c r="T46" s="184"/>
      <c r="U46" s="184"/>
      <c r="V46" s="196">
        <f t="shared" si="4"/>
        <v>0</v>
      </c>
      <c r="W46" s="197"/>
      <c r="X46" s="196">
        <f t="shared" si="3"/>
        <v>0</v>
      </c>
      <c r="Y46" s="197"/>
      <c r="Z46" s="177"/>
      <c r="AA46" s="177"/>
      <c r="AB46" s="177"/>
      <c r="AC46" s="177"/>
      <c r="AD46" s="177"/>
      <c r="AE46" s="181">
        <f>IF(V46,SUM($AK$25:AK46),0)</f>
        <v>0</v>
      </c>
      <c r="AF46" s="182"/>
      <c r="AG46" s="183"/>
      <c r="AH46" s="34">
        <v>0</v>
      </c>
      <c r="AI46" s="13">
        <v>104</v>
      </c>
      <c r="AJ46" s="13">
        <f t="shared" si="1"/>
        <v>0</v>
      </c>
      <c r="AK46" s="12">
        <f t="shared" si="2"/>
        <v>0</v>
      </c>
      <c r="AL46" s="33"/>
      <c r="AM46" s="33"/>
      <c r="AT46" s="12" t="b">
        <v>0</v>
      </c>
    </row>
    <row r="47" spans="1:46" s="12" customFormat="1" ht="21.95" hidden="1" customHeight="1" x14ac:dyDescent="0.35">
      <c r="A47" s="175"/>
      <c r="B47" s="176"/>
      <c r="C47" s="176"/>
      <c r="D47" s="177"/>
      <c r="E47" s="177"/>
      <c r="F47" s="178"/>
      <c r="G47" s="282" t="s">
        <v>61</v>
      </c>
      <c r="H47" s="283" t="s">
        <v>61</v>
      </c>
      <c r="I47" s="283" t="s">
        <v>61</v>
      </c>
      <c r="J47" s="283" t="s">
        <v>61</v>
      </c>
      <c r="K47" s="283" t="s">
        <v>61</v>
      </c>
      <c r="L47" s="283" t="s">
        <v>61</v>
      </c>
      <c r="M47" s="284" t="s">
        <v>61</v>
      </c>
      <c r="N47" s="314"/>
      <c r="O47" s="315"/>
      <c r="P47" s="315"/>
      <c r="Q47" s="179"/>
      <c r="R47" s="180"/>
      <c r="S47" s="389" t="s">
        <v>96</v>
      </c>
      <c r="T47" s="179"/>
      <c r="U47" s="179"/>
      <c r="V47" s="189">
        <f t="shared" si="4"/>
        <v>0</v>
      </c>
      <c r="W47" s="190"/>
      <c r="X47" s="189">
        <f t="shared" si="3"/>
        <v>0</v>
      </c>
      <c r="Y47" s="190"/>
      <c r="Z47" s="177"/>
      <c r="AA47" s="177"/>
      <c r="AB47" s="177"/>
      <c r="AC47" s="177"/>
      <c r="AD47" s="177"/>
      <c r="AE47" s="181">
        <f>IF(V47,SUM($AK$25:AK47),0)</f>
        <v>0</v>
      </c>
      <c r="AF47" s="182"/>
      <c r="AG47" s="183"/>
      <c r="AH47" s="34">
        <v>0</v>
      </c>
      <c r="AI47" s="13">
        <v>104</v>
      </c>
      <c r="AJ47" s="13">
        <f t="shared" ref="AJ47" si="5">AI47*V47</f>
        <v>0</v>
      </c>
      <c r="AK47" s="12">
        <f t="shared" si="2"/>
        <v>0</v>
      </c>
      <c r="AL47" s="33"/>
      <c r="AM47" s="33"/>
      <c r="AT47" s="12" t="b">
        <v>0</v>
      </c>
    </row>
    <row r="48" spans="1:46" s="12" customFormat="1" ht="21.95" hidden="1" customHeight="1" x14ac:dyDescent="0.3">
      <c r="A48" s="175"/>
      <c r="B48" s="176"/>
      <c r="C48" s="176"/>
      <c r="D48" s="177"/>
      <c r="E48" s="177"/>
      <c r="F48" s="178"/>
      <c r="G48" s="191" t="s">
        <v>94</v>
      </c>
      <c r="H48" s="192" t="s">
        <v>94</v>
      </c>
      <c r="I48" s="192" t="s">
        <v>94</v>
      </c>
      <c r="J48" s="192" t="s">
        <v>94</v>
      </c>
      <c r="K48" s="192" t="s">
        <v>94</v>
      </c>
      <c r="L48" s="192" t="s">
        <v>94</v>
      </c>
      <c r="M48" s="193" t="s">
        <v>94</v>
      </c>
      <c r="N48" s="194"/>
      <c r="O48" s="195"/>
      <c r="P48" s="195"/>
      <c r="Q48" s="184"/>
      <c r="R48" s="185"/>
      <c r="S48" s="299" t="s">
        <v>96</v>
      </c>
      <c r="T48" s="184"/>
      <c r="U48" s="184"/>
      <c r="V48" s="196">
        <f t="shared" si="4"/>
        <v>0</v>
      </c>
      <c r="W48" s="197"/>
      <c r="X48" s="196">
        <f t="shared" si="3"/>
        <v>0</v>
      </c>
      <c r="Y48" s="197"/>
      <c r="Z48" s="177"/>
      <c r="AA48" s="177"/>
      <c r="AB48" s="177"/>
      <c r="AC48" s="177"/>
      <c r="AD48" s="177"/>
      <c r="AE48" s="181">
        <f>IF(V48,SUM($AK$25:AK48),0)</f>
        <v>0</v>
      </c>
      <c r="AF48" s="182"/>
      <c r="AG48" s="183"/>
      <c r="AH48" s="34">
        <v>0</v>
      </c>
      <c r="AI48" s="13">
        <v>143</v>
      </c>
      <c r="AJ48" s="13">
        <f t="shared" si="1"/>
        <v>0</v>
      </c>
      <c r="AK48" s="12">
        <f t="shared" si="2"/>
        <v>0</v>
      </c>
      <c r="AL48" s="33"/>
      <c r="AM48" s="33"/>
    </row>
    <row r="49" spans="1:46" s="12" customFormat="1" ht="21.95" hidden="1" customHeight="1" x14ac:dyDescent="0.35">
      <c r="A49" s="175"/>
      <c r="B49" s="176"/>
      <c r="C49" s="176"/>
      <c r="D49" s="177"/>
      <c r="E49" s="177"/>
      <c r="F49" s="178"/>
      <c r="G49" s="282" t="s">
        <v>64</v>
      </c>
      <c r="H49" s="283" t="s">
        <v>64</v>
      </c>
      <c r="I49" s="283" t="s">
        <v>64</v>
      </c>
      <c r="J49" s="283" t="s">
        <v>64</v>
      </c>
      <c r="K49" s="283" t="s">
        <v>64</v>
      </c>
      <c r="L49" s="283" t="s">
        <v>64</v>
      </c>
      <c r="M49" s="284" t="s">
        <v>64</v>
      </c>
      <c r="N49" s="314"/>
      <c r="O49" s="315"/>
      <c r="P49" s="315"/>
      <c r="Q49" s="179"/>
      <c r="R49" s="180"/>
      <c r="S49" s="389" t="s">
        <v>96</v>
      </c>
      <c r="T49" s="179"/>
      <c r="U49" s="179"/>
      <c r="V49" s="189">
        <f t="shared" si="4"/>
        <v>0</v>
      </c>
      <c r="W49" s="190"/>
      <c r="X49" s="189">
        <f t="shared" si="3"/>
        <v>0</v>
      </c>
      <c r="Y49" s="190"/>
      <c r="Z49" s="177"/>
      <c r="AA49" s="177"/>
      <c r="AB49" s="177"/>
      <c r="AC49" s="177"/>
      <c r="AD49" s="177"/>
      <c r="AE49" s="181">
        <f>IF(V49,SUM($AK$25:AK49),0)</f>
        <v>0</v>
      </c>
      <c r="AF49" s="182"/>
      <c r="AG49" s="183"/>
      <c r="AH49" s="34">
        <v>0</v>
      </c>
      <c r="AI49" s="13">
        <v>143</v>
      </c>
      <c r="AJ49" s="13">
        <f t="shared" ref="AJ49" si="6">AI49*V49</f>
        <v>0</v>
      </c>
      <c r="AK49" s="12">
        <f t="shared" si="2"/>
        <v>0</v>
      </c>
      <c r="AL49" s="33"/>
      <c r="AM49" s="33"/>
    </row>
    <row r="50" spans="1:46" s="12" customFormat="1" ht="30" customHeight="1" x14ac:dyDescent="0.35">
      <c r="A50" s="175"/>
      <c r="B50" s="176"/>
      <c r="C50" s="176"/>
      <c r="D50" s="177"/>
      <c r="E50" s="177"/>
      <c r="F50" s="178"/>
      <c r="G50" s="204" t="s">
        <v>63</v>
      </c>
      <c r="H50" s="205" t="s">
        <v>63</v>
      </c>
      <c r="I50" s="205" t="s">
        <v>63</v>
      </c>
      <c r="J50" s="205" t="s">
        <v>63</v>
      </c>
      <c r="K50" s="205" t="s">
        <v>63</v>
      </c>
      <c r="L50" s="205" t="s">
        <v>63</v>
      </c>
      <c r="M50" s="206" t="s">
        <v>63</v>
      </c>
      <c r="N50" s="285"/>
      <c r="O50" s="286"/>
      <c r="P50" s="286"/>
      <c r="Q50" s="199"/>
      <c r="R50" s="202"/>
      <c r="S50" s="198" t="s">
        <v>96</v>
      </c>
      <c r="T50" s="199"/>
      <c r="U50" s="199"/>
      <c r="V50" s="200">
        <f t="shared" si="4"/>
        <v>112.5</v>
      </c>
      <c r="W50" s="201"/>
      <c r="X50" s="200">
        <f t="shared" si="3"/>
        <v>112.5</v>
      </c>
      <c r="Y50" s="201"/>
      <c r="Z50" s="177"/>
      <c r="AA50" s="177"/>
      <c r="AB50" s="177"/>
      <c r="AC50" s="177"/>
      <c r="AD50" s="177"/>
      <c r="AE50" s="181">
        <f>IF(V50,SUM($AK$25:AK50),0)</f>
        <v>13</v>
      </c>
      <c r="AF50" s="182"/>
      <c r="AG50" s="183"/>
      <c r="AH50" s="34">
        <v>75</v>
      </c>
      <c r="AI50" s="13">
        <v>218</v>
      </c>
      <c r="AJ50" s="13">
        <f t="shared" si="1"/>
        <v>24525</v>
      </c>
      <c r="AK50" s="12">
        <f t="shared" si="2"/>
        <v>1</v>
      </c>
      <c r="AL50" s="33"/>
      <c r="AM50" s="33"/>
      <c r="AT50" s="12" t="b">
        <v>0</v>
      </c>
    </row>
    <row r="51" spans="1:46" s="12" customFormat="1" ht="21.95" hidden="1" customHeight="1" x14ac:dyDescent="0.35">
      <c r="A51" s="175"/>
      <c r="B51" s="176"/>
      <c r="C51" s="176"/>
      <c r="D51" s="177"/>
      <c r="E51" s="177"/>
      <c r="F51" s="178"/>
      <c r="G51" s="282" t="s">
        <v>256</v>
      </c>
      <c r="H51" s="283" t="s">
        <v>185</v>
      </c>
      <c r="I51" s="283" t="s">
        <v>185</v>
      </c>
      <c r="J51" s="283" t="s">
        <v>185</v>
      </c>
      <c r="K51" s="283" t="s">
        <v>185</v>
      </c>
      <c r="L51" s="283" t="s">
        <v>185</v>
      </c>
      <c r="M51" s="284" t="s">
        <v>185</v>
      </c>
      <c r="N51" s="314"/>
      <c r="O51" s="315"/>
      <c r="P51" s="315"/>
      <c r="Q51" s="179"/>
      <c r="R51" s="180"/>
      <c r="S51" s="389" t="s">
        <v>96</v>
      </c>
      <c r="T51" s="179"/>
      <c r="U51" s="179"/>
      <c r="V51" s="189">
        <f t="shared" si="4"/>
        <v>0</v>
      </c>
      <c r="W51" s="190"/>
      <c r="X51" s="189">
        <f t="shared" si="3"/>
        <v>0</v>
      </c>
      <c r="Y51" s="190"/>
      <c r="Z51" s="177"/>
      <c r="AA51" s="177"/>
      <c r="AB51" s="177"/>
      <c r="AC51" s="177"/>
      <c r="AD51" s="177"/>
      <c r="AE51" s="181">
        <f>IF(V51,SUM($AK$25:AK51),0)</f>
        <v>0</v>
      </c>
      <c r="AF51" s="182"/>
      <c r="AG51" s="183"/>
      <c r="AH51" s="34">
        <v>0</v>
      </c>
      <c r="AI51" s="13">
        <v>295</v>
      </c>
      <c r="AJ51" s="13">
        <f t="shared" si="1"/>
        <v>0</v>
      </c>
      <c r="AK51" s="12">
        <f t="shared" si="2"/>
        <v>0</v>
      </c>
      <c r="AL51" s="33"/>
      <c r="AM51" s="33"/>
      <c r="AT51" s="12" t="s">
        <v>56</v>
      </c>
    </row>
    <row r="52" spans="1:46" s="12" customFormat="1" ht="21.95" hidden="1" customHeight="1" x14ac:dyDescent="0.3">
      <c r="A52" s="175"/>
      <c r="B52" s="176"/>
      <c r="C52" s="176"/>
      <c r="D52" s="177"/>
      <c r="E52" s="177"/>
      <c r="F52" s="178"/>
      <c r="G52" s="191" t="s">
        <v>258</v>
      </c>
      <c r="H52" s="192" t="s">
        <v>186</v>
      </c>
      <c r="I52" s="192" t="s">
        <v>186</v>
      </c>
      <c r="J52" s="192" t="s">
        <v>186</v>
      </c>
      <c r="K52" s="192" t="s">
        <v>186</v>
      </c>
      <c r="L52" s="192" t="s">
        <v>186</v>
      </c>
      <c r="M52" s="193" t="s">
        <v>186</v>
      </c>
      <c r="N52" s="194"/>
      <c r="O52" s="195"/>
      <c r="P52" s="195"/>
      <c r="Q52" s="184"/>
      <c r="R52" s="185"/>
      <c r="S52" s="299" t="s">
        <v>96</v>
      </c>
      <c r="T52" s="184"/>
      <c r="U52" s="184"/>
      <c r="V52" s="196">
        <f t="shared" si="4"/>
        <v>0</v>
      </c>
      <c r="W52" s="197"/>
      <c r="X52" s="196">
        <f t="shared" si="3"/>
        <v>0</v>
      </c>
      <c r="Y52" s="197"/>
      <c r="Z52" s="177"/>
      <c r="AA52" s="177"/>
      <c r="AB52" s="177"/>
      <c r="AC52" s="177"/>
      <c r="AD52" s="177"/>
      <c r="AE52" s="181">
        <f>IF(V52,SUM($AK$25:AK52),0)</f>
        <v>0</v>
      </c>
      <c r="AF52" s="182"/>
      <c r="AG52" s="183"/>
      <c r="AH52" s="34">
        <v>0</v>
      </c>
      <c r="AI52" s="13">
        <v>214</v>
      </c>
      <c r="AJ52" s="13">
        <f t="shared" si="1"/>
        <v>0</v>
      </c>
      <c r="AK52" s="12">
        <f t="shared" si="2"/>
        <v>0</v>
      </c>
      <c r="AL52" s="33"/>
      <c r="AM52" s="33"/>
      <c r="AT52" s="12" t="s">
        <v>56</v>
      </c>
    </row>
    <row r="53" spans="1:46" s="12" customFormat="1" ht="21.95" customHeight="1" x14ac:dyDescent="0.35">
      <c r="A53" s="175"/>
      <c r="B53" s="176"/>
      <c r="C53" s="176"/>
      <c r="D53" s="177"/>
      <c r="E53" s="177"/>
      <c r="F53" s="178"/>
      <c r="G53" s="204" t="s">
        <v>322</v>
      </c>
      <c r="H53" s="205" t="s">
        <v>187</v>
      </c>
      <c r="I53" s="205" t="s">
        <v>187</v>
      </c>
      <c r="J53" s="205" t="s">
        <v>187</v>
      </c>
      <c r="K53" s="205" t="s">
        <v>187</v>
      </c>
      <c r="L53" s="205" t="s">
        <v>187</v>
      </c>
      <c r="M53" s="206" t="s">
        <v>187</v>
      </c>
      <c r="N53" s="285"/>
      <c r="O53" s="286"/>
      <c r="P53" s="286"/>
      <c r="Q53" s="199"/>
      <c r="R53" s="202"/>
      <c r="S53" s="198" t="s">
        <v>96</v>
      </c>
      <c r="T53" s="199"/>
      <c r="U53" s="199"/>
      <c r="V53" s="200">
        <f t="shared" si="4"/>
        <v>27</v>
      </c>
      <c r="W53" s="201"/>
      <c r="X53" s="200">
        <f t="shared" si="3"/>
        <v>27</v>
      </c>
      <c r="Y53" s="201"/>
      <c r="Z53" s="177"/>
      <c r="AA53" s="177"/>
      <c r="AB53" s="177" t="s">
        <v>7</v>
      </c>
      <c r="AC53" s="177"/>
      <c r="AD53" s="177"/>
      <c r="AE53" s="181">
        <f>IF(V53,SUM($AK$25:AK53),0)</f>
        <v>14</v>
      </c>
      <c r="AF53" s="182"/>
      <c r="AG53" s="183"/>
      <c r="AH53" s="34">
        <v>18</v>
      </c>
      <c r="AI53" s="13">
        <v>182</v>
      </c>
      <c r="AJ53" s="13">
        <f t="shared" si="1"/>
        <v>4914</v>
      </c>
      <c r="AK53" s="12">
        <f t="shared" si="2"/>
        <v>1</v>
      </c>
      <c r="AL53" s="33"/>
      <c r="AM53" s="33"/>
      <c r="AT53" s="12" t="s">
        <v>56</v>
      </c>
    </row>
    <row r="54" spans="1:46" s="12" customFormat="1" ht="27.75" customHeight="1" x14ac:dyDescent="0.35">
      <c r="A54" s="175"/>
      <c r="B54" s="176"/>
      <c r="C54" s="176"/>
      <c r="D54" s="177"/>
      <c r="E54" s="177"/>
      <c r="F54" s="178"/>
      <c r="G54" s="204" t="s">
        <v>188</v>
      </c>
      <c r="H54" s="205" t="s">
        <v>188</v>
      </c>
      <c r="I54" s="205" t="s">
        <v>188</v>
      </c>
      <c r="J54" s="205" t="s">
        <v>188</v>
      </c>
      <c r="K54" s="205" t="s">
        <v>188</v>
      </c>
      <c r="L54" s="205" t="s">
        <v>188</v>
      </c>
      <c r="M54" s="206" t="s">
        <v>188</v>
      </c>
      <c r="N54" s="285"/>
      <c r="O54" s="286"/>
      <c r="P54" s="286"/>
      <c r="Q54" s="199"/>
      <c r="R54" s="202"/>
      <c r="S54" s="198" t="s">
        <v>96</v>
      </c>
      <c r="T54" s="199"/>
      <c r="U54" s="199"/>
      <c r="V54" s="200">
        <f t="shared" ref="V54" si="7">$AE$11*AH54/1000</f>
        <v>18</v>
      </c>
      <c r="W54" s="201"/>
      <c r="X54" s="200">
        <f t="shared" ref="X54" si="8">V54</f>
        <v>18</v>
      </c>
      <c r="Y54" s="201"/>
      <c r="Z54" s="177"/>
      <c r="AA54" s="177"/>
      <c r="AB54" s="177"/>
      <c r="AC54" s="177"/>
      <c r="AD54" s="177"/>
      <c r="AE54" s="181">
        <f>IF(V54,SUM($AK$25:AK54),0)</f>
        <v>15</v>
      </c>
      <c r="AF54" s="182"/>
      <c r="AG54" s="183"/>
      <c r="AH54" s="34">
        <v>12</v>
      </c>
      <c r="AI54" s="13">
        <v>77</v>
      </c>
      <c r="AJ54" s="13">
        <f t="shared" si="1"/>
        <v>1386</v>
      </c>
      <c r="AK54" s="12">
        <f t="shared" si="2"/>
        <v>1</v>
      </c>
      <c r="AL54" s="33"/>
      <c r="AM54" s="33"/>
      <c r="AT54" s="12" t="s">
        <v>56</v>
      </c>
    </row>
    <row r="55" spans="1:46" s="12" customFormat="1" ht="21.95" hidden="1" customHeight="1" x14ac:dyDescent="0.3">
      <c r="A55" s="175"/>
      <c r="B55" s="176"/>
      <c r="C55" s="176"/>
      <c r="D55" s="177"/>
      <c r="E55" s="177"/>
      <c r="F55" s="178"/>
      <c r="G55" s="191" t="s">
        <v>189</v>
      </c>
      <c r="H55" s="192" t="s">
        <v>189</v>
      </c>
      <c r="I55" s="192" t="s">
        <v>189</v>
      </c>
      <c r="J55" s="192" t="s">
        <v>189</v>
      </c>
      <c r="K55" s="192" t="s">
        <v>189</v>
      </c>
      <c r="L55" s="192" t="s">
        <v>189</v>
      </c>
      <c r="M55" s="193" t="s">
        <v>189</v>
      </c>
      <c r="N55" s="194"/>
      <c r="O55" s="195"/>
      <c r="P55" s="195"/>
      <c r="Q55" s="184"/>
      <c r="R55" s="185"/>
      <c r="S55" s="299" t="s">
        <v>96</v>
      </c>
      <c r="T55" s="184"/>
      <c r="U55" s="184"/>
      <c r="V55" s="196">
        <f t="shared" si="4"/>
        <v>0</v>
      </c>
      <c r="W55" s="197"/>
      <c r="X55" s="196">
        <f t="shared" si="3"/>
        <v>0</v>
      </c>
      <c r="Y55" s="197"/>
      <c r="Z55" s="177"/>
      <c r="AA55" s="177"/>
      <c r="AB55" s="177"/>
      <c r="AC55" s="177"/>
      <c r="AD55" s="177"/>
      <c r="AE55" s="181">
        <f>IF(V55,SUM($AK$25:AK55),0)</f>
        <v>0</v>
      </c>
      <c r="AF55" s="182"/>
      <c r="AG55" s="183"/>
      <c r="AH55" s="34">
        <v>0</v>
      </c>
      <c r="AI55" s="13">
        <v>150</v>
      </c>
      <c r="AJ55" s="13">
        <f t="shared" si="1"/>
        <v>0</v>
      </c>
      <c r="AK55" s="12">
        <f t="shared" si="2"/>
        <v>0</v>
      </c>
      <c r="AL55" s="33"/>
      <c r="AM55" s="33"/>
      <c r="AT55" s="12" t="b">
        <v>0</v>
      </c>
    </row>
    <row r="56" spans="1:46" s="12" customFormat="1" ht="21.95" customHeight="1" x14ac:dyDescent="0.35">
      <c r="A56" s="175"/>
      <c r="B56" s="176"/>
      <c r="C56" s="176"/>
      <c r="D56" s="177"/>
      <c r="E56" s="177"/>
      <c r="F56" s="178"/>
      <c r="G56" s="204" t="s">
        <v>190</v>
      </c>
      <c r="H56" s="205" t="s">
        <v>190</v>
      </c>
      <c r="I56" s="205" t="s">
        <v>190</v>
      </c>
      <c r="J56" s="205" t="s">
        <v>190</v>
      </c>
      <c r="K56" s="205" t="s">
        <v>190</v>
      </c>
      <c r="L56" s="205" t="s">
        <v>190</v>
      </c>
      <c r="M56" s="206" t="s">
        <v>190</v>
      </c>
      <c r="N56" s="285"/>
      <c r="O56" s="286"/>
      <c r="P56" s="286"/>
      <c r="Q56" s="199"/>
      <c r="R56" s="202"/>
      <c r="S56" s="198" t="s">
        <v>96</v>
      </c>
      <c r="T56" s="199"/>
      <c r="U56" s="199"/>
      <c r="V56" s="200">
        <f t="shared" si="4"/>
        <v>30</v>
      </c>
      <c r="W56" s="201"/>
      <c r="X56" s="200">
        <f t="shared" si="3"/>
        <v>30</v>
      </c>
      <c r="Y56" s="201"/>
      <c r="Z56" s="177"/>
      <c r="AA56" s="177"/>
      <c r="AB56" s="177"/>
      <c r="AC56" s="177"/>
      <c r="AD56" s="177"/>
      <c r="AE56" s="181">
        <f>IF(V56,SUM($AK$25:AK56),0)</f>
        <v>16</v>
      </c>
      <c r="AF56" s="182"/>
      <c r="AG56" s="183"/>
      <c r="AH56" s="34">
        <v>20</v>
      </c>
      <c r="AI56" s="13">
        <v>95</v>
      </c>
      <c r="AJ56" s="13">
        <f t="shared" si="1"/>
        <v>2850</v>
      </c>
      <c r="AK56" s="12">
        <f t="shared" si="2"/>
        <v>1</v>
      </c>
      <c r="AL56" s="33">
        <f>V56/0.02</f>
        <v>1500</v>
      </c>
      <c r="AM56" s="33"/>
      <c r="AT56" s="12" t="s">
        <v>56</v>
      </c>
    </row>
    <row r="57" spans="1:46" s="12" customFormat="1" ht="26.25" customHeight="1" x14ac:dyDescent="0.35">
      <c r="A57" s="175"/>
      <c r="B57" s="176"/>
      <c r="C57" s="176"/>
      <c r="D57" s="177"/>
      <c r="E57" s="177"/>
      <c r="F57" s="178"/>
      <c r="G57" s="204" t="s">
        <v>191</v>
      </c>
      <c r="H57" s="205" t="s">
        <v>191</v>
      </c>
      <c r="I57" s="205" t="s">
        <v>191</v>
      </c>
      <c r="J57" s="205" t="s">
        <v>191</v>
      </c>
      <c r="K57" s="205" t="s">
        <v>191</v>
      </c>
      <c r="L57" s="205" t="s">
        <v>191</v>
      </c>
      <c r="M57" s="206" t="s">
        <v>191</v>
      </c>
      <c r="N57" s="285"/>
      <c r="O57" s="286"/>
      <c r="P57" s="286"/>
      <c r="Q57" s="199"/>
      <c r="R57" s="202"/>
      <c r="S57" s="198" t="s">
        <v>96</v>
      </c>
      <c r="T57" s="199"/>
      <c r="U57" s="199"/>
      <c r="V57" s="200">
        <f t="shared" si="4"/>
        <v>30</v>
      </c>
      <c r="W57" s="201"/>
      <c r="X57" s="200">
        <f t="shared" ref="X57" si="9">V57</f>
        <v>30</v>
      </c>
      <c r="Y57" s="201"/>
      <c r="Z57" s="177"/>
      <c r="AA57" s="177"/>
      <c r="AB57" s="177"/>
      <c r="AC57" s="177"/>
      <c r="AD57" s="177"/>
      <c r="AE57" s="181">
        <f>IF(V57,SUM($AK$25:AK57),0)</f>
        <v>17</v>
      </c>
      <c r="AF57" s="182"/>
      <c r="AG57" s="183"/>
      <c r="AH57" s="34">
        <v>20</v>
      </c>
      <c r="AI57" s="13">
        <v>110</v>
      </c>
      <c r="AJ57" s="13">
        <f t="shared" si="1"/>
        <v>3300</v>
      </c>
      <c r="AK57" s="12">
        <f t="shared" si="2"/>
        <v>1</v>
      </c>
      <c r="AL57" s="33">
        <f>((V57+V58)+((V59+V60)*2))/0.025</f>
        <v>1500</v>
      </c>
      <c r="AM57" s="33"/>
      <c r="AT57" s="12" t="s">
        <v>56</v>
      </c>
    </row>
    <row r="58" spans="1:46" s="12" customFormat="1" ht="21.95" hidden="1" customHeight="1" x14ac:dyDescent="0.3">
      <c r="A58" s="175"/>
      <c r="B58" s="176"/>
      <c r="C58" s="176"/>
      <c r="D58" s="177"/>
      <c r="E58" s="177"/>
      <c r="F58" s="178"/>
      <c r="G58" s="390" t="s">
        <v>192</v>
      </c>
      <c r="H58" s="391" t="s">
        <v>192</v>
      </c>
      <c r="I58" s="391" t="s">
        <v>192</v>
      </c>
      <c r="J58" s="391" t="s">
        <v>192</v>
      </c>
      <c r="K58" s="391" t="s">
        <v>192</v>
      </c>
      <c r="L58" s="391" t="s">
        <v>192</v>
      </c>
      <c r="M58" s="392" t="s">
        <v>192</v>
      </c>
      <c r="N58" s="194"/>
      <c r="O58" s="195"/>
      <c r="P58" s="195"/>
      <c r="Q58" s="184"/>
      <c r="R58" s="185"/>
      <c r="S58" s="299" t="s">
        <v>96</v>
      </c>
      <c r="T58" s="184"/>
      <c r="U58" s="184"/>
      <c r="V58" s="196">
        <f t="shared" si="4"/>
        <v>0</v>
      </c>
      <c r="W58" s="197"/>
      <c r="X58" s="196">
        <f t="shared" si="3"/>
        <v>0</v>
      </c>
      <c r="Y58" s="197"/>
      <c r="Z58" s="177"/>
      <c r="AA58" s="177"/>
      <c r="AB58" s="177"/>
      <c r="AC58" s="177"/>
      <c r="AD58" s="177"/>
      <c r="AE58" s="181">
        <f>IF(V58,SUM($AK$25:AK58),0)</f>
        <v>0</v>
      </c>
      <c r="AF58" s="182"/>
      <c r="AG58" s="183"/>
      <c r="AH58" s="34">
        <v>0</v>
      </c>
      <c r="AI58" s="13">
        <v>143</v>
      </c>
      <c r="AJ58" s="13">
        <f t="shared" si="1"/>
        <v>0</v>
      </c>
      <c r="AK58" s="12">
        <f t="shared" si="2"/>
        <v>0</v>
      </c>
      <c r="AL58" s="33"/>
      <c r="AM58" s="33"/>
      <c r="AT58" s="12" t="s">
        <v>56</v>
      </c>
    </row>
    <row r="59" spans="1:46" s="12" customFormat="1" ht="21.95" hidden="1" customHeight="1" x14ac:dyDescent="0.3">
      <c r="A59" s="175"/>
      <c r="B59" s="176"/>
      <c r="C59" s="176"/>
      <c r="D59" s="177"/>
      <c r="E59" s="177"/>
      <c r="F59" s="178"/>
      <c r="G59" s="390" t="s">
        <v>193</v>
      </c>
      <c r="H59" s="391" t="s">
        <v>193</v>
      </c>
      <c r="I59" s="391" t="s">
        <v>193</v>
      </c>
      <c r="J59" s="391" t="s">
        <v>193</v>
      </c>
      <c r="K59" s="391" t="s">
        <v>193</v>
      </c>
      <c r="L59" s="391" t="s">
        <v>193</v>
      </c>
      <c r="M59" s="392" t="s">
        <v>193</v>
      </c>
      <c r="N59" s="194"/>
      <c r="O59" s="195"/>
      <c r="P59" s="195"/>
      <c r="Q59" s="184"/>
      <c r="R59" s="185"/>
      <c r="S59" s="299" t="s">
        <v>96</v>
      </c>
      <c r="T59" s="184"/>
      <c r="U59" s="184"/>
      <c r="V59" s="196">
        <f t="shared" si="4"/>
        <v>0</v>
      </c>
      <c r="W59" s="197"/>
      <c r="X59" s="196">
        <f t="shared" si="3"/>
        <v>0</v>
      </c>
      <c r="Y59" s="197"/>
      <c r="Z59" s="177"/>
      <c r="AA59" s="177"/>
      <c r="AB59" s="177"/>
      <c r="AC59" s="177"/>
      <c r="AD59" s="177"/>
      <c r="AE59" s="181">
        <f>IF(V59,SUM($AK$25:AK59),0)</f>
        <v>0</v>
      </c>
      <c r="AF59" s="182"/>
      <c r="AG59" s="183"/>
      <c r="AH59" s="34">
        <v>0</v>
      </c>
      <c r="AI59" s="13">
        <v>127</v>
      </c>
      <c r="AJ59" s="13">
        <f t="shared" si="1"/>
        <v>0</v>
      </c>
      <c r="AK59" s="12">
        <f t="shared" si="2"/>
        <v>0</v>
      </c>
      <c r="AL59" s="33"/>
      <c r="AM59" s="33"/>
      <c r="AT59" s="12" t="s">
        <v>56</v>
      </c>
    </row>
    <row r="60" spans="1:46" s="12" customFormat="1" ht="21.95" customHeight="1" x14ac:dyDescent="0.35">
      <c r="A60" s="175"/>
      <c r="B60" s="176"/>
      <c r="C60" s="176"/>
      <c r="D60" s="177"/>
      <c r="E60" s="177"/>
      <c r="F60" s="178"/>
      <c r="G60" s="204" t="s">
        <v>194</v>
      </c>
      <c r="H60" s="205" t="s">
        <v>194</v>
      </c>
      <c r="I60" s="205" t="s">
        <v>194</v>
      </c>
      <c r="J60" s="205" t="s">
        <v>194</v>
      </c>
      <c r="K60" s="205" t="s">
        <v>194</v>
      </c>
      <c r="L60" s="205" t="s">
        <v>194</v>
      </c>
      <c r="M60" s="206" t="s">
        <v>194</v>
      </c>
      <c r="N60" s="285"/>
      <c r="O60" s="286"/>
      <c r="P60" s="286"/>
      <c r="Q60" s="199"/>
      <c r="R60" s="202"/>
      <c r="S60" s="198" t="s">
        <v>96</v>
      </c>
      <c r="T60" s="199"/>
      <c r="U60" s="199"/>
      <c r="V60" s="200">
        <f t="shared" si="4"/>
        <v>3.75</v>
      </c>
      <c r="W60" s="201"/>
      <c r="X60" s="200">
        <f t="shared" si="3"/>
        <v>3.75</v>
      </c>
      <c r="Y60" s="201"/>
      <c r="Z60" s="177"/>
      <c r="AA60" s="177"/>
      <c r="AB60" s="177"/>
      <c r="AC60" s="177"/>
      <c r="AD60" s="177"/>
      <c r="AE60" s="181">
        <f>IF(V60,SUM($AK$25:AK60),0)</f>
        <v>18</v>
      </c>
      <c r="AF60" s="182"/>
      <c r="AG60" s="183"/>
      <c r="AH60" s="34">
        <v>2.5</v>
      </c>
      <c r="AI60" s="13">
        <v>52</v>
      </c>
      <c r="AJ60" s="13">
        <f t="shared" si="1"/>
        <v>195</v>
      </c>
      <c r="AK60" s="12">
        <f t="shared" si="2"/>
        <v>1</v>
      </c>
      <c r="AL60" s="33"/>
      <c r="AM60" s="33"/>
      <c r="AT60" s="12" t="s">
        <v>56</v>
      </c>
    </row>
    <row r="61" spans="1:46" s="12" customFormat="1" ht="21.95" hidden="1" customHeight="1" x14ac:dyDescent="0.3">
      <c r="A61" s="175"/>
      <c r="B61" s="176"/>
      <c r="C61" s="176"/>
      <c r="D61" s="177"/>
      <c r="E61" s="177"/>
      <c r="F61" s="178"/>
      <c r="G61" s="191" t="s">
        <v>195</v>
      </c>
      <c r="H61" s="192" t="s">
        <v>195</v>
      </c>
      <c r="I61" s="192" t="s">
        <v>195</v>
      </c>
      <c r="J61" s="192" t="s">
        <v>195</v>
      </c>
      <c r="K61" s="192" t="s">
        <v>195</v>
      </c>
      <c r="L61" s="192" t="s">
        <v>195</v>
      </c>
      <c r="M61" s="193" t="s">
        <v>195</v>
      </c>
      <c r="N61" s="194"/>
      <c r="O61" s="195"/>
      <c r="P61" s="195"/>
      <c r="Q61" s="184"/>
      <c r="R61" s="185"/>
      <c r="S61" s="299"/>
      <c r="T61" s="184"/>
      <c r="U61" s="184"/>
      <c r="V61" s="196">
        <f t="shared" si="4"/>
        <v>0</v>
      </c>
      <c r="W61" s="197"/>
      <c r="X61" s="196">
        <f t="shared" si="3"/>
        <v>0</v>
      </c>
      <c r="Y61" s="197"/>
      <c r="Z61" s="177"/>
      <c r="AA61" s="177"/>
      <c r="AB61" s="177"/>
      <c r="AC61" s="177"/>
      <c r="AD61" s="177"/>
      <c r="AE61" s="181">
        <f>IF(V61,SUM($AK$25:AK61),0)</f>
        <v>0</v>
      </c>
      <c r="AF61" s="182"/>
      <c r="AG61" s="183"/>
      <c r="AH61" s="34">
        <v>0</v>
      </c>
      <c r="AI61" s="13">
        <v>90.5</v>
      </c>
      <c r="AJ61" s="13">
        <f t="shared" si="1"/>
        <v>0</v>
      </c>
      <c r="AK61" s="12">
        <f t="shared" si="2"/>
        <v>0</v>
      </c>
      <c r="AL61" s="33">
        <f>((V61+V62+V63+V64+V65+V66+V70+V67+V68+V69)/0.12)+((V71+V72+V73)/0.096)</f>
        <v>1500</v>
      </c>
      <c r="AM61" s="33"/>
      <c r="AT61" s="12" t="s">
        <v>56</v>
      </c>
    </row>
    <row r="62" spans="1:46" s="12" customFormat="1" ht="21.95" customHeight="1" x14ac:dyDescent="0.35">
      <c r="A62" s="175"/>
      <c r="B62" s="176"/>
      <c r="C62" s="176"/>
      <c r="D62" s="177"/>
      <c r="E62" s="177"/>
      <c r="F62" s="178"/>
      <c r="G62" s="204" t="s">
        <v>309</v>
      </c>
      <c r="H62" s="205" t="s">
        <v>196</v>
      </c>
      <c r="I62" s="205" t="s">
        <v>196</v>
      </c>
      <c r="J62" s="205" t="s">
        <v>196</v>
      </c>
      <c r="K62" s="205" t="s">
        <v>196</v>
      </c>
      <c r="L62" s="205" t="s">
        <v>196</v>
      </c>
      <c r="M62" s="206" t="s">
        <v>196</v>
      </c>
      <c r="N62" s="285"/>
      <c r="O62" s="286"/>
      <c r="P62" s="286"/>
      <c r="Q62" s="199"/>
      <c r="R62" s="202"/>
      <c r="S62" s="198" t="s">
        <v>96</v>
      </c>
      <c r="T62" s="199"/>
      <c r="U62" s="199"/>
      <c r="V62" s="200">
        <f t="shared" si="4"/>
        <v>75</v>
      </c>
      <c r="W62" s="201"/>
      <c r="X62" s="200">
        <f t="shared" si="3"/>
        <v>75</v>
      </c>
      <c r="Y62" s="201"/>
      <c r="Z62" s="177"/>
      <c r="AA62" s="177"/>
      <c r="AB62" s="177"/>
      <c r="AC62" s="177"/>
      <c r="AD62" s="177"/>
      <c r="AE62" s="181">
        <f>IF(V62,SUM($AK$25:AK62),0)</f>
        <v>19</v>
      </c>
      <c r="AF62" s="182"/>
      <c r="AG62" s="183"/>
      <c r="AH62" s="34">
        <v>50</v>
      </c>
      <c r="AI62" s="13">
        <v>105</v>
      </c>
      <c r="AJ62" s="13">
        <f t="shared" si="1"/>
        <v>7875</v>
      </c>
      <c r="AK62" s="12">
        <f t="shared" si="2"/>
        <v>1</v>
      </c>
      <c r="AL62" s="33"/>
      <c r="AM62" s="33"/>
      <c r="AT62" s="12" t="s">
        <v>56</v>
      </c>
    </row>
    <row r="63" spans="1:46" s="12" customFormat="1" ht="21.95" hidden="1" customHeight="1" x14ac:dyDescent="0.3">
      <c r="A63" s="404"/>
      <c r="B63" s="405"/>
      <c r="C63" s="405"/>
      <c r="D63" s="406"/>
      <c r="E63" s="406"/>
      <c r="F63" s="181"/>
      <c r="G63" s="191" t="s">
        <v>197</v>
      </c>
      <c r="H63" s="192" t="s">
        <v>197</v>
      </c>
      <c r="I63" s="192" t="s">
        <v>197</v>
      </c>
      <c r="J63" s="192" t="s">
        <v>197</v>
      </c>
      <c r="K63" s="192" t="s">
        <v>197</v>
      </c>
      <c r="L63" s="192" t="s">
        <v>197</v>
      </c>
      <c r="M63" s="193" t="s">
        <v>197</v>
      </c>
      <c r="N63" s="398"/>
      <c r="O63" s="407"/>
      <c r="P63" s="407"/>
      <c r="Q63" s="408"/>
      <c r="R63" s="409"/>
      <c r="S63" s="298" t="s">
        <v>96</v>
      </c>
      <c r="T63" s="408"/>
      <c r="U63" s="408"/>
      <c r="V63" s="196">
        <f t="shared" si="4"/>
        <v>0</v>
      </c>
      <c r="W63" s="197"/>
      <c r="X63" s="196">
        <f t="shared" si="3"/>
        <v>0</v>
      </c>
      <c r="Y63" s="197"/>
      <c r="Z63" s="406"/>
      <c r="AA63" s="406"/>
      <c r="AB63" s="406"/>
      <c r="AC63" s="406"/>
      <c r="AD63" s="406"/>
      <c r="AE63" s="181">
        <f>IF(V63,SUM($AK$25:AK63),0)</f>
        <v>0</v>
      </c>
      <c r="AF63" s="182"/>
      <c r="AG63" s="183"/>
      <c r="AH63" s="34">
        <v>0</v>
      </c>
      <c r="AI63" s="14">
        <v>407.5</v>
      </c>
      <c r="AJ63" s="13">
        <f t="shared" si="1"/>
        <v>0</v>
      </c>
      <c r="AK63" s="12">
        <f t="shared" si="2"/>
        <v>0</v>
      </c>
      <c r="AL63" s="33"/>
      <c r="AM63" s="33"/>
      <c r="AT63" s="12" t="s">
        <v>56</v>
      </c>
    </row>
    <row r="64" spans="1:46" s="12" customFormat="1" ht="21.95" hidden="1" customHeight="1" x14ac:dyDescent="0.35">
      <c r="A64" s="401"/>
      <c r="B64" s="402"/>
      <c r="C64" s="403"/>
      <c r="D64" s="181"/>
      <c r="E64" s="182"/>
      <c r="F64" s="183"/>
      <c r="G64" s="204" t="s">
        <v>109</v>
      </c>
      <c r="H64" s="205" t="s">
        <v>109</v>
      </c>
      <c r="I64" s="205" t="s">
        <v>109</v>
      </c>
      <c r="J64" s="205" t="s">
        <v>109</v>
      </c>
      <c r="K64" s="205" t="s">
        <v>109</v>
      </c>
      <c r="L64" s="205" t="s">
        <v>109</v>
      </c>
      <c r="M64" s="206" t="s">
        <v>109</v>
      </c>
      <c r="N64" s="410"/>
      <c r="O64" s="411"/>
      <c r="P64" s="412"/>
      <c r="Q64" s="399"/>
      <c r="R64" s="400"/>
      <c r="S64" s="413" t="s">
        <v>96</v>
      </c>
      <c r="T64" s="414"/>
      <c r="U64" s="415"/>
      <c r="V64" s="200">
        <f t="shared" si="4"/>
        <v>0</v>
      </c>
      <c r="W64" s="201"/>
      <c r="X64" s="200">
        <f t="shared" si="3"/>
        <v>0</v>
      </c>
      <c r="Y64" s="201"/>
      <c r="Z64" s="181"/>
      <c r="AA64" s="188"/>
      <c r="AB64" s="181"/>
      <c r="AC64" s="182"/>
      <c r="AD64" s="188"/>
      <c r="AE64" s="181">
        <f>IF(V64,SUM($AK$25:AK64),0)</f>
        <v>0</v>
      </c>
      <c r="AF64" s="182"/>
      <c r="AG64" s="183"/>
      <c r="AH64" s="34">
        <v>0</v>
      </c>
      <c r="AI64" s="14">
        <v>160</v>
      </c>
      <c r="AJ64" s="13">
        <f t="shared" si="1"/>
        <v>0</v>
      </c>
      <c r="AK64" s="12">
        <f t="shared" si="2"/>
        <v>0</v>
      </c>
      <c r="AL64" s="33"/>
      <c r="AM64" s="33"/>
    </row>
    <row r="65" spans="1:46" s="12" customFormat="1" ht="21.95" hidden="1" customHeight="1" x14ac:dyDescent="0.3">
      <c r="A65" s="401"/>
      <c r="B65" s="402"/>
      <c r="C65" s="403"/>
      <c r="D65" s="181"/>
      <c r="E65" s="182"/>
      <c r="F65" s="183"/>
      <c r="G65" s="191" t="s">
        <v>113</v>
      </c>
      <c r="H65" s="192" t="s">
        <v>113</v>
      </c>
      <c r="I65" s="192" t="s">
        <v>113</v>
      </c>
      <c r="J65" s="192" t="s">
        <v>113</v>
      </c>
      <c r="K65" s="192" t="s">
        <v>113</v>
      </c>
      <c r="L65" s="192" t="s">
        <v>113</v>
      </c>
      <c r="M65" s="193" t="s">
        <v>113</v>
      </c>
      <c r="N65" s="396"/>
      <c r="O65" s="397"/>
      <c r="P65" s="398"/>
      <c r="Q65" s="186"/>
      <c r="R65" s="187"/>
      <c r="S65" s="296" t="s">
        <v>96</v>
      </c>
      <c r="T65" s="297"/>
      <c r="U65" s="298"/>
      <c r="V65" s="196">
        <f t="shared" si="4"/>
        <v>0</v>
      </c>
      <c r="W65" s="197"/>
      <c r="X65" s="196">
        <f t="shared" si="3"/>
        <v>0</v>
      </c>
      <c r="Y65" s="197"/>
      <c r="Z65" s="181"/>
      <c r="AA65" s="188"/>
      <c r="AB65" s="181"/>
      <c r="AC65" s="182"/>
      <c r="AD65" s="188"/>
      <c r="AE65" s="181">
        <f>IF(V65,SUM($AK$25:AK65),0)</f>
        <v>0</v>
      </c>
      <c r="AF65" s="182"/>
      <c r="AG65" s="183"/>
      <c r="AH65" s="34">
        <v>0</v>
      </c>
      <c r="AI65" s="14">
        <v>95</v>
      </c>
      <c r="AJ65" s="13">
        <f t="shared" si="1"/>
        <v>0</v>
      </c>
      <c r="AK65" s="12">
        <f t="shared" si="2"/>
        <v>0</v>
      </c>
      <c r="AL65" s="33"/>
      <c r="AM65" s="33"/>
    </row>
    <row r="66" spans="1:46" s="12" customFormat="1" ht="21.95" hidden="1" customHeight="1" x14ac:dyDescent="0.3">
      <c r="A66" s="401"/>
      <c r="B66" s="402"/>
      <c r="C66" s="403"/>
      <c r="D66" s="181"/>
      <c r="E66" s="182"/>
      <c r="F66" s="183"/>
      <c r="G66" s="191" t="s">
        <v>198</v>
      </c>
      <c r="H66" s="192" t="s">
        <v>198</v>
      </c>
      <c r="I66" s="192" t="s">
        <v>198</v>
      </c>
      <c r="J66" s="192" t="s">
        <v>198</v>
      </c>
      <c r="K66" s="192" t="s">
        <v>198</v>
      </c>
      <c r="L66" s="192" t="s">
        <v>198</v>
      </c>
      <c r="M66" s="193" t="s">
        <v>198</v>
      </c>
      <c r="N66" s="396"/>
      <c r="O66" s="397"/>
      <c r="P66" s="398"/>
      <c r="Q66" s="186"/>
      <c r="R66" s="187"/>
      <c r="S66" s="296"/>
      <c r="T66" s="297"/>
      <c r="U66" s="298"/>
      <c r="V66" s="196">
        <f t="shared" si="4"/>
        <v>0</v>
      </c>
      <c r="W66" s="197"/>
      <c r="X66" s="196">
        <f t="shared" si="3"/>
        <v>0</v>
      </c>
      <c r="Y66" s="197"/>
      <c r="Z66" s="181"/>
      <c r="AA66" s="188"/>
      <c r="AB66" s="181"/>
      <c r="AC66" s="182"/>
      <c r="AD66" s="188"/>
      <c r="AE66" s="181">
        <f>IF(V66,SUM($AK$25:AK66),0)</f>
        <v>0</v>
      </c>
      <c r="AF66" s="182"/>
      <c r="AG66" s="183"/>
      <c r="AH66" s="34">
        <v>0</v>
      </c>
      <c r="AI66" s="14">
        <v>138</v>
      </c>
      <c r="AJ66" s="13">
        <f t="shared" si="1"/>
        <v>0</v>
      </c>
      <c r="AK66" s="12">
        <f t="shared" si="2"/>
        <v>0</v>
      </c>
      <c r="AL66" s="33"/>
      <c r="AM66" s="33"/>
    </row>
    <row r="67" spans="1:46" s="12" customFormat="1" ht="27.75" customHeight="1" x14ac:dyDescent="0.35">
      <c r="A67" s="401"/>
      <c r="B67" s="402"/>
      <c r="C67" s="403"/>
      <c r="D67" s="181"/>
      <c r="E67" s="182"/>
      <c r="F67" s="183"/>
      <c r="G67" s="204" t="s">
        <v>100</v>
      </c>
      <c r="H67" s="205" t="s">
        <v>100</v>
      </c>
      <c r="I67" s="205" t="s">
        <v>100</v>
      </c>
      <c r="J67" s="205" t="s">
        <v>100</v>
      </c>
      <c r="K67" s="205" t="s">
        <v>100</v>
      </c>
      <c r="L67" s="205" t="s">
        <v>100</v>
      </c>
      <c r="M67" s="206" t="s">
        <v>100</v>
      </c>
      <c r="N67" s="410"/>
      <c r="O67" s="411"/>
      <c r="P67" s="412"/>
      <c r="Q67" s="399"/>
      <c r="R67" s="400"/>
      <c r="S67" s="413" t="s">
        <v>96</v>
      </c>
      <c r="T67" s="414"/>
      <c r="U67" s="415"/>
      <c r="V67" s="200">
        <f t="shared" si="4"/>
        <v>90</v>
      </c>
      <c r="W67" s="201"/>
      <c r="X67" s="200">
        <f t="shared" si="3"/>
        <v>90</v>
      </c>
      <c r="Y67" s="201"/>
      <c r="Z67" s="181"/>
      <c r="AA67" s="188"/>
      <c r="AB67" s="181"/>
      <c r="AC67" s="182"/>
      <c r="AD67" s="188"/>
      <c r="AE67" s="181">
        <f>IF(V67,SUM($AK$25:AK67),0)</f>
        <v>20</v>
      </c>
      <c r="AF67" s="182"/>
      <c r="AG67" s="183"/>
      <c r="AH67" s="34">
        <v>60</v>
      </c>
      <c r="AI67" s="14">
        <v>336</v>
      </c>
      <c r="AJ67" s="13">
        <f t="shared" si="1"/>
        <v>30240</v>
      </c>
      <c r="AK67" s="12">
        <f t="shared" si="2"/>
        <v>1</v>
      </c>
      <c r="AL67" s="33"/>
      <c r="AM67" s="33"/>
      <c r="AT67" s="12" t="b">
        <v>0</v>
      </c>
    </row>
    <row r="68" spans="1:46" s="12" customFormat="1" ht="21.95" hidden="1" customHeight="1" x14ac:dyDescent="0.3">
      <c r="A68" s="401"/>
      <c r="B68" s="402"/>
      <c r="C68" s="403"/>
      <c r="D68" s="181"/>
      <c r="E68" s="182"/>
      <c r="F68" s="183"/>
      <c r="G68" s="191" t="s">
        <v>199</v>
      </c>
      <c r="H68" s="192" t="s">
        <v>199</v>
      </c>
      <c r="I68" s="192" t="s">
        <v>199</v>
      </c>
      <c r="J68" s="192" t="s">
        <v>199</v>
      </c>
      <c r="K68" s="192" t="s">
        <v>199</v>
      </c>
      <c r="L68" s="192" t="s">
        <v>199</v>
      </c>
      <c r="M68" s="193" t="s">
        <v>199</v>
      </c>
      <c r="N68" s="396"/>
      <c r="O68" s="397"/>
      <c r="P68" s="398"/>
      <c r="Q68" s="186"/>
      <c r="R68" s="187"/>
      <c r="S68" s="296" t="s">
        <v>98</v>
      </c>
      <c r="T68" s="297"/>
      <c r="U68" s="298"/>
      <c r="V68" s="196">
        <f t="shared" si="4"/>
        <v>0</v>
      </c>
      <c r="W68" s="197"/>
      <c r="X68" s="196">
        <f t="shared" si="3"/>
        <v>0</v>
      </c>
      <c r="Y68" s="197"/>
      <c r="Z68" s="181"/>
      <c r="AA68" s="188"/>
      <c r="AB68" s="181"/>
      <c r="AC68" s="182"/>
      <c r="AD68" s="188"/>
      <c r="AE68" s="181">
        <f>IF(V68,SUM($AK$25:AK68),0)</f>
        <v>0</v>
      </c>
      <c r="AF68" s="182"/>
      <c r="AG68" s="183"/>
      <c r="AH68" s="34">
        <v>0</v>
      </c>
      <c r="AI68" s="14">
        <v>4</v>
      </c>
      <c r="AJ68" s="13">
        <f t="shared" si="1"/>
        <v>0</v>
      </c>
      <c r="AK68" s="12">
        <f t="shared" si="2"/>
        <v>0</v>
      </c>
      <c r="AL68" s="33"/>
      <c r="AM68" s="33"/>
      <c r="AT68" s="12" t="b">
        <v>0</v>
      </c>
    </row>
    <row r="69" spans="1:46" s="12" customFormat="1" ht="21.95" hidden="1" customHeight="1" x14ac:dyDescent="0.3">
      <c r="A69" s="401"/>
      <c r="B69" s="402"/>
      <c r="C69" s="403"/>
      <c r="D69" s="181"/>
      <c r="E69" s="182"/>
      <c r="F69" s="183"/>
      <c r="G69" s="191" t="s">
        <v>200</v>
      </c>
      <c r="H69" s="192" t="s">
        <v>200</v>
      </c>
      <c r="I69" s="192" t="s">
        <v>200</v>
      </c>
      <c r="J69" s="192" t="s">
        <v>200</v>
      </c>
      <c r="K69" s="192" t="s">
        <v>200</v>
      </c>
      <c r="L69" s="192" t="s">
        <v>200</v>
      </c>
      <c r="M69" s="193" t="s">
        <v>200</v>
      </c>
      <c r="N69" s="396"/>
      <c r="O69" s="397"/>
      <c r="P69" s="398"/>
      <c r="Q69" s="186"/>
      <c r="R69" s="187"/>
      <c r="S69" s="224" t="s">
        <v>96</v>
      </c>
      <c r="T69" s="229"/>
      <c r="U69" s="229"/>
      <c r="V69" s="196">
        <f t="shared" si="4"/>
        <v>0</v>
      </c>
      <c r="W69" s="197"/>
      <c r="X69" s="196">
        <f t="shared" si="3"/>
        <v>0</v>
      </c>
      <c r="Y69" s="197"/>
      <c r="Z69" s="181"/>
      <c r="AA69" s="188"/>
      <c r="AB69" s="181"/>
      <c r="AC69" s="182"/>
      <c r="AD69" s="188"/>
      <c r="AE69" s="181">
        <f>IF(V69,SUM($AK$25:AK69),0)</f>
        <v>0</v>
      </c>
      <c r="AF69" s="182"/>
      <c r="AG69" s="183"/>
      <c r="AH69" s="34">
        <v>0</v>
      </c>
      <c r="AI69" s="14">
        <v>92</v>
      </c>
      <c r="AJ69" s="13">
        <f t="shared" si="1"/>
        <v>0</v>
      </c>
      <c r="AK69" s="12">
        <f t="shared" si="2"/>
        <v>0</v>
      </c>
      <c r="AL69" s="33"/>
      <c r="AM69" s="33"/>
    </row>
    <row r="70" spans="1:46" s="11" customFormat="1" ht="21.95" customHeight="1" x14ac:dyDescent="0.35">
      <c r="A70" s="288"/>
      <c r="B70" s="289"/>
      <c r="C70" s="289"/>
      <c r="D70" s="290"/>
      <c r="E70" s="290"/>
      <c r="F70" s="213"/>
      <c r="G70" s="204" t="s">
        <v>262</v>
      </c>
      <c r="H70" s="205" t="s">
        <v>201</v>
      </c>
      <c r="I70" s="205" t="s">
        <v>201</v>
      </c>
      <c r="J70" s="205" t="s">
        <v>201</v>
      </c>
      <c r="K70" s="205" t="s">
        <v>201</v>
      </c>
      <c r="L70" s="205" t="s">
        <v>201</v>
      </c>
      <c r="M70" s="206" t="s">
        <v>201</v>
      </c>
      <c r="N70" s="276"/>
      <c r="O70" s="393"/>
      <c r="P70" s="393"/>
      <c r="Q70" s="394"/>
      <c r="R70" s="395"/>
      <c r="S70" s="281" t="s">
        <v>96</v>
      </c>
      <c r="T70" s="394"/>
      <c r="U70" s="394"/>
      <c r="V70" s="200">
        <f t="shared" si="4"/>
        <v>15</v>
      </c>
      <c r="W70" s="201"/>
      <c r="X70" s="200">
        <f t="shared" si="3"/>
        <v>15</v>
      </c>
      <c r="Y70" s="201"/>
      <c r="Z70" s="290"/>
      <c r="AA70" s="290"/>
      <c r="AB70" s="290"/>
      <c r="AC70" s="290"/>
      <c r="AD70" s="290"/>
      <c r="AE70" s="181">
        <f>IF(V70,SUM($AK$25:AK70),0)</f>
        <v>21</v>
      </c>
      <c r="AF70" s="182"/>
      <c r="AG70" s="183"/>
      <c r="AH70" s="34">
        <v>10</v>
      </c>
      <c r="AI70" s="15">
        <v>48</v>
      </c>
      <c r="AJ70" s="13">
        <f t="shared" si="1"/>
        <v>720</v>
      </c>
      <c r="AK70" s="12">
        <f t="shared" si="2"/>
        <v>1</v>
      </c>
      <c r="AL70" s="33"/>
      <c r="AM70" s="33"/>
      <c r="AT70" s="12" t="b">
        <v>0</v>
      </c>
    </row>
    <row r="71" spans="1:46" s="11" customFormat="1" ht="21.95" hidden="1" customHeight="1" x14ac:dyDescent="0.35">
      <c r="A71" s="210"/>
      <c r="B71" s="211"/>
      <c r="C71" s="212"/>
      <c r="D71" s="213"/>
      <c r="E71" s="214"/>
      <c r="F71" s="214"/>
      <c r="G71" s="282" t="s">
        <v>259</v>
      </c>
      <c r="H71" s="283" t="s">
        <v>202</v>
      </c>
      <c r="I71" s="283" t="s">
        <v>202</v>
      </c>
      <c r="J71" s="283" t="s">
        <v>202</v>
      </c>
      <c r="K71" s="283" t="s">
        <v>202</v>
      </c>
      <c r="L71" s="283" t="s">
        <v>202</v>
      </c>
      <c r="M71" s="284" t="s">
        <v>202</v>
      </c>
      <c r="N71" s="269"/>
      <c r="O71" s="416"/>
      <c r="P71" s="416"/>
      <c r="Q71" s="270"/>
      <c r="R71" s="271"/>
      <c r="S71" s="272" t="s">
        <v>96</v>
      </c>
      <c r="T71" s="273"/>
      <c r="U71" s="274"/>
      <c r="V71" s="189">
        <f t="shared" si="4"/>
        <v>0</v>
      </c>
      <c r="W71" s="190"/>
      <c r="X71" s="189">
        <f t="shared" si="3"/>
        <v>0</v>
      </c>
      <c r="Y71" s="190"/>
      <c r="Z71" s="213"/>
      <c r="AA71" s="225"/>
      <c r="AB71" s="213"/>
      <c r="AC71" s="214"/>
      <c r="AD71" s="225"/>
      <c r="AE71" s="181">
        <f>IF(V71,SUM($AK$25:AK71),0)</f>
        <v>0</v>
      </c>
      <c r="AF71" s="182"/>
      <c r="AG71" s="183"/>
      <c r="AH71" s="34">
        <v>0</v>
      </c>
      <c r="AI71" s="16">
        <v>133</v>
      </c>
      <c r="AJ71" s="13">
        <f t="shared" si="1"/>
        <v>0</v>
      </c>
      <c r="AK71" s="12">
        <f t="shared" si="2"/>
        <v>0</v>
      </c>
      <c r="AL71" s="33"/>
      <c r="AM71" s="33"/>
      <c r="AT71" s="12" t="b">
        <v>0</v>
      </c>
    </row>
    <row r="72" spans="1:46" s="11" customFormat="1" ht="21.95" hidden="1" customHeight="1" x14ac:dyDescent="0.3">
      <c r="A72" s="210"/>
      <c r="B72" s="211"/>
      <c r="C72" s="212"/>
      <c r="D72" s="213"/>
      <c r="E72" s="214"/>
      <c r="F72" s="214"/>
      <c r="G72" s="191" t="s">
        <v>260</v>
      </c>
      <c r="H72" s="192" t="s">
        <v>203</v>
      </c>
      <c r="I72" s="192" t="s">
        <v>203</v>
      </c>
      <c r="J72" s="192" t="s">
        <v>203</v>
      </c>
      <c r="K72" s="192" t="s">
        <v>203</v>
      </c>
      <c r="L72" s="192" t="s">
        <v>203</v>
      </c>
      <c r="M72" s="193" t="s">
        <v>203</v>
      </c>
      <c r="N72" s="218"/>
      <c r="O72" s="218"/>
      <c r="P72" s="219"/>
      <c r="Q72" s="220"/>
      <c r="R72" s="221"/>
      <c r="S72" s="222" t="s">
        <v>97</v>
      </c>
      <c r="T72" s="223"/>
      <c r="U72" s="224"/>
      <c r="V72" s="196">
        <f t="shared" si="4"/>
        <v>0</v>
      </c>
      <c r="W72" s="197"/>
      <c r="X72" s="196">
        <f t="shared" si="3"/>
        <v>0</v>
      </c>
      <c r="Y72" s="197"/>
      <c r="Z72" s="213"/>
      <c r="AA72" s="225"/>
      <c r="AB72" s="213"/>
      <c r="AC72" s="214"/>
      <c r="AD72" s="225"/>
      <c r="AE72" s="181">
        <f>IF(V72,SUM($AK$25:AK72),0)</f>
        <v>0</v>
      </c>
      <c r="AF72" s="182"/>
      <c r="AG72" s="183"/>
      <c r="AH72" s="34">
        <v>0</v>
      </c>
      <c r="AI72" s="16">
        <v>32.17</v>
      </c>
      <c r="AJ72" s="13">
        <f t="shared" si="1"/>
        <v>0</v>
      </c>
      <c r="AK72" s="12">
        <f t="shared" si="2"/>
        <v>0</v>
      </c>
      <c r="AL72" s="33"/>
      <c r="AM72" s="33"/>
      <c r="AT72" s="12" t="s">
        <v>56</v>
      </c>
    </row>
    <row r="73" spans="1:46" s="11" customFormat="1" ht="21.95" hidden="1" customHeight="1" x14ac:dyDescent="0.3">
      <c r="A73" s="210"/>
      <c r="B73" s="211"/>
      <c r="C73" s="212"/>
      <c r="D73" s="213"/>
      <c r="E73" s="214"/>
      <c r="F73" s="214"/>
      <c r="G73" s="191" t="s">
        <v>261</v>
      </c>
      <c r="H73" s="192" t="s">
        <v>204</v>
      </c>
      <c r="I73" s="192" t="s">
        <v>204</v>
      </c>
      <c r="J73" s="192" t="s">
        <v>204</v>
      </c>
      <c r="K73" s="192" t="s">
        <v>204</v>
      </c>
      <c r="L73" s="192" t="s">
        <v>204</v>
      </c>
      <c r="M73" s="193" t="s">
        <v>204</v>
      </c>
      <c r="N73" s="218"/>
      <c r="O73" s="218"/>
      <c r="P73" s="219"/>
      <c r="Q73" s="220"/>
      <c r="R73" s="221"/>
      <c r="S73" s="222" t="s">
        <v>96</v>
      </c>
      <c r="T73" s="223"/>
      <c r="U73" s="224"/>
      <c r="V73" s="196">
        <f t="shared" si="4"/>
        <v>0</v>
      </c>
      <c r="W73" s="197"/>
      <c r="X73" s="196">
        <f t="shared" si="3"/>
        <v>0</v>
      </c>
      <c r="Y73" s="197"/>
      <c r="Z73" s="213"/>
      <c r="AA73" s="225"/>
      <c r="AB73" s="213"/>
      <c r="AC73" s="214"/>
      <c r="AD73" s="225"/>
      <c r="AE73" s="181">
        <f>IF(V73,SUM($AK$25:AK73),0)</f>
        <v>0</v>
      </c>
      <c r="AF73" s="182"/>
      <c r="AG73" s="183"/>
      <c r="AH73" s="34">
        <v>0</v>
      </c>
      <c r="AI73" s="16">
        <v>68</v>
      </c>
      <c r="AJ73" s="13">
        <f t="shared" si="1"/>
        <v>0</v>
      </c>
      <c r="AK73" s="12">
        <f t="shared" si="2"/>
        <v>0</v>
      </c>
      <c r="AL73" s="33"/>
      <c r="AM73" s="33"/>
      <c r="AT73" s="12" t="s">
        <v>56</v>
      </c>
    </row>
    <row r="74" spans="1:46" s="11" customFormat="1" ht="30" customHeight="1" x14ac:dyDescent="0.35">
      <c r="A74" s="210"/>
      <c r="B74" s="211"/>
      <c r="C74" s="212"/>
      <c r="D74" s="213"/>
      <c r="E74" s="214"/>
      <c r="F74" s="214"/>
      <c r="G74" s="204" t="s">
        <v>316</v>
      </c>
      <c r="H74" s="205" t="s">
        <v>70</v>
      </c>
      <c r="I74" s="205" t="s">
        <v>70</v>
      </c>
      <c r="J74" s="205" t="s">
        <v>70</v>
      </c>
      <c r="K74" s="205" t="s">
        <v>70</v>
      </c>
      <c r="L74" s="205" t="s">
        <v>70</v>
      </c>
      <c r="M74" s="206" t="s">
        <v>70</v>
      </c>
      <c r="N74" s="275"/>
      <c r="O74" s="275"/>
      <c r="P74" s="276"/>
      <c r="Q74" s="277"/>
      <c r="R74" s="278"/>
      <c r="S74" s="279" t="s">
        <v>96</v>
      </c>
      <c r="T74" s="280"/>
      <c r="U74" s="281"/>
      <c r="V74" s="200">
        <f t="shared" si="4"/>
        <v>45</v>
      </c>
      <c r="W74" s="201"/>
      <c r="X74" s="200">
        <f t="shared" si="3"/>
        <v>45</v>
      </c>
      <c r="Y74" s="201"/>
      <c r="Z74" s="213"/>
      <c r="AA74" s="225"/>
      <c r="AB74" s="213"/>
      <c r="AC74" s="214"/>
      <c r="AD74" s="225"/>
      <c r="AE74" s="181">
        <f>IF(V74,SUM($AK$25:AK74),0)</f>
        <v>22</v>
      </c>
      <c r="AF74" s="182"/>
      <c r="AG74" s="183"/>
      <c r="AH74" s="34">
        <v>30</v>
      </c>
      <c r="AI74" s="16">
        <v>219</v>
      </c>
      <c r="AJ74" s="13">
        <f t="shared" si="1"/>
        <v>9855</v>
      </c>
      <c r="AK74" s="12">
        <f t="shared" si="2"/>
        <v>1</v>
      </c>
      <c r="AL74" s="33">
        <f>V74/0.03</f>
        <v>1500</v>
      </c>
      <c r="AM74" s="33"/>
      <c r="AT74" s="12" t="b">
        <v>0</v>
      </c>
    </row>
    <row r="75" spans="1:46" s="11" customFormat="1" ht="29.25" customHeight="1" x14ac:dyDescent="0.35">
      <c r="A75" s="210"/>
      <c r="B75" s="211"/>
      <c r="C75" s="212"/>
      <c r="D75" s="213"/>
      <c r="E75" s="214"/>
      <c r="F75" s="214"/>
      <c r="G75" s="204" t="s">
        <v>265</v>
      </c>
      <c r="H75" s="205" t="s">
        <v>205</v>
      </c>
      <c r="I75" s="205" t="s">
        <v>205</v>
      </c>
      <c r="J75" s="205" t="s">
        <v>205</v>
      </c>
      <c r="K75" s="205" t="s">
        <v>205</v>
      </c>
      <c r="L75" s="205" t="s">
        <v>205</v>
      </c>
      <c r="M75" s="206" t="s">
        <v>205</v>
      </c>
      <c r="N75" s="275"/>
      <c r="O75" s="275"/>
      <c r="P75" s="276"/>
      <c r="Q75" s="277"/>
      <c r="R75" s="278"/>
      <c r="S75" s="279" t="s">
        <v>96</v>
      </c>
      <c r="T75" s="280"/>
      <c r="U75" s="281"/>
      <c r="V75" s="200">
        <f t="shared" si="4"/>
        <v>75</v>
      </c>
      <c r="W75" s="201"/>
      <c r="X75" s="200">
        <f t="shared" si="3"/>
        <v>75</v>
      </c>
      <c r="Y75" s="201"/>
      <c r="Z75" s="213"/>
      <c r="AA75" s="225"/>
      <c r="AB75" s="213"/>
      <c r="AC75" s="214"/>
      <c r="AD75" s="225"/>
      <c r="AE75" s="181">
        <f>IF(V75,SUM($AK$25:AK75),0)</f>
        <v>23</v>
      </c>
      <c r="AF75" s="182"/>
      <c r="AG75" s="183"/>
      <c r="AH75" s="34">
        <v>50</v>
      </c>
      <c r="AI75" s="16">
        <v>285</v>
      </c>
      <c r="AJ75" s="13">
        <f t="shared" si="1"/>
        <v>21375</v>
      </c>
      <c r="AK75" s="12">
        <f t="shared" si="2"/>
        <v>1</v>
      </c>
      <c r="AL75" s="33">
        <f>V75/0.06+V76/0.6</f>
        <v>1250</v>
      </c>
      <c r="AM75" s="33"/>
      <c r="AT75" s="12" t="s">
        <v>56</v>
      </c>
    </row>
    <row r="76" spans="1:46" s="11" customFormat="1" ht="21.95" hidden="1" customHeight="1" x14ac:dyDescent="0.3">
      <c r="A76" s="210"/>
      <c r="B76" s="211"/>
      <c r="C76" s="212"/>
      <c r="D76" s="213"/>
      <c r="E76" s="214"/>
      <c r="F76" s="214"/>
      <c r="G76" s="191" t="s">
        <v>264</v>
      </c>
      <c r="H76" s="192" t="s">
        <v>67</v>
      </c>
      <c r="I76" s="192" t="s">
        <v>67</v>
      </c>
      <c r="J76" s="192" t="s">
        <v>67</v>
      </c>
      <c r="K76" s="192" t="s">
        <v>67</v>
      </c>
      <c r="L76" s="192" t="s">
        <v>67</v>
      </c>
      <c r="M76" s="193" t="s">
        <v>67</v>
      </c>
      <c r="N76" s="218"/>
      <c r="O76" s="218"/>
      <c r="P76" s="219"/>
      <c r="Q76" s="220"/>
      <c r="R76" s="221"/>
      <c r="S76" s="222" t="s">
        <v>96</v>
      </c>
      <c r="T76" s="223"/>
      <c r="U76" s="224"/>
      <c r="V76" s="196">
        <f t="shared" si="4"/>
        <v>0</v>
      </c>
      <c r="W76" s="197"/>
      <c r="X76" s="196">
        <f t="shared" si="3"/>
        <v>0</v>
      </c>
      <c r="Y76" s="197"/>
      <c r="Z76" s="213"/>
      <c r="AA76" s="225"/>
      <c r="AB76" s="213"/>
      <c r="AC76" s="214"/>
      <c r="AD76" s="225"/>
      <c r="AE76" s="181">
        <f>IF(V76,SUM($AK$25:AK76),0)</f>
        <v>0</v>
      </c>
      <c r="AF76" s="182"/>
      <c r="AG76" s="183"/>
      <c r="AH76" s="34">
        <v>0</v>
      </c>
      <c r="AI76" s="16">
        <v>82</v>
      </c>
      <c r="AJ76" s="13">
        <f t="shared" si="1"/>
        <v>0</v>
      </c>
      <c r="AK76" s="12">
        <f t="shared" si="2"/>
        <v>0</v>
      </c>
      <c r="AL76" s="33"/>
      <c r="AM76" s="33"/>
      <c r="AT76" s="12" t="b">
        <v>0</v>
      </c>
    </row>
    <row r="77" spans="1:46" s="11" customFormat="1" ht="21.95" customHeight="1" x14ac:dyDescent="0.35">
      <c r="A77" s="210"/>
      <c r="B77" s="211"/>
      <c r="C77" s="212"/>
      <c r="D77" s="277"/>
      <c r="E77" s="280"/>
      <c r="F77" s="280"/>
      <c r="G77" s="204" t="s">
        <v>206</v>
      </c>
      <c r="H77" s="205" t="s">
        <v>206</v>
      </c>
      <c r="I77" s="205" t="s">
        <v>206</v>
      </c>
      <c r="J77" s="205" t="s">
        <v>206</v>
      </c>
      <c r="K77" s="205" t="s">
        <v>206</v>
      </c>
      <c r="L77" s="205" t="s">
        <v>206</v>
      </c>
      <c r="M77" s="206" t="s">
        <v>206</v>
      </c>
      <c r="N77" s="275"/>
      <c r="O77" s="275"/>
      <c r="P77" s="276"/>
      <c r="Q77" s="277"/>
      <c r="R77" s="278"/>
      <c r="S77" s="279" t="s">
        <v>97</v>
      </c>
      <c r="T77" s="280"/>
      <c r="U77" s="281"/>
      <c r="V77" s="200">
        <f t="shared" si="4"/>
        <v>29.333333329999501</v>
      </c>
      <c r="W77" s="201"/>
      <c r="X77" s="200">
        <f t="shared" si="3"/>
        <v>29.333333329999501</v>
      </c>
      <c r="Y77" s="201"/>
      <c r="Z77" s="213"/>
      <c r="AA77" s="225"/>
      <c r="AB77" s="213"/>
      <c r="AC77" s="214"/>
      <c r="AD77" s="225"/>
      <c r="AE77" s="181">
        <f>IF(V77,SUM($AK$25:AK77),0)</f>
        <v>24</v>
      </c>
      <c r="AF77" s="182"/>
      <c r="AG77" s="183"/>
      <c r="AH77" s="34">
        <v>19.555555553333001</v>
      </c>
      <c r="AI77" s="16">
        <v>24.5</v>
      </c>
      <c r="AJ77" s="13">
        <f t="shared" ref="AJ77:AJ163" si="10">AI77*V77</f>
        <v>718.66666658498775</v>
      </c>
      <c r="AK77" s="12">
        <f t="shared" si="2"/>
        <v>1</v>
      </c>
      <c r="AL77" s="33">
        <f>(V77+V78+((V79+V81)*5)+(V80*3.3333333334))/0.2</f>
        <v>500.00000015166421</v>
      </c>
      <c r="AM77" s="33"/>
      <c r="AT77" s="12" t="b">
        <v>0</v>
      </c>
    </row>
    <row r="78" spans="1:46" s="11" customFormat="1" ht="21.95" customHeight="1" x14ac:dyDescent="0.35">
      <c r="A78" s="210"/>
      <c r="B78" s="211"/>
      <c r="C78" s="212"/>
      <c r="D78" s="277"/>
      <c r="E78" s="280"/>
      <c r="F78" s="280"/>
      <c r="G78" s="204" t="s">
        <v>266</v>
      </c>
      <c r="H78" s="205" t="s">
        <v>207</v>
      </c>
      <c r="I78" s="205" t="s">
        <v>207</v>
      </c>
      <c r="J78" s="205" t="s">
        <v>207</v>
      </c>
      <c r="K78" s="205" t="s">
        <v>207</v>
      </c>
      <c r="L78" s="205" t="s">
        <v>207</v>
      </c>
      <c r="M78" s="206" t="s">
        <v>207</v>
      </c>
      <c r="N78" s="275"/>
      <c r="O78" s="275"/>
      <c r="P78" s="276"/>
      <c r="Q78" s="277"/>
      <c r="R78" s="278"/>
      <c r="S78" s="279" t="s">
        <v>97</v>
      </c>
      <c r="T78" s="280"/>
      <c r="U78" s="281"/>
      <c r="V78" s="200">
        <f t="shared" si="4"/>
        <v>24</v>
      </c>
      <c r="W78" s="201"/>
      <c r="X78" s="200">
        <f t="shared" si="3"/>
        <v>24</v>
      </c>
      <c r="Y78" s="201"/>
      <c r="Z78" s="213"/>
      <c r="AA78" s="225"/>
      <c r="AB78" s="213"/>
      <c r="AC78" s="214"/>
      <c r="AD78" s="225"/>
      <c r="AE78" s="181">
        <f>IF(V78,SUM($AK$25:AK78),0)</f>
        <v>25</v>
      </c>
      <c r="AF78" s="182"/>
      <c r="AG78" s="183"/>
      <c r="AH78" s="34">
        <v>16</v>
      </c>
      <c r="AI78" s="16">
        <v>98.5</v>
      </c>
      <c r="AJ78" s="13">
        <f t="shared" si="10"/>
        <v>2364</v>
      </c>
      <c r="AK78" s="12">
        <f t="shared" si="2"/>
        <v>1</v>
      </c>
      <c r="AL78" s="33"/>
      <c r="AM78" s="33"/>
      <c r="AT78" s="12" t="b">
        <v>0</v>
      </c>
    </row>
    <row r="79" spans="1:46" s="11" customFormat="1" ht="27.75" hidden="1" customHeight="1" x14ac:dyDescent="0.35">
      <c r="A79" s="210"/>
      <c r="B79" s="211"/>
      <c r="C79" s="212"/>
      <c r="D79" s="213"/>
      <c r="E79" s="214"/>
      <c r="F79" s="214"/>
      <c r="G79" s="204" t="s">
        <v>263</v>
      </c>
      <c r="H79" s="205" t="s">
        <v>208</v>
      </c>
      <c r="I79" s="205" t="s">
        <v>208</v>
      </c>
      <c r="J79" s="205" t="s">
        <v>208</v>
      </c>
      <c r="K79" s="205" t="s">
        <v>208</v>
      </c>
      <c r="L79" s="205" t="s">
        <v>208</v>
      </c>
      <c r="M79" s="206" t="s">
        <v>208</v>
      </c>
      <c r="N79" s="275"/>
      <c r="O79" s="275"/>
      <c r="P79" s="276"/>
      <c r="Q79" s="277"/>
      <c r="R79" s="278"/>
      <c r="S79" s="279" t="s">
        <v>96</v>
      </c>
      <c r="T79" s="280"/>
      <c r="U79" s="281"/>
      <c r="V79" s="200">
        <f t="shared" si="4"/>
        <v>0</v>
      </c>
      <c r="W79" s="201"/>
      <c r="X79" s="200">
        <f t="shared" si="3"/>
        <v>0</v>
      </c>
      <c r="Y79" s="201"/>
      <c r="Z79" s="213"/>
      <c r="AA79" s="225"/>
      <c r="AB79" s="213"/>
      <c r="AC79" s="214"/>
      <c r="AD79" s="225"/>
      <c r="AE79" s="181">
        <f>IF(V79,SUM($AK$25:AK79),0)</f>
        <v>0</v>
      </c>
      <c r="AF79" s="182"/>
      <c r="AG79" s="183"/>
      <c r="AH79" s="34">
        <v>0</v>
      </c>
      <c r="AI79" s="16">
        <v>8.1999999999999993</v>
      </c>
      <c r="AJ79" s="13">
        <f t="shared" si="10"/>
        <v>0</v>
      </c>
      <c r="AK79" s="12">
        <f t="shared" si="2"/>
        <v>0</v>
      </c>
      <c r="AL79" s="33"/>
      <c r="AM79" s="33"/>
      <c r="AT79" s="12" t="b">
        <v>0</v>
      </c>
    </row>
    <row r="80" spans="1:46" s="11" customFormat="1" ht="21.95" customHeight="1" x14ac:dyDescent="0.35">
      <c r="A80" s="210"/>
      <c r="B80" s="211"/>
      <c r="C80" s="212"/>
      <c r="D80" s="213"/>
      <c r="E80" s="214"/>
      <c r="F80" s="214"/>
      <c r="G80" s="204" t="s">
        <v>65</v>
      </c>
      <c r="H80" s="205" t="s">
        <v>65</v>
      </c>
      <c r="I80" s="205" t="s">
        <v>65</v>
      </c>
      <c r="J80" s="205" t="s">
        <v>65</v>
      </c>
      <c r="K80" s="205" t="s">
        <v>65</v>
      </c>
      <c r="L80" s="205" t="s">
        <v>65</v>
      </c>
      <c r="M80" s="206" t="s">
        <v>65</v>
      </c>
      <c r="N80" s="275"/>
      <c r="O80" s="275"/>
      <c r="P80" s="276"/>
      <c r="Q80" s="277"/>
      <c r="R80" s="278"/>
      <c r="S80" s="279" t="s">
        <v>96</v>
      </c>
      <c r="T80" s="280"/>
      <c r="U80" s="281"/>
      <c r="V80" s="200">
        <f t="shared" si="4"/>
        <v>5.0000000099999999</v>
      </c>
      <c r="W80" s="201"/>
      <c r="X80" s="200">
        <f t="shared" si="3"/>
        <v>5.0000000099999999</v>
      </c>
      <c r="Y80" s="201"/>
      <c r="Z80" s="213"/>
      <c r="AA80" s="225"/>
      <c r="AB80" s="213"/>
      <c r="AC80" s="214"/>
      <c r="AD80" s="225"/>
      <c r="AE80" s="181">
        <f>IF(V80,SUM($AK$25:AK80),0)</f>
        <v>26</v>
      </c>
      <c r="AF80" s="182"/>
      <c r="AG80" s="183"/>
      <c r="AH80" s="34">
        <v>3.3333333399999998</v>
      </c>
      <c r="AI80" s="16">
        <v>280</v>
      </c>
      <c r="AJ80" s="13">
        <f t="shared" si="10"/>
        <v>1400.0000027999999</v>
      </c>
      <c r="AK80" s="12">
        <f t="shared" si="2"/>
        <v>1</v>
      </c>
      <c r="AL80" s="33"/>
      <c r="AM80" s="33"/>
      <c r="AT80" s="12" t="b">
        <v>0</v>
      </c>
    </row>
    <row r="81" spans="1:46" s="11" customFormat="1" ht="28.5" customHeight="1" x14ac:dyDescent="0.35">
      <c r="A81" s="210"/>
      <c r="B81" s="211"/>
      <c r="C81" s="212"/>
      <c r="D81" s="213"/>
      <c r="E81" s="214"/>
      <c r="F81" s="214"/>
      <c r="G81" s="204" t="s">
        <v>209</v>
      </c>
      <c r="H81" s="205" t="s">
        <v>209</v>
      </c>
      <c r="I81" s="205" t="s">
        <v>209</v>
      </c>
      <c r="J81" s="205" t="s">
        <v>209</v>
      </c>
      <c r="K81" s="205" t="s">
        <v>209</v>
      </c>
      <c r="L81" s="205" t="s">
        <v>209</v>
      </c>
      <c r="M81" s="206" t="s">
        <v>209</v>
      </c>
      <c r="N81" s="275"/>
      <c r="O81" s="275"/>
      <c r="P81" s="276"/>
      <c r="Q81" s="277"/>
      <c r="R81" s="278"/>
      <c r="S81" s="279" t="s">
        <v>96</v>
      </c>
      <c r="T81" s="280"/>
      <c r="U81" s="281"/>
      <c r="V81" s="200">
        <f t="shared" si="4"/>
        <v>6</v>
      </c>
      <c r="W81" s="201"/>
      <c r="X81" s="200">
        <f t="shared" si="3"/>
        <v>6</v>
      </c>
      <c r="Y81" s="201"/>
      <c r="Z81" s="213"/>
      <c r="AA81" s="225"/>
      <c r="AB81" s="213"/>
      <c r="AC81" s="214"/>
      <c r="AD81" s="225"/>
      <c r="AE81" s="181">
        <f>IF(V81,SUM($AK$25:AK81),0)</f>
        <v>27</v>
      </c>
      <c r="AF81" s="182"/>
      <c r="AG81" s="183"/>
      <c r="AH81" s="34">
        <v>4</v>
      </c>
      <c r="AI81" s="16">
        <v>45</v>
      </c>
      <c r="AJ81" s="13">
        <f t="shared" si="10"/>
        <v>270</v>
      </c>
      <c r="AK81" s="12">
        <f t="shared" si="2"/>
        <v>1</v>
      </c>
      <c r="AL81" s="33"/>
      <c r="AM81" s="33"/>
      <c r="AT81" s="12" t="s">
        <v>56</v>
      </c>
    </row>
    <row r="82" spans="1:46" s="11" customFormat="1" ht="28.5" customHeight="1" x14ac:dyDescent="0.35">
      <c r="A82" s="210"/>
      <c r="B82" s="211"/>
      <c r="C82" s="212"/>
      <c r="D82" s="213"/>
      <c r="E82" s="214"/>
      <c r="F82" s="214"/>
      <c r="G82" s="204" t="s">
        <v>210</v>
      </c>
      <c r="H82" s="205" t="s">
        <v>210</v>
      </c>
      <c r="I82" s="205" t="s">
        <v>210</v>
      </c>
      <c r="J82" s="205" t="s">
        <v>210</v>
      </c>
      <c r="K82" s="205" t="s">
        <v>210</v>
      </c>
      <c r="L82" s="205" t="s">
        <v>210</v>
      </c>
      <c r="M82" s="206" t="s">
        <v>210</v>
      </c>
      <c r="N82" s="275"/>
      <c r="O82" s="275"/>
      <c r="P82" s="276"/>
      <c r="Q82" s="277"/>
      <c r="R82" s="278"/>
      <c r="S82" s="279" t="s">
        <v>96</v>
      </c>
      <c r="T82" s="280"/>
      <c r="U82" s="281"/>
      <c r="V82" s="200">
        <f t="shared" si="4"/>
        <v>15</v>
      </c>
      <c r="W82" s="201"/>
      <c r="X82" s="200">
        <f t="shared" si="3"/>
        <v>15</v>
      </c>
      <c r="Y82" s="201"/>
      <c r="Z82" s="213"/>
      <c r="AA82" s="225"/>
      <c r="AB82" s="213"/>
      <c r="AC82" s="214"/>
      <c r="AD82" s="225"/>
      <c r="AE82" s="181">
        <f>IF(V82,SUM($AK$25:AK82),0)</f>
        <v>28</v>
      </c>
      <c r="AF82" s="182"/>
      <c r="AG82" s="183"/>
      <c r="AH82" s="34">
        <v>10</v>
      </c>
      <c r="AI82" s="16">
        <v>191.4</v>
      </c>
      <c r="AJ82" s="13">
        <f t="shared" si="10"/>
        <v>2871</v>
      </c>
      <c r="AK82" s="12">
        <f t="shared" si="2"/>
        <v>1</v>
      </c>
      <c r="AL82" s="33">
        <f>V82/0.02</f>
        <v>750</v>
      </c>
      <c r="AM82" s="33"/>
      <c r="AT82" s="12" t="b">
        <v>0</v>
      </c>
    </row>
    <row r="83" spans="1:46" s="11" customFormat="1" ht="21.95" customHeight="1" x14ac:dyDescent="0.35">
      <c r="A83" s="210"/>
      <c r="B83" s="211"/>
      <c r="C83" s="212"/>
      <c r="D83" s="213"/>
      <c r="E83" s="214"/>
      <c r="F83" s="214"/>
      <c r="G83" s="204" t="s">
        <v>319</v>
      </c>
      <c r="H83" s="205" t="s">
        <v>211</v>
      </c>
      <c r="I83" s="205" t="s">
        <v>211</v>
      </c>
      <c r="J83" s="205" t="s">
        <v>211</v>
      </c>
      <c r="K83" s="205" t="s">
        <v>211</v>
      </c>
      <c r="L83" s="205" t="s">
        <v>211</v>
      </c>
      <c r="M83" s="206" t="s">
        <v>211</v>
      </c>
      <c r="N83" s="275"/>
      <c r="O83" s="275"/>
      <c r="P83" s="276"/>
      <c r="Q83" s="277"/>
      <c r="R83" s="278"/>
      <c r="S83" s="279" t="s">
        <v>96</v>
      </c>
      <c r="T83" s="280"/>
      <c r="U83" s="281"/>
      <c r="V83" s="200">
        <f t="shared" si="4"/>
        <v>11.25</v>
      </c>
      <c r="W83" s="201"/>
      <c r="X83" s="200">
        <f t="shared" si="3"/>
        <v>11.25</v>
      </c>
      <c r="Y83" s="201"/>
      <c r="Z83" s="213"/>
      <c r="AA83" s="225"/>
      <c r="AB83" s="213"/>
      <c r="AC83" s="214"/>
      <c r="AD83" s="225"/>
      <c r="AE83" s="181">
        <f>IF(V83,SUM($AK$25:AK83),0)</f>
        <v>29</v>
      </c>
      <c r="AF83" s="182"/>
      <c r="AG83" s="183"/>
      <c r="AH83" s="34">
        <v>7.5</v>
      </c>
      <c r="AI83" s="16">
        <v>221</v>
      </c>
      <c r="AJ83" s="13">
        <f t="shared" si="10"/>
        <v>2486.25</v>
      </c>
      <c r="AK83" s="12">
        <f t="shared" si="2"/>
        <v>1</v>
      </c>
      <c r="AL83" s="33">
        <f>V83/0.0075</f>
        <v>1500</v>
      </c>
      <c r="AM83" s="33"/>
      <c r="AT83" s="12" t="b">
        <v>0</v>
      </c>
    </row>
    <row r="84" spans="1:46" s="11" customFormat="1" ht="27.75" customHeight="1" x14ac:dyDescent="0.35">
      <c r="A84" s="210"/>
      <c r="B84" s="211"/>
      <c r="C84" s="212"/>
      <c r="D84" s="213"/>
      <c r="E84" s="214"/>
      <c r="F84" s="214"/>
      <c r="G84" s="204" t="s">
        <v>68</v>
      </c>
      <c r="H84" s="205" t="s">
        <v>68</v>
      </c>
      <c r="I84" s="205" t="s">
        <v>68</v>
      </c>
      <c r="J84" s="205" t="s">
        <v>68</v>
      </c>
      <c r="K84" s="205" t="s">
        <v>68</v>
      </c>
      <c r="L84" s="205" t="s">
        <v>68</v>
      </c>
      <c r="M84" s="206" t="s">
        <v>68</v>
      </c>
      <c r="N84" s="275"/>
      <c r="O84" s="275"/>
      <c r="P84" s="276"/>
      <c r="Q84" s="277"/>
      <c r="R84" s="278"/>
      <c r="S84" s="279" t="s">
        <v>96</v>
      </c>
      <c r="T84" s="280"/>
      <c r="U84" s="281"/>
      <c r="V84" s="200">
        <f>$AE$11*AH84</f>
        <v>1500</v>
      </c>
      <c r="W84" s="201"/>
      <c r="X84" s="200">
        <f t="shared" si="3"/>
        <v>1500</v>
      </c>
      <c r="Y84" s="201"/>
      <c r="Z84" s="213"/>
      <c r="AA84" s="225"/>
      <c r="AB84" s="213"/>
      <c r="AC84" s="214"/>
      <c r="AD84" s="225"/>
      <c r="AE84" s="181">
        <f>IF(V84,SUM($AK$25:AK84),0)</f>
        <v>30</v>
      </c>
      <c r="AF84" s="182"/>
      <c r="AG84" s="183"/>
      <c r="AH84" s="34">
        <v>1</v>
      </c>
      <c r="AI84" s="16">
        <v>32</v>
      </c>
      <c r="AJ84" s="13">
        <f t="shared" si="10"/>
        <v>48000</v>
      </c>
      <c r="AK84" s="12">
        <f t="shared" si="2"/>
        <v>1</v>
      </c>
      <c r="AL84" s="33">
        <f>V84/1</f>
        <v>1500</v>
      </c>
      <c r="AM84" s="33"/>
      <c r="AT84" s="12" t="b">
        <v>0</v>
      </c>
    </row>
    <row r="85" spans="1:46" s="11" customFormat="1" ht="27.75" customHeight="1" x14ac:dyDescent="0.35">
      <c r="A85" s="210"/>
      <c r="B85" s="211"/>
      <c r="C85" s="212"/>
      <c r="D85" s="213"/>
      <c r="E85" s="214"/>
      <c r="F85" s="214"/>
      <c r="G85" s="204" t="s">
        <v>80</v>
      </c>
      <c r="H85" s="205" t="s">
        <v>212</v>
      </c>
      <c r="I85" s="205" t="s">
        <v>212</v>
      </c>
      <c r="J85" s="205" t="s">
        <v>212</v>
      </c>
      <c r="K85" s="205" t="s">
        <v>212</v>
      </c>
      <c r="L85" s="205" t="s">
        <v>212</v>
      </c>
      <c r="M85" s="206" t="s">
        <v>212</v>
      </c>
      <c r="N85" s="275"/>
      <c r="O85" s="275"/>
      <c r="P85" s="276"/>
      <c r="Q85" s="277"/>
      <c r="R85" s="278"/>
      <c r="S85" s="279" t="s">
        <v>96</v>
      </c>
      <c r="T85" s="280"/>
      <c r="U85" s="281"/>
      <c r="V85" s="200">
        <f t="shared" si="4"/>
        <v>403.5</v>
      </c>
      <c r="W85" s="201"/>
      <c r="X85" s="200">
        <f t="shared" si="3"/>
        <v>403.5</v>
      </c>
      <c r="Y85" s="201"/>
      <c r="Z85" s="213"/>
      <c r="AA85" s="225"/>
      <c r="AB85" s="213"/>
      <c r="AC85" s="214"/>
      <c r="AD85" s="225"/>
      <c r="AE85" s="181">
        <f>IF(V85,SUM($AK$25:AK85),0)</f>
        <v>31</v>
      </c>
      <c r="AF85" s="182"/>
      <c r="AG85" s="183"/>
      <c r="AH85" s="34">
        <v>269</v>
      </c>
      <c r="AI85" s="16">
        <v>32</v>
      </c>
      <c r="AJ85" s="13">
        <f t="shared" si="10"/>
        <v>12912</v>
      </c>
      <c r="AK85" s="12">
        <f t="shared" si="2"/>
        <v>1</v>
      </c>
      <c r="AL85" s="140">
        <f>((V85+V86+V87+V88+V89+V90+V91+V92+V93+V94+V95+V96+V97+V98+V99+V100+V101+V102+V103+V105)+V106*4+(V107+V108+V109)/0.4+(V110+V111+V112+V113)/0.75+V104*2)/0.9</f>
        <v>1361.1111111333332</v>
      </c>
      <c r="AM85" s="33"/>
      <c r="AT85" s="12" t="b">
        <v>0</v>
      </c>
    </row>
    <row r="86" spans="1:46" s="11" customFormat="1" ht="21.95" customHeight="1" x14ac:dyDescent="0.35">
      <c r="A86" s="210"/>
      <c r="B86" s="211"/>
      <c r="C86" s="212"/>
      <c r="D86" s="213"/>
      <c r="E86" s="214"/>
      <c r="F86" s="214"/>
      <c r="G86" s="204" t="s">
        <v>81</v>
      </c>
      <c r="H86" s="205" t="s">
        <v>213</v>
      </c>
      <c r="I86" s="205" t="s">
        <v>213</v>
      </c>
      <c r="J86" s="205" t="s">
        <v>213</v>
      </c>
      <c r="K86" s="205" t="s">
        <v>213</v>
      </c>
      <c r="L86" s="205" t="s">
        <v>213</v>
      </c>
      <c r="M86" s="206" t="s">
        <v>213</v>
      </c>
      <c r="N86" s="275"/>
      <c r="O86" s="275"/>
      <c r="P86" s="276"/>
      <c r="Q86" s="277"/>
      <c r="R86" s="278"/>
      <c r="S86" s="279" t="s">
        <v>96</v>
      </c>
      <c r="T86" s="280"/>
      <c r="U86" s="281"/>
      <c r="V86" s="200">
        <f t="shared" si="4"/>
        <v>90</v>
      </c>
      <c r="W86" s="201"/>
      <c r="X86" s="200">
        <f t="shared" si="3"/>
        <v>90</v>
      </c>
      <c r="Y86" s="201"/>
      <c r="Z86" s="213"/>
      <c r="AA86" s="225"/>
      <c r="AB86" s="213"/>
      <c r="AC86" s="214"/>
      <c r="AD86" s="225"/>
      <c r="AE86" s="181">
        <f>IF(V86,SUM($AK$25:AK86),0)</f>
        <v>32</v>
      </c>
      <c r="AF86" s="182"/>
      <c r="AG86" s="183"/>
      <c r="AH86" s="34">
        <v>60</v>
      </c>
      <c r="AI86" s="16">
        <v>31</v>
      </c>
      <c r="AJ86" s="13">
        <f t="shared" si="10"/>
        <v>2790</v>
      </c>
      <c r="AK86" s="12">
        <f t="shared" si="2"/>
        <v>1</v>
      </c>
      <c r="AL86" s="33"/>
      <c r="AM86" s="33"/>
      <c r="AT86" s="12" t="b">
        <v>0</v>
      </c>
    </row>
    <row r="87" spans="1:46" s="11" customFormat="1" ht="30" customHeight="1" x14ac:dyDescent="0.35">
      <c r="A87" s="210"/>
      <c r="B87" s="211"/>
      <c r="C87" s="212"/>
      <c r="D87" s="213"/>
      <c r="E87" s="214"/>
      <c r="F87" s="214"/>
      <c r="G87" s="204" t="s">
        <v>268</v>
      </c>
      <c r="H87" s="205" t="s">
        <v>214</v>
      </c>
      <c r="I87" s="205" t="s">
        <v>214</v>
      </c>
      <c r="J87" s="205" t="s">
        <v>214</v>
      </c>
      <c r="K87" s="205" t="s">
        <v>214</v>
      </c>
      <c r="L87" s="205" t="s">
        <v>214</v>
      </c>
      <c r="M87" s="206" t="s">
        <v>214</v>
      </c>
      <c r="N87" s="275"/>
      <c r="O87" s="275"/>
      <c r="P87" s="276"/>
      <c r="Q87" s="277"/>
      <c r="R87" s="278"/>
      <c r="S87" s="279" t="s">
        <v>96</v>
      </c>
      <c r="T87" s="280"/>
      <c r="U87" s="281"/>
      <c r="V87" s="200">
        <f t="shared" si="4"/>
        <v>90</v>
      </c>
      <c r="W87" s="201"/>
      <c r="X87" s="200">
        <f t="shared" si="3"/>
        <v>90</v>
      </c>
      <c r="Y87" s="201"/>
      <c r="Z87" s="213"/>
      <c r="AA87" s="225"/>
      <c r="AB87" s="213"/>
      <c r="AC87" s="214"/>
      <c r="AD87" s="225"/>
      <c r="AE87" s="181">
        <f>IF(V87,SUM($AK$25:AK87),0)</f>
        <v>33</v>
      </c>
      <c r="AF87" s="182"/>
      <c r="AG87" s="183"/>
      <c r="AH87" s="34">
        <v>60</v>
      </c>
      <c r="AI87" s="16">
        <v>40</v>
      </c>
      <c r="AJ87" s="13">
        <f t="shared" si="10"/>
        <v>3600</v>
      </c>
      <c r="AK87" s="12">
        <f t="shared" si="2"/>
        <v>1</v>
      </c>
      <c r="AL87" s="33"/>
      <c r="AM87" s="33"/>
      <c r="AT87" s="12" t="b">
        <v>0</v>
      </c>
    </row>
    <row r="88" spans="1:46" s="11" customFormat="1" ht="30" customHeight="1" x14ac:dyDescent="0.35">
      <c r="A88" s="210"/>
      <c r="B88" s="211"/>
      <c r="C88" s="212"/>
      <c r="D88" s="213"/>
      <c r="E88" s="214"/>
      <c r="F88" s="214"/>
      <c r="G88" s="204" t="s">
        <v>82</v>
      </c>
      <c r="H88" s="205" t="s">
        <v>215</v>
      </c>
      <c r="I88" s="205" t="s">
        <v>215</v>
      </c>
      <c r="J88" s="205" t="s">
        <v>215</v>
      </c>
      <c r="K88" s="205" t="s">
        <v>215</v>
      </c>
      <c r="L88" s="205" t="s">
        <v>215</v>
      </c>
      <c r="M88" s="206" t="s">
        <v>215</v>
      </c>
      <c r="N88" s="275"/>
      <c r="O88" s="275"/>
      <c r="P88" s="276"/>
      <c r="Q88" s="277"/>
      <c r="R88" s="278"/>
      <c r="S88" s="279" t="s">
        <v>96</v>
      </c>
      <c r="T88" s="280"/>
      <c r="U88" s="281"/>
      <c r="V88" s="200">
        <f t="shared" si="4"/>
        <v>30</v>
      </c>
      <c r="W88" s="201"/>
      <c r="X88" s="200">
        <f t="shared" si="3"/>
        <v>30</v>
      </c>
      <c r="Y88" s="201"/>
      <c r="Z88" s="213"/>
      <c r="AA88" s="225"/>
      <c r="AB88" s="213"/>
      <c r="AC88" s="214"/>
      <c r="AD88" s="225"/>
      <c r="AE88" s="181">
        <f>IF(V88,SUM($AK$25:AK88),0)</f>
        <v>34</v>
      </c>
      <c r="AF88" s="182"/>
      <c r="AG88" s="183"/>
      <c r="AH88" s="34">
        <v>20</v>
      </c>
      <c r="AI88" s="16">
        <v>29</v>
      </c>
      <c r="AJ88" s="13">
        <f t="shared" si="10"/>
        <v>870</v>
      </c>
      <c r="AK88" s="12">
        <f t="shared" si="2"/>
        <v>1</v>
      </c>
      <c r="AL88" s="33"/>
      <c r="AM88" s="33"/>
      <c r="AT88" s="12" t="b">
        <v>0</v>
      </c>
    </row>
    <row r="89" spans="1:46" s="11" customFormat="1" ht="21.95" hidden="1" customHeight="1" x14ac:dyDescent="0.3">
      <c r="A89" s="210"/>
      <c r="B89" s="211"/>
      <c r="C89" s="212"/>
      <c r="D89" s="213"/>
      <c r="E89" s="214"/>
      <c r="F89" s="287"/>
      <c r="G89" s="191" t="s">
        <v>216</v>
      </c>
      <c r="H89" s="192" t="s">
        <v>216</v>
      </c>
      <c r="I89" s="192" t="s">
        <v>216</v>
      </c>
      <c r="J89" s="192" t="s">
        <v>216</v>
      </c>
      <c r="K89" s="192" t="s">
        <v>216</v>
      </c>
      <c r="L89" s="192" t="s">
        <v>216</v>
      </c>
      <c r="M89" s="193" t="s">
        <v>216</v>
      </c>
      <c r="N89" s="294"/>
      <c r="O89" s="218"/>
      <c r="P89" s="219"/>
      <c r="Q89" s="220"/>
      <c r="R89" s="221"/>
      <c r="S89" s="222" t="s">
        <v>96</v>
      </c>
      <c r="T89" s="223"/>
      <c r="U89" s="224"/>
      <c r="V89" s="196">
        <f t="shared" si="4"/>
        <v>0</v>
      </c>
      <c r="W89" s="197"/>
      <c r="X89" s="196">
        <f t="shared" si="3"/>
        <v>0</v>
      </c>
      <c r="Y89" s="197"/>
      <c r="Z89" s="213"/>
      <c r="AA89" s="225"/>
      <c r="AB89" s="213"/>
      <c r="AC89" s="214"/>
      <c r="AD89" s="225"/>
      <c r="AE89" s="181">
        <f>IF(V89,SUM($AK$25:AK89),0)</f>
        <v>0</v>
      </c>
      <c r="AF89" s="182"/>
      <c r="AG89" s="183"/>
      <c r="AH89" s="34">
        <v>0</v>
      </c>
      <c r="AI89" s="16">
        <v>206</v>
      </c>
      <c r="AJ89" s="13">
        <f t="shared" si="10"/>
        <v>0</v>
      </c>
      <c r="AK89" s="12">
        <f t="shared" si="2"/>
        <v>0</v>
      </c>
      <c r="AL89" s="33"/>
      <c r="AM89" s="33"/>
      <c r="AT89" s="12"/>
    </row>
    <row r="90" spans="1:46" s="11" customFormat="1" ht="25.5" customHeight="1" x14ac:dyDescent="0.35">
      <c r="A90" s="210"/>
      <c r="B90" s="211"/>
      <c r="C90" s="212"/>
      <c r="D90" s="213"/>
      <c r="E90" s="214"/>
      <c r="F90" s="287"/>
      <c r="G90" s="204" t="s">
        <v>217</v>
      </c>
      <c r="H90" s="205" t="s">
        <v>217</v>
      </c>
      <c r="I90" s="205" t="s">
        <v>217</v>
      </c>
      <c r="J90" s="205" t="s">
        <v>217</v>
      </c>
      <c r="K90" s="205" t="s">
        <v>217</v>
      </c>
      <c r="L90" s="205" t="s">
        <v>217</v>
      </c>
      <c r="M90" s="206" t="s">
        <v>217</v>
      </c>
      <c r="N90" s="295"/>
      <c r="O90" s="275"/>
      <c r="P90" s="276"/>
      <c r="Q90" s="277"/>
      <c r="R90" s="278"/>
      <c r="S90" s="279" t="s">
        <v>99</v>
      </c>
      <c r="T90" s="280"/>
      <c r="U90" s="281"/>
      <c r="V90" s="200">
        <f t="shared" si="4"/>
        <v>30</v>
      </c>
      <c r="W90" s="201"/>
      <c r="X90" s="200">
        <f t="shared" si="3"/>
        <v>30</v>
      </c>
      <c r="Y90" s="201"/>
      <c r="Z90" s="213"/>
      <c r="AA90" s="225"/>
      <c r="AB90" s="213"/>
      <c r="AC90" s="214"/>
      <c r="AD90" s="225"/>
      <c r="AE90" s="181">
        <f>IF(V90,SUM($AK$25:AK90),0)</f>
        <v>35</v>
      </c>
      <c r="AF90" s="182"/>
      <c r="AG90" s="183"/>
      <c r="AH90" s="34">
        <v>20</v>
      </c>
      <c r="AI90" s="16">
        <v>300</v>
      </c>
      <c r="AJ90" s="13">
        <f t="shared" si="10"/>
        <v>9000</v>
      </c>
      <c r="AK90" s="12">
        <f t="shared" ref="AK90:AK153" si="11">IF(V90,1,0)</f>
        <v>1</v>
      </c>
      <c r="AL90" s="33"/>
      <c r="AM90" s="33"/>
      <c r="AT90" s="12"/>
    </row>
    <row r="91" spans="1:46" s="11" customFormat="1" ht="21.95" hidden="1" customHeight="1" x14ac:dyDescent="0.3">
      <c r="A91" s="210"/>
      <c r="B91" s="211"/>
      <c r="C91" s="212"/>
      <c r="D91" s="213"/>
      <c r="E91" s="214"/>
      <c r="F91" s="214"/>
      <c r="G91" s="191" t="s">
        <v>218</v>
      </c>
      <c r="H91" s="192" t="s">
        <v>218</v>
      </c>
      <c r="I91" s="192" t="s">
        <v>218</v>
      </c>
      <c r="J91" s="192" t="s">
        <v>218</v>
      </c>
      <c r="K91" s="192" t="s">
        <v>218</v>
      </c>
      <c r="L91" s="192" t="s">
        <v>218</v>
      </c>
      <c r="M91" s="193" t="s">
        <v>218</v>
      </c>
      <c r="N91" s="218"/>
      <c r="O91" s="218"/>
      <c r="P91" s="219"/>
      <c r="Q91" s="220"/>
      <c r="R91" s="221"/>
      <c r="S91" s="222" t="s">
        <v>96</v>
      </c>
      <c r="T91" s="223"/>
      <c r="U91" s="224"/>
      <c r="V91" s="196">
        <f t="shared" si="4"/>
        <v>0</v>
      </c>
      <c r="W91" s="197"/>
      <c r="X91" s="196">
        <f t="shared" si="3"/>
        <v>0</v>
      </c>
      <c r="Y91" s="197"/>
      <c r="Z91" s="213"/>
      <c r="AA91" s="225"/>
      <c r="AB91" s="213"/>
      <c r="AC91" s="214"/>
      <c r="AD91" s="225"/>
      <c r="AE91" s="181">
        <f>IF(V91,SUM($AK$25:AK91),0)</f>
        <v>0</v>
      </c>
      <c r="AF91" s="182"/>
      <c r="AG91" s="183"/>
      <c r="AH91" s="34">
        <v>0</v>
      </c>
      <c r="AI91" s="16">
        <v>47</v>
      </c>
      <c r="AJ91" s="13">
        <f t="shared" si="10"/>
        <v>0</v>
      </c>
      <c r="AK91" s="12">
        <f t="shared" si="11"/>
        <v>0</v>
      </c>
      <c r="AL91" s="33"/>
      <c r="AM91" s="33"/>
      <c r="AT91" s="12" t="b">
        <v>0</v>
      </c>
    </row>
    <row r="92" spans="1:46" s="11" customFormat="1" ht="30" customHeight="1" x14ac:dyDescent="0.35">
      <c r="A92" s="210"/>
      <c r="B92" s="211"/>
      <c r="C92" s="212"/>
      <c r="D92" s="213"/>
      <c r="E92" s="214"/>
      <c r="F92" s="214"/>
      <c r="G92" s="204" t="s">
        <v>83</v>
      </c>
      <c r="H92" s="205" t="s">
        <v>219</v>
      </c>
      <c r="I92" s="205" t="s">
        <v>219</v>
      </c>
      <c r="J92" s="205" t="s">
        <v>219</v>
      </c>
      <c r="K92" s="205" t="s">
        <v>219</v>
      </c>
      <c r="L92" s="205" t="s">
        <v>219</v>
      </c>
      <c r="M92" s="206" t="s">
        <v>219</v>
      </c>
      <c r="N92" s="275"/>
      <c r="O92" s="275"/>
      <c r="P92" s="276"/>
      <c r="Q92" s="277"/>
      <c r="R92" s="278"/>
      <c r="S92" s="279" t="s">
        <v>96</v>
      </c>
      <c r="T92" s="280"/>
      <c r="U92" s="281"/>
      <c r="V92" s="200">
        <f t="shared" si="4"/>
        <v>37.5</v>
      </c>
      <c r="W92" s="201"/>
      <c r="X92" s="200">
        <f t="shared" ref="X92:X135" si="12">V92</f>
        <v>37.5</v>
      </c>
      <c r="Y92" s="201"/>
      <c r="Z92" s="213"/>
      <c r="AA92" s="225"/>
      <c r="AB92" s="213"/>
      <c r="AC92" s="214"/>
      <c r="AD92" s="225"/>
      <c r="AE92" s="181">
        <f>IF(V92,SUM($AK$25:AK92),0)</f>
        <v>36</v>
      </c>
      <c r="AF92" s="182"/>
      <c r="AG92" s="183"/>
      <c r="AH92" s="34">
        <v>25</v>
      </c>
      <c r="AI92" s="16">
        <v>73.5</v>
      </c>
      <c r="AJ92" s="13">
        <f t="shared" si="10"/>
        <v>2756.25</v>
      </c>
      <c r="AK92" s="12">
        <f t="shared" si="11"/>
        <v>1</v>
      </c>
      <c r="AL92" s="33"/>
      <c r="AM92" s="33"/>
      <c r="AT92" s="12" t="b">
        <v>0</v>
      </c>
    </row>
    <row r="93" spans="1:46" s="11" customFormat="1" ht="21.95" hidden="1" customHeight="1" x14ac:dyDescent="0.3">
      <c r="A93" s="210"/>
      <c r="B93" s="211"/>
      <c r="C93" s="212"/>
      <c r="D93" s="213"/>
      <c r="E93" s="214"/>
      <c r="F93" s="214"/>
      <c r="G93" s="191">
        <v>0</v>
      </c>
      <c r="H93" s="192">
        <v>0</v>
      </c>
      <c r="I93" s="192">
        <v>0</v>
      </c>
      <c r="J93" s="192">
        <v>0</v>
      </c>
      <c r="K93" s="192">
        <v>0</v>
      </c>
      <c r="L93" s="192">
        <v>0</v>
      </c>
      <c r="M93" s="193">
        <v>0</v>
      </c>
      <c r="N93" s="218"/>
      <c r="O93" s="218"/>
      <c r="P93" s="219"/>
      <c r="Q93" s="220"/>
      <c r="R93" s="221"/>
      <c r="S93" s="222" t="s">
        <v>96</v>
      </c>
      <c r="T93" s="223"/>
      <c r="U93" s="224"/>
      <c r="V93" s="196">
        <f t="shared" si="4"/>
        <v>0</v>
      </c>
      <c r="W93" s="197"/>
      <c r="X93" s="196">
        <f t="shared" si="12"/>
        <v>0</v>
      </c>
      <c r="Y93" s="197"/>
      <c r="Z93" s="213"/>
      <c r="AA93" s="225"/>
      <c r="AB93" s="213"/>
      <c r="AC93" s="214"/>
      <c r="AD93" s="225"/>
      <c r="AE93" s="181">
        <f>IF(V93,SUM($AK$25:AK93),0)</f>
        <v>0</v>
      </c>
      <c r="AF93" s="182"/>
      <c r="AG93" s="183"/>
      <c r="AH93" s="34">
        <v>0</v>
      </c>
      <c r="AI93" s="16">
        <v>57.28</v>
      </c>
      <c r="AJ93" s="13">
        <f t="shared" si="10"/>
        <v>0</v>
      </c>
      <c r="AK93" s="12">
        <f t="shared" si="11"/>
        <v>0</v>
      </c>
      <c r="AL93" s="33"/>
      <c r="AM93" s="33"/>
      <c r="AT93" s="12" t="s">
        <v>56</v>
      </c>
    </row>
    <row r="94" spans="1:46" s="11" customFormat="1" ht="21.95" hidden="1" customHeight="1" x14ac:dyDescent="0.3">
      <c r="A94" s="210"/>
      <c r="B94" s="211"/>
      <c r="C94" s="212"/>
      <c r="D94" s="213"/>
      <c r="E94" s="214"/>
      <c r="F94" s="214"/>
      <c r="G94" s="191" t="s">
        <v>220</v>
      </c>
      <c r="H94" s="192" t="s">
        <v>220</v>
      </c>
      <c r="I94" s="192" t="s">
        <v>220</v>
      </c>
      <c r="J94" s="192" t="s">
        <v>220</v>
      </c>
      <c r="K94" s="192" t="s">
        <v>220</v>
      </c>
      <c r="L94" s="192" t="s">
        <v>220</v>
      </c>
      <c r="M94" s="193" t="s">
        <v>220</v>
      </c>
      <c r="N94" s="218"/>
      <c r="O94" s="218"/>
      <c r="P94" s="219"/>
      <c r="Q94" s="220"/>
      <c r="R94" s="221"/>
      <c r="S94" s="222" t="s">
        <v>96</v>
      </c>
      <c r="T94" s="223"/>
      <c r="U94" s="224"/>
      <c r="V94" s="196">
        <f t="shared" si="4"/>
        <v>0</v>
      </c>
      <c r="W94" s="197"/>
      <c r="X94" s="196">
        <f t="shared" si="12"/>
        <v>0</v>
      </c>
      <c r="Y94" s="197"/>
      <c r="Z94" s="213"/>
      <c r="AA94" s="225"/>
      <c r="AB94" s="213"/>
      <c r="AC94" s="214"/>
      <c r="AD94" s="225"/>
      <c r="AE94" s="181">
        <f>IF(V94,SUM($AK$25:AK94),0)</f>
        <v>0</v>
      </c>
      <c r="AF94" s="182"/>
      <c r="AG94" s="183"/>
      <c r="AH94" s="34">
        <v>0</v>
      </c>
      <c r="AI94" s="16">
        <v>44</v>
      </c>
      <c r="AJ94" s="13">
        <f t="shared" si="10"/>
        <v>0</v>
      </c>
      <c r="AK94" s="12">
        <f t="shared" si="11"/>
        <v>0</v>
      </c>
      <c r="AL94" s="33"/>
      <c r="AM94" s="33"/>
      <c r="AT94" s="12" t="s">
        <v>56</v>
      </c>
    </row>
    <row r="95" spans="1:46" s="11" customFormat="1" ht="21.95" hidden="1" customHeight="1" x14ac:dyDescent="0.3">
      <c r="A95" s="210"/>
      <c r="B95" s="211"/>
      <c r="C95" s="212"/>
      <c r="D95" s="213"/>
      <c r="E95" s="214"/>
      <c r="F95" s="287"/>
      <c r="G95" s="191">
        <v>0</v>
      </c>
      <c r="H95" s="192">
        <v>0</v>
      </c>
      <c r="I95" s="192">
        <v>0</v>
      </c>
      <c r="J95" s="192">
        <v>0</v>
      </c>
      <c r="K95" s="192">
        <v>0</v>
      </c>
      <c r="L95" s="192">
        <v>0</v>
      </c>
      <c r="M95" s="193">
        <v>0</v>
      </c>
      <c r="N95" s="218"/>
      <c r="O95" s="218"/>
      <c r="P95" s="219"/>
      <c r="Q95" s="220"/>
      <c r="R95" s="221"/>
      <c r="S95" s="222" t="s">
        <v>96</v>
      </c>
      <c r="T95" s="223"/>
      <c r="U95" s="224"/>
      <c r="V95" s="196">
        <f t="shared" si="4"/>
        <v>0</v>
      </c>
      <c r="W95" s="197"/>
      <c r="X95" s="196">
        <f t="shared" si="12"/>
        <v>0</v>
      </c>
      <c r="Y95" s="197"/>
      <c r="Z95" s="213"/>
      <c r="AA95" s="225"/>
      <c r="AB95" s="213"/>
      <c r="AC95" s="214"/>
      <c r="AD95" s="225"/>
      <c r="AE95" s="181">
        <f>IF(V95,SUM($AK$25:AK95),0)</f>
        <v>0</v>
      </c>
      <c r="AF95" s="182"/>
      <c r="AG95" s="183"/>
      <c r="AH95" s="34">
        <v>0</v>
      </c>
      <c r="AI95" s="16">
        <v>65</v>
      </c>
      <c r="AJ95" s="13">
        <f t="shared" si="10"/>
        <v>0</v>
      </c>
      <c r="AK95" s="12">
        <f t="shared" si="11"/>
        <v>0</v>
      </c>
      <c r="AL95" s="33"/>
      <c r="AM95" s="33"/>
      <c r="AT95" s="12"/>
    </row>
    <row r="96" spans="1:46" s="11" customFormat="1" ht="33" customHeight="1" x14ac:dyDescent="0.35">
      <c r="A96" s="210"/>
      <c r="B96" s="211"/>
      <c r="C96" s="212"/>
      <c r="D96" s="213"/>
      <c r="E96" s="214"/>
      <c r="F96" s="214"/>
      <c r="G96" s="204" t="s">
        <v>221</v>
      </c>
      <c r="H96" s="205" t="s">
        <v>221</v>
      </c>
      <c r="I96" s="205" t="s">
        <v>221</v>
      </c>
      <c r="J96" s="205" t="s">
        <v>221</v>
      </c>
      <c r="K96" s="205" t="s">
        <v>221</v>
      </c>
      <c r="L96" s="205" t="s">
        <v>221</v>
      </c>
      <c r="M96" s="206" t="s">
        <v>221</v>
      </c>
      <c r="N96" s="275"/>
      <c r="O96" s="275"/>
      <c r="P96" s="276"/>
      <c r="Q96" s="277"/>
      <c r="R96" s="278"/>
      <c r="S96" s="279" t="s">
        <v>96</v>
      </c>
      <c r="T96" s="280"/>
      <c r="U96" s="281"/>
      <c r="V96" s="200">
        <f t="shared" si="4"/>
        <v>72</v>
      </c>
      <c r="W96" s="201"/>
      <c r="X96" s="200">
        <f t="shared" si="12"/>
        <v>72</v>
      </c>
      <c r="Y96" s="201"/>
      <c r="Z96" s="213"/>
      <c r="AA96" s="225"/>
      <c r="AB96" s="213"/>
      <c r="AC96" s="214"/>
      <c r="AD96" s="225"/>
      <c r="AE96" s="181">
        <f>IF(V96,SUM($AK$25:AK96),0)</f>
        <v>37</v>
      </c>
      <c r="AF96" s="182"/>
      <c r="AG96" s="183"/>
      <c r="AH96" s="34">
        <v>48</v>
      </c>
      <c r="AI96" s="16">
        <v>77</v>
      </c>
      <c r="AJ96" s="13">
        <f t="shared" si="10"/>
        <v>5544</v>
      </c>
      <c r="AK96" s="12">
        <f t="shared" si="11"/>
        <v>1</v>
      </c>
      <c r="AL96" s="33"/>
      <c r="AM96" s="33"/>
      <c r="AT96" s="12" t="s">
        <v>56</v>
      </c>
    </row>
    <row r="97" spans="1:46" s="11" customFormat="1" ht="33" customHeight="1" x14ac:dyDescent="0.35">
      <c r="A97" s="210"/>
      <c r="B97" s="211"/>
      <c r="C97" s="212"/>
      <c r="D97" s="213"/>
      <c r="E97" s="214"/>
      <c r="F97" s="214"/>
      <c r="G97" s="204" t="s">
        <v>222</v>
      </c>
      <c r="H97" s="205" t="s">
        <v>222</v>
      </c>
      <c r="I97" s="205" t="s">
        <v>222</v>
      </c>
      <c r="J97" s="205" t="s">
        <v>222</v>
      </c>
      <c r="K97" s="205" t="s">
        <v>222</v>
      </c>
      <c r="L97" s="205" t="s">
        <v>222</v>
      </c>
      <c r="M97" s="206" t="s">
        <v>222</v>
      </c>
      <c r="N97" s="275"/>
      <c r="O97" s="275"/>
      <c r="P97" s="276"/>
      <c r="Q97" s="277"/>
      <c r="R97" s="278"/>
      <c r="S97" s="279" t="s">
        <v>96</v>
      </c>
      <c r="T97" s="280"/>
      <c r="U97" s="281"/>
      <c r="V97" s="200">
        <f t="shared" si="4"/>
        <v>72</v>
      </c>
      <c r="W97" s="201"/>
      <c r="X97" s="200">
        <f t="shared" si="12"/>
        <v>72</v>
      </c>
      <c r="Y97" s="201"/>
      <c r="Z97" s="213"/>
      <c r="AA97" s="225"/>
      <c r="AB97" s="213"/>
      <c r="AC97" s="214"/>
      <c r="AD97" s="225"/>
      <c r="AE97" s="181">
        <f>IF(V97,SUM($AK$25:AK97),0)</f>
        <v>38</v>
      </c>
      <c r="AF97" s="182"/>
      <c r="AG97" s="183"/>
      <c r="AH97" s="34">
        <v>48</v>
      </c>
      <c r="AI97" s="16"/>
      <c r="AJ97" s="13"/>
      <c r="AK97" s="12">
        <f t="shared" si="11"/>
        <v>1</v>
      </c>
      <c r="AL97" s="33"/>
      <c r="AM97" s="33"/>
      <c r="AT97" s="12"/>
    </row>
    <row r="98" spans="1:46" s="11" customFormat="1" ht="21.95" hidden="1" customHeight="1" x14ac:dyDescent="0.3">
      <c r="A98" s="210"/>
      <c r="B98" s="211"/>
      <c r="C98" s="212"/>
      <c r="D98" s="213"/>
      <c r="E98" s="214"/>
      <c r="F98" s="214"/>
      <c r="G98" s="191" t="s">
        <v>223</v>
      </c>
      <c r="H98" s="192" t="s">
        <v>223</v>
      </c>
      <c r="I98" s="192" t="s">
        <v>223</v>
      </c>
      <c r="J98" s="192" t="s">
        <v>223</v>
      </c>
      <c r="K98" s="192" t="s">
        <v>223</v>
      </c>
      <c r="L98" s="192" t="s">
        <v>223</v>
      </c>
      <c r="M98" s="193" t="s">
        <v>223</v>
      </c>
      <c r="N98" s="218"/>
      <c r="O98" s="218"/>
      <c r="P98" s="219"/>
      <c r="Q98" s="220"/>
      <c r="R98" s="221"/>
      <c r="S98" s="222"/>
      <c r="T98" s="223"/>
      <c r="U98" s="224"/>
      <c r="V98" s="196">
        <f t="shared" si="4"/>
        <v>0</v>
      </c>
      <c r="W98" s="197"/>
      <c r="X98" s="196">
        <f t="shared" si="12"/>
        <v>0</v>
      </c>
      <c r="Y98" s="197"/>
      <c r="Z98" s="213"/>
      <c r="AA98" s="225"/>
      <c r="AB98" s="213"/>
      <c r="AC98" s="214"/>
      <c r="AD98" s="225"/>
      <c r="AE98" s="181">
        <f>IF(V98,SUM($AK$25:AK98),0)</f>
        <v>0</v>
      </c>
      <c r="AF98" s="182"/>
      <c r="AG98" s="183"/>
      <c r="AH98" s="34">
        <v>0</v>
      </c>
      <c r="AI98" s="16"/>
      <c r="AJ98" s="13"/>
      <c r="AK98" s="12">
        <f t="shared" si="11"/>
        <v>0</v>
      </c>
      <c r="AL98" s="33"/>
      <c r="AM98" s="33"/>
      <c r="AT98" s="12"/>
    </row>
    <row r="99" spans="1:46" s="11" customFormat="1" ht="21.95" hidden="1" customHeight="1" x14ac:dyDescent="0.3">
      <c r="A99" s="210"/>
      <c r="B99" s="211"/>
      <c r="C99" s="212"/>
      <c r="D99" s="213"/>
      <c r="E99" s="214"/>
      <c r="F99" s="214"/>
      <c r="G99" s="191" t="s">
        <v>224</v>
      </c>
      <c r="H99" s="192" t="s">
        <v>224</v>
      </c>
      <c r="I99" s="192" t="s">
        <v>224</v>
      </c>
      <c r="J99" s="192" t="s">
        <v>224</v>
      </c>
      <c r="K99" s="192" t="s">
        <v>224</v>
      </c>
      <c r="L99" s="192" t="s">
        <v>224</v>
      </c>
      <c r="M99" s="193" t="s">
        <v>224</v>
      </c>
      <c r="N99" s="218"/>
      <c r="O99" s="218"/>
      <c r="P99" s="219"/>
      <c r="Q99" s="220"/>
      <c r="R99" s="221"/>
      <c r="S99" s="222"/>
      <c r="T99" s="223"/>
      <c r="U99" s="224"/>
      <c r="V99" s="196">
        <f t="shared" si="4"/>
        <v>0</v>
      </c>
      <c r="W99" s="197"/>
      <c r="X99" s="196">
        <f t="shared" si="12"/>
        <v>0</v>
      </c>
      <c r="Y99" s="197"/>
      <c r="Z99" s="213"/>
      <c r="AA99" s="225"/>
      <c r="AB99" s="213"/>
      <c r="AC99" s="214"/>
      <c r="AD99" s="225"/>
      <c r="AE99" s="181">
        <f>IF(V99,SUM($AK$25:AK99),0)</f>
        <v>0</v>
      </c>
      <c r="AF99" s="182"/>
      <c r="AG99" s="183"/>
      <c r="AH99" s="34">
        <v>0</v>
      </c>
      <c r="AI99" s="16"/>
      <c r="AJ99" s="13"/>
      <c r="AK99" s="12">
        <f t="shared" si="11"/>
        <v>0</v>
      </c>
      <c r="AL99" s="33"/>
      <c r="AM99" s="33"/>
      <c r="AT99" s="12"/>
    </row>
    <row r="100" spans="1:46" s="11" customFormat="1" ht="21.95" hidden="1" customHeight="1" x14ac:dyDescent="0.3">
      <c r="A100" s="210"/>
      <c r="B100" s="211"/>
      <c r="C100" s="212"/>
      <c r="D100" s="213"/>
      <c r="E100" s="214"/>
      <c r="F100" s="214"/>
      <c r="G100" s="191" t="s">
        <v>225</v>
      </c>
      <c r="H100" s="192" t="s">
        <v>225</v>
      </c>
      <c r="I100" s="192" t="s">
        <v>225</v>
      </c>
      <c r="J100" s="192" t="s">
        <v>225</v>
      </c>
      <c r="K100" s="192" t="s">
        <v>225</v>
      </c>
      <c r="L100" s="192" t="s">
        <v>225</v>
      </c>
      <c r="M100" s="193" t="s">
        <v>225</v>
      </c>
      <c r="N100" s="218"/>
      <c r="O100" s="218"/>
      <c r="P100" s="219"/>
      <c r="Q100" s="220"/>
      <c r="R100" s="221"/>
      <c r="S100" s="222"/>
      <c r="T100" s="223"/>
      <c r="U100" s="224"/>
      <c r="V100" s="196">
        <f t="shared" si="4"/>
        <v>0</v>
      </c>
      <c r="W100" s="197"/>
      <c r="X100" s="196">
        <f t="shared" si="12"/>
        <v>0</v>
      </c>
      <c r="Y100" s="197"/>
      <c r="Z100" s="213"/>
      <c r="AA100" s="225"/>
      <c r="AB100" s="213"/>
      <c r="AC100" s="214"/>
      <c r="AD100" s="225"/>
      <c r="AE100" s="181">
        <f>IF(V100,SUM($AK$25:AK100),0)</f>
        <v>0</v>
      </c>
      <c r="AF100" s="182"/>
      <c r="AG100" s="183"/>
      <c r="AH100" s="34">
        <v>0</v>
      </c>
      <c r="AI100" s="16"/>
      <c r="AJ100" s="13"/>
      <c r="AK100" s="12">
        <f t="shared" si="11"/>
        <v>0</v>
      </c>
      <c r="AL100" s="33"/>
      <c r="AM100" s="33"/>
      <c r="AT100" s="12"/>
    </row>
    <row r="101" spans="1:46" s="11" customFormat="1" ht="21.95" hidden="1" customHeight="1" x14ac:dyDescent="0.35">
      <c r="A101" s="210"/>
      <c r="B101" s="211"/>
      <c r="C101" s="212"/>
      <c r="D101" s="213"/>
      <c r="E101" s="214"/>
      <c r="F101" s="214"/>
      <c r="G101" s="282" t="s">
        <v>84</v>
      </c>
      <c r="H101" s="283" t="s">
        <v>226</v>
      </c>
      <c r="I101" s="283" t="s">
        <v>226</v>
      </c>
      <c r="J101" s="283" t="s">
        <v>226</v>
      </c>
      <c r="K101" s="283" t="s">
        <v>226</v>
      </c>
      <c r="L101" s="283" t="s">
        <v>226</v>
      </c>
      <c r="M101" s="284" t="s">
        <v>226</v>
      </c>
      <c r="N101" s="268"/>
      <c r="O101" s="268"/>
      <c r="P101" s="269"/>
      <c r="Q101" s="270"/>
      <c r="R101" s="271"/>
      <c r="S101" s="272" t="s">
        <v>96</v>
      </c>
      <c r="T101" s="273"/>
      <c r="U101" s="274"/>
      <c r="V101" s="189">
        <f t="shared" si="4"/>
        <v>0</v>
      </c>
      <c r="W101" s="190"/>
      <c r="X101" s="189">
        <f t="shared" si="12"/>
        <v>0</v>
      </c>
      <c r="Y101" s="190"/>
      <c r="Z101" s="213"/>
      <c r="AA101" s="225"/>
      <c r="AB101" s="213"/>
      <c r="AC101" s="214"/>
      <c r="AD101" s="225"/>
      <c r="AE101" s="181">
        <f>IF(V101,SUM($AK$25:AK101),0)</f>
        <v>0</v>
      </c>
      <c r="AF101" s="182"/>
      <c r="AG101" s="183"/>
      <c r="AH101" s="34">
        <v>0</v>
      </c>
      <c r="AI101" s="16"/>
      <c r="AJ101" s="13"/>
      <c r="AK101" s="12">
        <f t="shared" si="11"/>
        <v>0</v>
      </c>
      <c r="AL101" s="33"/>
      <c r="AM101" s="33"/>
      <c r="AT101" s="12"/>
    </row>
    <row r="102" spans="1:46" s="11" customFormat="1" ht="21.95" hidden="1" customHeight="1" x14ac:dyDescent="0.35">
      <c r="A102" s="210"/>
      <c r="B102" s="211"/>
      <c r="C102" s="212"/>
      <c r="D102" s="213"/>
      <c r="E102" s="214"/>
      <c r="F102" s="214"/>
      <c r="G102" s="282" t="s">
        <v>85</v>
      </c>
      <c r="H102" s="283" t="s">
        <v>227</v>
      </c>
      <c r="I102" s="283" t="s">
        <v>227</v>
      </c>
      <c r="J102" s="283" t="s">
        <v>227</v>
      </c>
      <c r="K102" s="283" t="s">
        <v>227</v>
      </c>
      <c r="L102" s="283" t="s">
        <v>227</v>
      </c>
      <c r="M102" s="284" t="s">
        <v>227</v>
      </c>
      <c r="N102" s="268"/>
      <c r="O102" s="268"/>
      <c r="P102" s="269"/>
      <c r="Q102" s="270"/>
      <c r="R102" s="271"/>
      <c r="S102" s="272" t="s">
        <v>96</v>
      </c>
      <c r="T102" s="273"/>
      <c r="U102" s="274"/>
      <c r="V102" s="189">
        <f t="shared" ref="V102:V135" si="13">$AE$11*AH102/1000</f>
        <v>0</v>
      </c>
      <c r="W102" s="190"/>
      <c r="X102" s="189">
        <f t="shared" si="12"/>
        <v>0</v>
      </c>
      <c r="Y102" s="190"/>
      <c r="Z102" s="213"/>
      <c r="AA102" s="225"/>
      <c r="AB102" s="213"/>
      <c r="AC102" s="214"/>
      <c r="AD102" s="225"/>
      <c r="AE102" s="181">
        <f>IF(V102,SUM($AK$25:AK102),0)</f>
        <v>0</v>
      </c>
      <c r="AF102" s="182"/>
      <c r="AG102" s="183"/>
      <c r="AH102" s="34">
        <v>0</v>
      </c>
      <c r="AI102" s="16"/>
      <c r="AJ102" s="13"/>
      <c r="AK102" s="12">
        <f t="shared" si="11"/>
        <v>0</v>
      </c>
      <c r="AL102" s="33"/>
      <c r="AM102" s="33"/>
      <c r="AT102" s="12"/>
    </row>
    <row r="103" spans="1:46" s="11" customFormat="1" ht="21.95" hidden="1" customHeight="1" x14ac:dyDescent="0.3">
      <c r="A103" s="210"/>
      <c r="B103" s="211"/>
      <c r="C103" s="212"/>
      <c r="D103" s="213"/>
      <c r="E103" s="214"/>
      <c r="F103" s="214"/>
      <c r="G103" s="191" t="s">
        <v>228</v>
      </c>
      <c r="H103" s="192" t="s">
        <v>228</v>
      </c>
      <c r="I103" s="192" t="s">
        <v>228</v>
      </c>
      <c r="J103" s="192" t="s">
        <v>228</v>
      </c>
      <c r="K103" s="192" t="s">
        <v>228</v>
      </c>
      <c r="L103" s="192" t="s">
        <v>228</v>
      </c>
      <c r="M103" s="193" t="s">
        <v>228</v>
      </c>
      <c r="N103" s="218"/>
      <c r="O103" s="218"/>
      <c r="P103" s="219"/>
      <c r="Q103" s="220"/>
      <c r="R103" s="221"/>
      <c r="S103" s="222"/>
      <c r="T103" s="223"/>
      <c r="U103" s="224"/>
      <c r="V103" s="196">
        <f t="shared" si="13"/>
        <v>0</v>
      </c>
      <c r="W103" s="197"/>
      <c r="X103" s="196">
        <f t="shared" si="12"/>
        <v>0</v>
      </c>
      <c r="Y103" s="197"/>
      <c r="Z103" s="213"/>
      <c r="AA103" s="225"/>
      <c r="AB103" s="213"/>
      <c r="AC103" s="214"/>
      <c r="AD103" s="225"/>
      <c r="AE103" s="181">
        <f>IF(V103,SUM($AK$25:AK103),0)</f>
        <v>0</v>
      </c>
      <c r="AF103" s="182"/>
      <c r="AG103" s="183"/>
      <c r="AH103" s="34">
        <v>0</v>
      </c>
      <c r="AI103" s="16"/>
      <c r="AJ103" s="13"/>
      <c r="AK103" s="12">
        <f t="shared" si="11"/>
        <v>0</v>
      </c>
      <c r="AL103" s="33"/>
      <c r="AM103" s="33"/>
      <c r="AT103" s="12"/>
    </row>
    <row r="104" spans="1:46" s="11" customFormat="1" ht="21.95" hidden="1" customHeight="1" x14ac:dyDescent="0.3">
      <c r="A104" s="210"/>
      <c r="B104" s="211"/>
      <c r="C104" s="212"/>
      <c r="D104" s="213"/>
      <c r="E104" s="214"/>
      <c r="F104" s="214"/>
      <c r="G104" s="191" t="s">
        <v>229</v>
      </c>
      <c r="H104" s="192" t="s">
        <v>229</v>
      </c>
      <c r="I104" s="192" t="s">
        <v>229</v>
      </c>
      <c r="J104" s="192" t="s">
        <v>229</v>
      </c>
      <c r="K104" s="192" t="s">
        <v>229</v>
      </c>
      <c r="L104" s="192" t="s">
        <v>229</v>
      </c>
      <c r="M104" s="193" t="s">
        <v>229</v>
      </c>
      <c r="N104" s="218"/>
      <c r="O104" s="218"/>
      <c r="P104" s="219"/>
      <c r="Q104" s="220"/>
      <c r="R104" s="221"/>
      <c r="S104" s="222"/>
      <c r="T104" s="223"/>
      <c r="U104" s="224"/>
      <c r="V104" s="196">
        <f t="shared" si="13"/>
        <v>0</v>
      </c>
      <c r="W104" s="197"/>
      <c r="X104" s="196">
        <f t="shared" si="12"/>
        <v>0</v>
      </c>
      <c r="Y104" s="197"/>
      <c r="Z104" s="213"/>
      <c r="AA104" s="225"/>
      <c r="AB104" s="213"/>
      <c r="AC104" s="214"/>
      <c r="AD104" s="225"/>
      <c r="AE104" s="181">
        <f>IF(V104,SUM($AK$25:AK104),0)</f>
        <v>0</v>
      </c>
      <c r="AF104" s="182"/>
      <c r="AG104" s="183"/>
      <c r="AH104" s="34">
        <v>0</v>
      </c>
      <c r="AI104" s="16"/>
      <c r="AJ104" s="13"/>
      <c r="AK104" s="12">
        <f t="shared" si="11"/>
        <v>0</v>
      </c>
      <c r="AL104" s="33"/>
      <c r="AM104" s="33"/>
      <c r="AT104" s="12"/>
    </row>
    <row r="105" spans="1:46" s="11" customFormat="1" ht="21.95" hidden="1" customHeight="1" x14ac:dyDescent="0.3">
      <c r="A105" s="210"/>
      <c r="B105" s="211"/>
      <c r="C105" s="212"/>
      <c r="D105" s="213"/>
      <c r="E105" s="214"/>
      <c r="F105" s="214"/>
      <c r="G105" s="191" t="s">
        <v>230</v>
      </c>
      <c r="H105" s="192" t="s">
        <v>230</v>
      </c>
      <c r="I105" s="192" t="s">
        <v>230</v>
      </c>
      <c r="J105" s="192" t="s">
        <v>230</v>
      </c>
      <c r="K105" s="192" t="s">
        <v>230</v>
      </c>
      <c r="L105" s="192" t="s">
        <v>230</v>
      </c>
      <c r="M105" s="193" t="s">
        <v>230</v>
      </c>
      <c r="N105" s="218"/>
      <c r="O105" s="218"/>
      <c r="P105" s="219"/>
      <c r="Q105" s="220"/>
      <c r="R105" s="221"/>
      <c r="S105" s="222"/>
      <c r="T105" s="223"/>
      <c r="U105" s="224"/>
      <c r="V105" s="196">
        <f t="shared" si="13"/>
        <v>0</v>
      </c>
      <c r="W105" s="197"/>
      <c r="X105" s="196">
        <f t="shared" si="12"/>
        <v>0</v>
      </c>
      <c r="Y105" s="197"/>
      <c r="Z105" s="213"/>
      <c r="AA105" s="225"/>
      <c r="AB105" s="213"/>
      <c r="AC105" s="214"/>
      <c r="AD105" s="225"/>
      <c r="AE105" s="181">
        <f>IF(V105,SUM($AK$25:AK105),0)</f>
        <v>0</v>
      </c>
      <c r="AF105" s="182"/>
      <c r="AG105" s="183"/>
      <c r="AH105" s="34">
        <v>0</v>
      </c>
      <c r="AI105" s="16"/>
      <c r="AJ105" s="13"/>
      <c r="AK105" s="12">
        <f t="shared" si="11"/>
        <v>0</v>
      </c>
      <c r="AL105" s="33"/>
      <c r="AM105" s="33"/>
      <c r="AT105" s="12"/>
    </row>
    <row r="106" spans="1:46" s="11" customFormat="1" ht="21.95" customHeight="1" x14ac:dyDescent="0.35">
      <c r="A106" s="210"/>
      <c r="B106" s="211"/>
      <c r="C106" s="212"/>
      <c r="D106" s="213"/>
      <c r="E106" s="214"/>
      <c r="F106" s="214"/>
      <c r="G106" s="204" t="s">
        <v>92</v>
      </c>
      <c r="H106" s="205" t="s">
        <v>231</v>
      </c>
      <c r="I106" s="205" t="s">
        <v>231</v>
      </c>
      <c r="J106" s="205" t="s">
        <v>231</v>
      </c>
      <c r="K106" s="205" t="s">
        <v>231</v>
      </c>
      <c r="L106" s="205" t="s">
        <v>231</v>
      </c>
      <c r="M106" s="206" t="s">
        <v>231</v>
      </c>
      <c r="N106" s="275"/>
      <c r="O106" s="275"/>
      <c r="P106" s="276"/>
      <c r="Q106" s="277"/>
      <c r="R106" s="278"/>
      <c r="S106" s="279"/>
      <c r="T106" s="280"/>
      <c r="U106" s="281"/>
      <c r="V106" s="200">
        <f t="shared" si="13"/>
        <v>4.0000000050000004</v>
      </c>
      <c r="W106" s="201"/>
      <c r="X106" s="200">
        <f t="shared" si="12"/>
        <v>4.0000000050000004</v>
      </c>
      <c r="Y106" s="201"/>
      <c r="Z106" s="213"/>
      <c r="AA106" s="225"/>
      <c r="AB106" s="213"/>
      <c r="AC106" s="214"/>
      <c r="AD106" s="225"/>
      <c r="AE106" s="181">
        <f>IF(V106,SUM($AK$25:AK106),0)</f>
        <v>39</v>
      </c>
      <c r="AF106" s="182"/>
      <c r="AG106" s="183"/>
      <c r="AH106" s="34">
        <v>2.6666666700000001</v>
      </c>
      <c r="AI106" s="16"/>
      <c r="AJ106" s="13"/>
      <c r="AK106" s="12">
        <f t="shared" si="11"/>
        <v>1</v>
      </c>
      <c r="AL106" s="33"/>
      <c r="AM106" s="33"/>
      <c r="AT106" s="12"/>
    </row>
    <row r="107" spans="1:46" s="11" customFormat="1" ht="26.25" customHeight="1" x14ac:dyDescent="0.35">
      <c r="A107" s="210"/>
      <c r="B107" s="211"/>
      <c r="C107" s="212"/>
      <c r="D107" s="213"/>
      <c r="E107" s="214"/>
      <c r="F107" s="214"/>
      <c r="G107" s="204" t="s">
        <v>269</v>
      </c>
      <c r="H107" s="205" t="s">
        <v>232</v>
      </c>
      <c r="I107" s="205" t="s">
        <v>232</v>
      </c>
      <c r="J107" s="205" t="s">
        <v>232</v>
      </c>
      <c r="K107" s="205" t="s">
        <v>232</v>
      </c>
      <c r="L107" s="205" t="s">
        <v>232</v>
      </c>
      <c r="M107" s="206" t="s">
        <v>232</v>
      </c>
      <c r="N107" s="275"/>
      <c r="O107" s="275"/>
      <c r="P107" s="276"/>
      <c r="Q107" s="277"/>
      <c r="R107" s="278"/>
      <c r="S107" s="279" t="s">
        <v>96</v>
      </c>
      <c r="T107" s="280"/>
      <c r="U107" s="281"/>
      <c r="V107" s="200">
        <f t="shared" si="13"/>
        <v>48</v>
      </c>
      <c r="W107" s="201"/>
      <c r="X107" s="200">
        <f t="shared" si="12"/>
        <v>48</v>
      </c>
      <c r="Y107" s="201"/>
      <c r="Z107" s="270"/>
      <c r="AA107" s="274"/>
      <c r="AB107" s="213"/>
      <c r="AC107" s="214"/>
      <c r="AD107" s="225"/>
      <c r="AE107" s="181">
        <f>IF(V107,SUM($AK$25:AK107),0)</f>
        <v>40</v>
      </c>
      <c r="AF107" s="182"/>
      <c r="AG107" s="183"/>
      <c r="AH107" s="34">
        <v>32</v>
      </c>
      <c r="AI107" s="16"/>
      <c r="AJ107" s="13"/>
      <c r="AK107" s="12">
        <f t="shared" si="11"/>
        <v>1</v>
      </c>
      <c r="AL107" s="33"/>
      <c r="AM107" s="33"/>
      <c r="AT107" s="12"/>
    </row>
    <row r="108" spans="1:46" s="11" customFormat="1" ht="18.75" hidden="1" customHeight="1" x14ac:dyDescent="0.35">
      <c r="A108" s="210"/>
      <c r="B108" s="211"/>
      <c r="C108" s="212"/>
      <c r="D108" s="213"/>
      <c r="E108" s="214"/>
      <c r="F108" s="214"/>
      <c r="G108" s="282" t="s">
        <v>233</v>
      </c>
      <c r="H108" s="283" t="s">
        <v>233</v>
      </c>
      <c r="I108" s="283" t="s">
        <v>233</v>
      </c>
      <c r="J108" s="283" t="s">
        <v>233</v>
      </c>
      <c r="K108" s="283" t="s">
        <v>233</v>
      </c>
      <c r="L108" s="283" t="s">
        <v>233</v>
      </c>
      <c r="M108" s="284" t="s">
        <v>233</v>
      </c>
      <c r="N108" s="268"/>
      <c r="O108" s="268"/>
      <c r="P108" s="269"/>
      <c r="Q108" s="270"/>
      <c r="R108" s="271"/>
      <c r="S108" s="272" t="s">
        <v>96</v>
      </c>
      <c r="T108" s="273"/>
      <c r="U108" s="274"/>
      <c r="V108" s="189">
        <f t="shared" si="13"/>
        <v>0</v>
      </c>
      <c r="W108" s="190"/>
      <c r="X108" s="189">
        <f t="shared" si="12"/>
        <v>0</v>
      </c>
      <c r="Y108" s="190"/>
      <c r="Z108" s="213"/>
      <c r="AA108" s="225"/>
      <c r="AB108" s="213"/>
      <c r="AC108" s="214"/>
      <c r="AD108" s="225"/>
      <c r="AE108" s="181">
        <f>IF(V108,SUM($AK$25:AK108),0)</f>
        <v>0</v>
      </c>
      <c r="AF108" s="182"/>
      <c r="AG108" s="183"/>
      <c r="AH108" s="34">
        <v>0</v>
      </c>
      <c r="AI108" s="16"/>
      <c r="AJ108" s="13"/>
      <c r="AK108" s="12">
        <f t="shared" si="11"/>
        <v>0</v>
      </c>
      <c r="AL108" s="33"/>
      <c r="AM108" s="33"/>
      <c r="AT108" s="12"/>
    </row>
    <row r="109" spans="1:46" s="11" customFormat="1" ht="27.75" customHeight="1" x14ac:dyDescent="0.35">
      <c r="A109" s="210"/>
      <c r="B109" s="211"/>
      <c r="C109" s="212"/>
      <c r="D109" s="213"/>
      <c r="E109" s="214"/>
      <c r="F109" s="214"/>
      <c r="G109" s="204" t="s">
        <v>234</v>
      </c>
      <c r="H109" s="205" t="s">
        <v>234</v>
      </c>
      <c r="I109" s="205" t="s">
        <v>234</v>
      </c>
      <c r="J109" s="205" t="s">
        <v>234</v>
      </c>
      <c r="K109" s="205" t="s">
        <v>234</v>
      </c>
      <c r="L109" s="205" t="s">
        <v>234</v>
      </c>
      <c r="M109" s="206" t="s">
        <v>234</v>
      </c>
      <c r="N109" s="275"/>
      <c r="O109" s="275"/>
      <c r="P109" s="276"/>
      <c r="Q109" s="277"/>
      <c r="R109" s="278"/>
      <c r="S109" s="279" t="s">
        <v>96</v>
      </c>
      <c r="T109" s="280"/>
      <c r="U109" s="281"/>
      <c r="V109" s="200">
        <f t="shared" si="13"/>
        <v>48</v>
      </c>
      <c r="W109" s="201"/>
      <c r="X109" s="200">
        <f t="shared" si="12"/>
        <v>48</v>
      </c>
      <c r="Y109" s="201"/>
      <c r="Z109" s="213"/>
      <c r="AA109" s="225"/>
      <c r="AB109" s="213"/>
      <c r="AC109" s="214"/>
      <c r="AD109" s="225"/>
      <c r="AE109" s="181">
        <f>IF(V109,SUM($AK$25:AK109),0)</f>
        <v>41</v>
      </c>
      <c r="AF109" s="182"/>
      <c r="AG109" s="183"/>
      <c r="AH109" s="34">
        <v>32</v>
      </c>
      <c r="AI109" s="16"/>
      <c r="AJ109" s="13"/>
      <c r="AK109" s="12">
        <f t="shared" si="11"/>
        <v>1</v>
      </c>
      <c r="AL109" s="33"/>
      <c r="AM109" s="33"/>
      <c r="AT109" s="12"/>
    </row>
    <row r="110" spans="1:46" s="11" customFormat="1" ht="21.95" customHeight="1" x14ac:dyDescent="0.35">
      <c r="A110" s="210"/>
      <c r="B110" s="211"/>
      <c r="C110" s="212"/>
      <c r="D110" s="213"/>
      <c r="E110" s="214"/>
      <c r="F110" s="214"/>
      <c r="G110" s="204" t="s">
        <v>235</v>
      </c>
      <c r="H110" s="205" t="s">
        <v>235</v>
      </c>
      <c r="I110" s="205" t="s">
        <v>235</v>
      </c>
      <c r="J110" s="205" t="s">
        <v>235</v>
      </c>
      <c r="K110" s="205" t="s">
        <v>235</v>
      </c>
      <c r="L110" s="205" t="s">
        <v>235</v>
      </c>
      <c r="M110" s="206" t="s">
        <v>235</v>
      </c>
      <c r="N110" s="275"/>
      <c r="O110" s="275"/>
      <c r="P110" s="276"/>
      <c r="Q110" s="277"/>
      <c r="R110" s="278"/>
      <c r="S110" s="279" t="s">
        <v>96</v>
      </c>
      <c r="T110" s="280"/>
      <c r="U110" s="281"/>
      <c r="V110" s="200">
        <f t="shared" si="13"/>
        <v>54</v>
      </c>
      <c r="W110" s="201"/>
      <c r="X110" s="200">
        <f t="shared" si="12"/>
        <v>54</v>
      </c>
      <c r="Y110" s="201"/>
      <c r="Z110" s="213"/>
      <c r="AA110" s="225"/>
      <c r="AB110" s="213"/>
      <c r="AC110" s="214"/>
      <c r="AD110" s="225"/>
      <c r="AE110" s="181">
        <f>IF(V110,SUM($AK$25:AK110),0)</f>
        <v>42</v>
      </c>
      <c r="AF110" s="182"/>
      <c r="AG110" s="183"/>
      <c r="AH110" s="34">
        <v>36</v>
      </c>
      <c r="AI110" s="16"/>
      <c r="AJ110" s="13"/>
      <c r="AK110" s="12">
        <f t="shared" si="11"/>
        <v>1</v>
      </c>
      <c r="AL110" s="33"/>
      <c r="AM110" s="33"/>
      <c r="AT110" s="12"/>
    </row>
    <row r="111" spans="1:46" s="11" customFormat="1" ht="21.95" hidden="1" customHeight="1" x14ac:dyDescent="0.3">
      <c r="A111" s="210"/>
      <c r="B111" s="211"/>
      <c r="C111" s="212"/>
      <c r="D111" s="213"/>
      <c r="E111" s="214"/>
      <c r="F111" s="214"/>
      <c r="G111" s="191" t="s">
        <v>236</v>
      </c>
      <c r="H111" s="192" t="s">
        <v>236</v>
      </c>
      <c r="I111" s="192" t="s">
        <v>236</v>
      </c>
      <c r="J111" s="192" t="s">
        <v>236</v>
      </c>
      <c r="K111" s="192" t="s">
        <v>236</v>
      </c>
      <c r="L111" s="192" t="s">
        <v>236</v>
      </c>
      <c r="M111" s="193" t="s">
        <v>236</v>
      </c>
      <c r="N111" s="218"/>
      <c r="O111" s="218"/>
      <c r="P111" s="219"/>
      <c r="Q111" s="220"/>
      <c r="R111" s="221"/>
      <c r="S111" s="222"/>
      <c r="T111" s="223"/>
      <c r="U111" s="224"/>
      <c r="V111" s="196">
        <f t="shared" si="13"/>
        <v>0</v>
      </c>
      <c r="W111" s="197"/>
      <c r="X111" s="196">
        <f t="shared" si="12"/>
        <v>0</v>
      </c>
      <c r="Y111" s="197"/>
      <c r="Z111" s="213"/>
      <c r="AA111" s="225"/>
      <c r="AB111" s="213"/>
      <c r="AC111" s="214"/>
      <c r="AD111" s="225"/>
      <c r="AE111" s="181">
        <f>IF(V111,SUM($AK$25:AK111),0)</f>
        <v>0</v>
      </c>
      <c r="AF111" s="182"/>
      <c r="AG111" s="183"/>
      <c r="AH111" s="34">
        <v>0</v>
      </c>
      <c r="AI111" s="16"/>
      <c r="AJ111" s="13"/>
      <c r="AK111" s="12">
        <f t="shared" si="11"/>
        <v>0</v>
      </c>
      <c r="AL111" s="33"/>
      <c r="AM111" s="33"/>
      <c r="AT111" s="12"/>
    </row>
    <row r="112" spans="1:46" s="11" customFormat="1" ht="26.25" customHeight="1" x14ac:dyDescent="0.35">
      <c r="A112" s="210"/>
      <c r="B112" s="211"/>
      <c r="C112" s="212"/>
      <c r="D112" s="213"/>
      <c r="E112" s="214"/>
      <c r="F112" s="214"/>
      <c r="G112" s="204" t="s">
        <v>93</v>
      </c>
      <c r="H112" s="205" t="s">
        <v>93</v>
      </c>
      <c r="I112" s="205" t="s">
        <v>93</v>
      </c>
      <c r="J112" s="205" t="s">
        <v>93</v>
      </c>
      <c r="K112" s="205" t="s">
        <v>93</v>
      </c>
      <c r="L112" s="205" t="s">
        <v>93</v>
      </c>
      <c r="M112" s="206" t="s">
        <v>93</v>
      </c>
      <c r="N112" s="275"/>
      <c r="O112" s="275"/>
      <c r="P112" s="276"/>
      <c r="Q112" s="277"/>
      <c r="R112" s="278"/>
      <c r="S112" s="279" t="s">
        <v>96</v>
      </c>
      <c r="T112" s="280"/>
      <c r="U112" s="281"/>
      <c r="V112" s="200">
        <f t="shared" si="13"/>
        <v>54</v>
      </c>
      <c r="W112" s="201"/>
      <c r="X112" s="200">
        <f t="shared" si="12"/>
        <v>54</v>
      </c>
      <c r="Y112" s="201"/>
      <c r="Z112" s="213"/>
      <c r="AA112" s="225"/>
      <c r="AB112" s="213"/>
      <c r="AC112" s="214"/>
      <c r="AD112" s="225"/>
      <c r="AE112" s="181">
        <f>IF(V112,SUM($AK$25:AK112),0)</f>
        <v>43</v>
      </c>
      <c r="AF112" s="182"/>
      <c r="AG112" s="183"/>
      <c r="AH112" s="34">
        <v>36</v>
      </c>
      <c r="AI112" s="16"/>
      <c r="AJ112" s="13"/>
      <c r="AK112" s="12">
        <f t="shared" si="11"/>
        <v>1</v>
      </c>
      <c r="AL112" s="33"/>
      <c r="AM112" s="33"/>
      <c r="AT112" s="12"/>
    </row>
    <row r="113" spans="1:46" s="11" customFormat="1" ht="21.95" hidden="1" customHeight="1" x14ac:dyDescent="0.3">
      <c r="A113" s="210"/>
      <c r="B113" s="211"/>
      <c r="C113" s="212"/>
      <c r="D113" s="213"/>
      <c r="E113" s="214"/>
      <c r="F113" s="214"/>
      <c r="G113" s="191" t="s">
        <v>237</v>
      </c>
      <c r="H113" s="192" t="s">
        <v>237</v>
      </c>
      <c r="I113" s="192" t="s">
        <v>237</v>
      </c>
      <c r="J113" s="192" t="s">
        <v>237</v>
      </c>
      <c r="K113" s="192" t="s">
        <v>237</v>
      </c>
      <c r="L113" s="192" t="s">
        <v>237</v>
      </c>
      <c r="M113" s="193" t="s">
        <v>237</v>
      </c>
      <c r="N113" s="218"/>
      <c r="O113" s="218"/>
      <c r="P113" s="219"/>
      <c r="Q113" s="220"/>
      <c r="R113" s="221"/>
      <c r="S113" s="222"/>
      <c r="T113" s="223"/>
      <c r="U113" s="224"/>
      <c r="V113" s="196">
        <f t="shared" si="13"/>
        <v>0</v>
      </c>
      <c r="W113" s="197"/>
      <c r="X113" s="196">
        <f t="shared" si="12"/>
        <v>0</v>
      </c>
      <c r="Y113" s="197"/>
      <c r="Z113" s="213"/>
      <c r="AA113" s="225"/>
      <c r="AB113" s="213"/>
      <c r="AC113" s="214"/>
      <c r="AD113" s="225"/>
      <c r="AE113" s="181">
        <f>IF(V113,SUM($AK$25:AK113),0)</f>
        <v>0</v>
      </c>
      <c r="AF113" s="182"/>
      <c r="AG113" s="183"/>
      <c r="AH113" s="34">
        <v>0</v>
      </c>
      <c r="AI113" s="16"/>
      <c r="AJ113" s="13"/>
      <c r="AK113" s="12">
        <f t="shared" si="11"/>
        <v>0</v>
      </c>
      <c r="AL113" s="33"/>
      <c r="AM113" s="33"/>
      <c r="AT113" s="12"/>
    </row>
    <row r="114" spans="1:46" s="11" customFormat="1" ht="27.75" customHeight="1" x14ac:dyDescent="0.35">
      <c r="A114" s="210"/>
      <c r="B114" s="211"/>
      <c r="C114" s="212"/>
      <c r="D114" s="213"/>
      <c r="E114" s="214"/>
      <c r="F114" s="214"/>
      <c r="G114" s="204" t="s">
        <v>317</v>
      </c>
      <c r="H114" s="205" t="s">
        <v>238</v>
      </c>
      <c r="I114" s="205" t="s">
        <v>238</v>
      </c>
      <c r="J114" s="205" t="s">
        <v>238</v>
      </c>
      <c r="K114" s="205" t="s">
        <v>238</v>
      </c>
      <c r="L114" s="205" t="s">
        <v>238</v>
      </c>
      <c r="M114" s="206" t="s">
        <v>238</v>
      </c>
      <c r="N114" s="275"/>
      <c r="O114" s="275"/>
      <c r="P114" s="276"/>
      <c r="Q114" s="277"/>
      <c r="R114" s="278"/>
      <c r="S114" s="279" t="s">
        <v>97</v>
      </c>
      <c r="T114" s="280"/>
      <c r="U114" s="281"/>
      <c r="V114" s="200">
        <f t="shared" si="13"/>
        <v>350.00000001000001</v>
      </c>
      <c r="W114" s="201"/>
      <c r="X114" s="200">
        <f t="shared" si="12"/>
        <v>350.00000001000001</v>
      </c>
      <c r="Y114" s="201"/>
      <c r="Z114" s="213"/>
      <c r="AA114" s="225"/>
      <c r="AB114" s="213"/>
      <c r="AC114" s="214"/>
      <c r="AD114" s="225"/>
      <c r="AE114" s="181">
        <f>IF(V114,SUM($AK$25:AK114),0)</f>
        <v>44</v>
      </c>
      <c r="AF114" s="182"/>
      <c r="AG114" s="183"/>
      <c r="AH114" s="34">
        <v>233.33333334</v>
      </c>
      <c r="AI114" s="16"/>
      <c r="AJ114" s="13"/>
      <c r="AK114" s="12">
        <f t="shared" si="11"/>
        <v>1</v>
      </c>
      <c r="AL114" s="33">
        <f>V114/0.2</f>
        <v>1750.0000000499999</v>
      </c>
      <c r="AM114" s="33"/>
      <c r="AT114" s="12"/>
    </row>
    <row r="115" spans="1:46" s="11" customFormat="1" ht="26.25" customHeight="1" x14ac:dyDescent="0.35">
      <c r="A115" s="210"/>
      <c r="B115" s="211"/>
      <c r="C115" s="212"/>
      <c r="D115" s="213"/>
      <c r="E115" s="214"/>
      <c r="F115" s="214"/>
      <c r="G115" s="204" t="s">
        <v>270</v>
      </c>
      <c r="H115" s="205" t="s">
        <v>239</v>
      </c>
      <c r="I115" s="205" t="s">
        <v>239</v>
      </c>
      <c r="J115" s="205" t="s">
        <v>239</v>
      </c>
      <c r="K115" s="205" t="s">
        <v>239</v>
      </c>
      <c r="L115" s="205" t="s">
        <v>239</v>
      </c>
      <c r="M115" s="206" t="s">
        <v>239</v>
      </c>
      <c r="N115" s="275"/>
      <c r="O115" s="275"/>
      <c r="P115" s="276"/>
      <c r="Q115" s="277"/>
      <c r="R115" s="278"/>
      <c r="S115" s="279" t="s">
        <v>97</v>
      </c>
      <c r="T115" s="280"/>
      <c r="U115" s="281"/>
      <c r="V115" s="200">
        <f t="shared" ref="V115" si="14">$AE$11*AH115/1000</f>
        <v>150</v>
      </c>
      <c r="W115" s="201"/>
      <c r="X115" s="200">
        <f t="shared" si="12"/>
        <v>150</v>
      </c>
      <c r="Y115" s="201"/>
      <c r="Z115" s="213"/>
      <c r="AA115" s="225"/>
      <c r="AB115" s="213"/>
      <c r="AC115" s="214"/>
      <c r="AD115" s="225"/>
      <c r="AE115" s="181">
        <f>IF(V115,SUM($AK$25:AK115),0)</f>
        <v>45</v>
      </c>
      <c r="AF115" s="182"/>
      <c r="AG115" s="183"/>
      <c r="AH115" s="34">
        <v>100</v>
      </c>
      <c r="AI115" s="16"/>
      <c r="AJ115" s="13"/>
      <c r="AK115" s="12">
        <f t="shared" si="11"/>
        <v>1</v>
      </c>
      <c r="AL115" s="33"/>
      <c r="AM115" s="33"/>
      <c r="AT115" s="12"/>
    </row>
    <row r="116" spans="1:46" s="11" customFormat="1" ht="21.95" hidden="1" customHeight="1" x14ac:dyDescent="0.3">
      <c r="A116" s="210"/>
      <c r="B116" s="211"/>
      <c r="C116" s="212"/>
      <c r="D116" s="213"/>
      <c r="E116" s="214"/>
      <c r="F116" s="214"/>
      <c r="G116" s="191" t="s">
        <v>272</v>
      </c>
      <c r="H116" s="192" t="s">
        <v>240</v>
      </c>
      <c r="I116" s="192" t="s">
        <v>240</v>
      </c>
      <c r="J116" s="192" t="s">
        <v>240</v>
      </c>
      <c r="K116" s="192" t="s">
        <v>240</v>
      </c>
      <c r="L116" s="192" t="s">
        <v>240</v>
      </c>
      <c r="M116" s="193" t="s">
        <v>240</v>
      </c>
      <c r="N116" s="218"/>
      <c r="O116" s="218"/>
      <c r="P116" s="219"/>
      <c r="Q116" s="220"/>
      <c r="R116" s="221"/>
      <c r="S116" s="222"/>
      <c r="T116" s="223"/>
      <c r="U116" s="224"/>
      <c r="V116" s="196">
        <f t="shared" si="13"/>
        <v>0</v>
      </c>
      <c r="W116" s="197"/>
      <c r="X116" s="196">
        <f t="shared" si="12"/>
        <v>0</v>
      </c>
      <c r="Y116" s="197"/>
      <c r="Z116" s="213"/>
      <c r="AA116" s="225"/>
      <c r="AB116" s="213"/>
      <c r="AC116" s="214"/>
      <c r="AD116" s="225"/>
      <c r="AE116" s="181">
        <f>IF(V116,SUM($AK$25:AK116),0)</f>
        <v>0</v>
      </c>
      <c r="AF116" s="182"/>
      <c r="AG116" s="183"/>
      <c r="AH116" s="34">
        <v>0</v>
      </c>
      <c r="AI116" s="16"/>
      <c r="AJ116" s="13"/>
      <c r="AK116" s="12">
        <f t="shared" si="11"/>
        <v>0</v>
      </c>
      <c r="AL116" s="33"/>
      <c r="AM116" s="33"/>
      <c r="AT116" s="12"/>
    </row>
    <row r="117" spans="1:46" s="11" customFormat="1" ht="25.5" customHeight="1" x14ac:dyDescent="0.35">
      <c r="A117" s="210"/>
      <c r="B117" s="211"/>
      <c r="C117" s="212"/>
      <c r="D117" s="213"/>
      <c r="E117" s="214"/>
      <c r="F117" s="214"/>
      <c r="G117" s="204" t="s">
        <v>71</v>
      </c>
      <c r="H117" s="205" t="s">
        <v>241</v>
      </c>
      <c r="I117" s="205" t="s">
        <v>241</v>
      </c>
      <c r="J117" s="205" t="s">
        <v>241</v>
      </c>
      <c r="K117" s="205" t="s">
        <v>241</v>
      </c>
      <c r="L117" s="205" t="s">
        <v>241</v>
      </c>
      <c r="M117" s="206" t="s">
        <v>241</v>
      </c>
      <c r="N117" s="275"/>
      <c r="O117" s="275"/>
      <c r="P117" s="276"/>
      <c r="Q117" s="277"/>
      <c r="R117" s="278"/>
      <c r="S117" s="279" t="s">
        <v>96</v>
      </c>
      <c r="T117" s="280"/>
      <c r="U117" s="281"/>
      <c r="V117" s="200">
        <f t="shared" si="13"/>
        <v>30</v>
      </c>
      <c r="W117" s="201"/>
      <c r="X117" s="200">
        <f t="shared" si="12"/>
        <v>30</v>
      </c>
      <c r="Y117" s="201"/>
      <c r="Z117" s="213"/>
      <c r="AA117" s="225"/>
      <c r="AB117" s="213"/>
      <c r="AC117" s="214"/>
      <c r="AD117" s="225"/>
      <c r="AE117" s="181">
        <f>IF(V117,SUM($AK$25:AK117),0)</f>
        <v>46</v>
      </c>
      <c r="AF117" s="182"/>
      <c r="AG117" s="183"/>
      <c r="AH117" s="34">
        <v>20</v>
      </c>
      <c r="AI117" s="16"/>
      <c r="AJ117" s="13"/>
      <c r="AK117" s="12">
        <f t="shared" si="11"/>
        <v>1</v>
      </c>
      <c r="AL117" s="33">
        <f>(V117+V118+V119+V120+V121)/0.02</f>
        <v>1500</v>
      </c>
      <c r="AM117" s="33"/>
      <c r="AT117" s="12"/>
    </row>
    <row r="118" spans="1:46" s="11" customFormat="1" ht="21.95" hidden="1" customHeight="1" x14ac:dyDescent="0.3">
      <c r="A118" s="210"/>
      <c r="B118" s="211"/>
      <c r="C118" s="212"/>
      <c r="D118" s="213"/>
      <c r="E118" s="214"/>
      <c r="F118" s="214"/>
      <c r="G118" s="191" t="s">
        <v>72</v>
      </c>
      <c r="H118" s="192" t="s">
        <v>72</v>
      </c>
      <c r="I118" s="192" t="s">
        <v>72</v>
      </c>
      <c r="J118" s="192" t="s">
        <v>72</v>
      </c>
      <c r="K118" s="192" t="s">
        <v>72</v>
      </c>
      <c r="L118" s="192" t="s">
        <v>72</v>
      </c>
      <c r="M118" s="193" t="s">
        <v>72</v>
      </c>
      <c r="N118" s="218"/>
      <c r="O118" s="218"/>
      <c r="P118" s="219"/>
      <c r="Q118" s="220"/>
      <c r="R118" s="221"/>
      <c r="S118" s="222"/>
      <c r="T118" s="223"/>
      <c r="U118" s="224"/>
      <c r="V118" s="196">
        <f t="shared" si="13"/>
        <v>0</v>
      </c>
      <c r="W118" s="197"/>
      <c r="X118" s="196">
        <f t="shared" si="12"/>
        <v>0</v>
      </c>
      <c r="Y118" s="197"/>
      <c r="Z118" s="213"/>
      <c r="AA118" s="225"/>
      <c r="AB118" s="213"/>
      <c r="AC118" s="214"/>
      <c r="AD118" s="225"/>
      <c r="AE118" s="181">
        <f>IF(V118,SUM($AK$25:AK118),0)</f>
        <v>0</v>
      </c>
      <c r="AF118" s="182"/>
      <c r="AG118" s="183"/>
      <c r="AH118" s="34">
        <v>0</v>
      </c>
      <c r="AI118" s="16"/>
      <c r="AJ118" s="13"/>
      <c r="AK118" s="12">
        <f t="shared" si="11"/>
        <v>0</v>
      </c>
      <c r="AL118" s="33"/>
      <c r="AM118" s="33"/>
      <c r="AT118" s="12"/>
    </row>
    <row r="119" spans="1:46" s="11" customFormat="1" ht="21.95" hidden="1" customHeight="1" x14ac:dyDescent="0.3">
      <c r="A119" s="210"/>
      <c r="B119" s="211"/>
      <c r="C119" s="212"/>
      <c r="D119" s="213"/>
      <c r="E119" s="214"/>
      <c r="F119" s="214"/>
      <c r="G119" s="191" t="s">
        <v>72</v>
      </c>
      <c r="H119" s="192" t="s">
        <v>72</v>
      </c>
      <c r="I119" s="192" t="s">
        <v>72</v>
      </c>
      <c r="J119" s="192" t="s">
        <v>72</v>
      </c>
      <c r="K119" s="192" t="s">
        <v>72</v>
      </c>
      <c r="L119" s="192" t="s">
        <v>72</v>
      </c>
      <c r="M119" s="193" t="s">
        <v>72</v>
      </c>
      <c r="N119" s="218"/>
      <c r="O119" s="218"/>
      <c r="P119" s="219"/>
      <c r="Q119" s="220"/>
      <c r="R119" s="221"/>
      <c r="S119" s="222"/>
      <c r="T119" s="223"/>
      <c r="U119" s="224"/>
      <c r="V119" s="196">
        <f t="shared" si="13"/>
        <v>0</v>
      </c>
      <c r="W119" s="197"/>
      <c r="X119" s="196">
        <f t="shared" si="12"/>
        <v>0</v>
      </c>
      <c r="Y119" s="197"/>
      <c r="Z119" s="213"/>
      <c r="AA119" s="225"/>
      <c r="AB119" s="213"/>
      <c r="AC119" s="214"/>
      <c r="AD119" s="225"/>
      <c r="AE119" s="181">
        <f>IF(V119,SUM($AK$25:AK119),0)</f>
        <v>0</v>
      </c>
      <c r="AF119" s="182"/>
      <c r="AG119" s="183"/>
      <c r="AH119" s="34">
        <v>0</v>
      </c>
      <c r="AI119" s="16"/>
      <c r="AJ119" s="13"/>
      <c r="AK119" s="12">
        <f t="shared" si="11"/>
        <v>0</v>
      </c>
      <c r="AL119" s="33"/>
      <c r="AM119" s="33"/>
      <c r="AT119" s="12"/>
    </row>
    <row r="120" spans="1:46" s="11" customFormat="1" ht="21.95" hidden="1" customHeight="1" x14ac:dyDescent="0.3">
      <c r="A120" s="210"/>
      <c r="B120" s="211"/>
      <c r="C120" s="212"/>
      <c r="D120" s="213"/>
      <c r="E120" s="214"/>
      <c r="F120" s="214"/>
      <c r="G120" s="191">
        <v>0</v>
      </c>
      <c r="H120" s="192">
        <v>0</v>
      </c>
      <c r="I120" s="192">
        <v>0</v>
      </c>
      <c r="J120" s="192">
        <v>0</v>
      </c>
      <c r="K120" s="192">
        <v>0</v>
      </c>
      <c r="L120" s="192">
        <v>0</v>
      </c>
      <c r="M120" s="193">
        <v>0</v>
      </c>
      <c r="N120" s="218"/>
      <c r="O120" s="218"/>
      <c r="P120" s="219"/>
      <c r="Q120" s="220"/>
      <c r="R120" s="221"/>
      <c r="S120" s="222"/>
      <c r="T120" s="223"/>
      <c r="U120" s="224"/>
      <c r="V120" s="196">
        <f t="shared" si="13"/>
        <v>0</v>
      </c>
      <c r="W120" s="197"/>
      <c r="X120" s="196">
        <f t="shared" si="12"/>
        <v>0</v>
      </c>
      <c r="Y120" s="197"/>
      <c r="Z120" s="213"/>
      <c r="AA120" s="225"/>
      <c r="AB120" s="213"/>
      <c r="AC120" s="214"/>
      <c r="AD120" s="225"/>
      <c r="AE120" s="181">
        <f>IF(V120,SUM($AK$25:AK120),0)</f>
        <v>0</v>
      </c>
      <c r="AF120" s="182"/>
      <c r="AG120" s="183"/>
      <c r="AH120" s="34">
        <v>0</v>
      </c>
      <c r="AI120" s="16"/>
      <c r="AJ120" s="13"/>
      <c r="AK120" s="12">
        <f t="shared" si="11"/>
        <v>0</v>
      </c>
      <c r="AL120" s="33"/>
      <c r="AM120" s="33"/>
      <c r="AT120" s="12"/>
    </row>
    <row r="121" spans="1:46" s="11" customFormat="1" ht="21.95" hidden="1" customHeight="1" x14ac:dyDescent="0.3">
      <c r="A121" s="210"/>
      <c r="B121" s="211"/>
      <c r="C121" s="212"/>
      <c r="D121" s="213"/>
      <c r="E121" s="214"/>
      <c r="F121" s="214"/>
      <c r="G121" s="191">
        <v>0</v>
      </c>
      <c r="H121" s="192">
        <v>0</v>
      </c>
      <c r="I121" s="192">
        <v>0</v>
      </c>
      <c r="J121" s="192">
        <v>0</v>
      </c>
      <c r="K121" s="192">
        <v>0</v>
      </c>
      <c r="L121" s="192">
        <v>0</v>
      </c>
      <c r="M121" s="193">
        <v>0</v>
      </c>
      <c r="N121" s="218"/>
      <c r="O121" s="218"/>
      <c r="P121" s="219"/>
      <c r="Q121" s="220"/>
      <c r="R121" s="221"/>
      <c r="S121" s="222"/>
      <c r="T121" s="223"/>
      <c r="U121" s="224"/>
      <c r="V121" s="196">
        <f t="shared" si="13"/>
        <v>0</v>
      </c>
      <c r="W121" s="197"/>
      <c r="X121" s="196">
        <f t="shared" si="12"/>
        <v>0</v>
      </c>
      <c r="Y121" s="197"/>
      <c r="Z121" s="213"/>
      <c r="AA121" s="225"/>
      <c r="AB121" s="213"/>
      <c r="AC121" s="214"/>
      <c r="AD121" s="225"/>
      <c r="AE121" s="181">
        <f>IF(V121,SUM($AK$25:AK121),0)</f>
        <v>0</v>
      </c>
      <c r="AF121" s="182"/>
      <c r="AG121" s="183"/>
      <c r="AH121" s="34">
        <v>0</v>
      </c>
      <c r="AI121" s="16"/>
      <c r="AJ121" s="13"/>
      <c r="AK121" s="12">
        <f t="shared" si="11"/>
        <v>0</v>
      </c>
      <c r="AL121" s="33"/>
      <c r="AM121" s="33"/>
      <c r="AT121" s="12"/>
    </row>
    <row r="122" spans="1:46" s="11" customFormat="1" ht="21.95" hidden="1" customHeight="1" x14ac:dyDescent="0.3">
      <c r="A122" s="210"/>
      <c r="B122" s="211"/>
      <c r="C122" s="212"/>
      <c r="D122" s="213"/>
      <c r="E122" s="214"/>
      <c r="F122" s="214"/>
      <c r="G122" s="191">
        <v>0</v>
      </c>
      <c r="H122" s="192">
        <v>0</v>
      </c>
      <c r="I122" s="192">
        <v>0</v>
      </c>
      <c r="J122" s="192">
        <v>0</v>
      </c>
      <c r="K122" s="192">
        <v>0</v>
      </c>
      <c r="L122" s="192">
        <v>0</v>
      </c>
      <c r="M122" s="193">
        <v>0</v>
      </c>
      <c r="N122" s="218"/>
      <c r="O122" s="218"/>
      <c r="P122" s="219"/>
      <c r="Q122" s="220"/>
      <c r="R122" s="221"/>
      <c r="S122" s="222"/>
      <c r="T122" s="223"/>
      <c r="U122" s="224"/>
      <c r="V122" s="196">
        <f t="shared" si="13"/>
        <v>0</v>
      </c>
      <c r="W122" s="197"/>
      <c r="X122" s="196">
        <f t="shared" si="12"/>
        <v>0</v>
      </c>
      <c r="Y122" s="197"/>
      <c r="Z122" s="213"/>
      <c r="AA122" s="225"/>
      <c r="AB122" s="213"/>
      <c r="AC122" s="214"/>
      <c r="AD122" s="225"/>
      <c r="AE122" s="181">
        <f>IF(V122,SUM($AK$25:AK122),0)</f>
        <v>0</v>
      </c>
      <c r="AF122" s="182"/>
      <c r="AG122" s="183"/>
      <c r="AH122" s="34">
        <v>0</v>
      </c>
      <c r="AI122" s="16"/>
      <c r="AJ122" s="13"/>
      <c r="AK122" s="12">
        <f t="shared" si="11"/>
        <v>0</v>
      </c>
      <c r="AL122" s="33"/>
      <c r="AM122" s="33"/>
      <c r="AT122" s="12"/>
    </row>
    <row r="123" spans="1:46" s="11" customFormat="1" ht="21.95" hidden="1" customHeight="1" x14ac:dyDescent="0.3">
      <c r="A123" s="210"/>
      <c r="B123" s="211"/>
      <c r="C123" s="212"/>
      <c r="D123" s="213"/>
      <c r="E123" s="214"/>
      <c r="F123" s="214"/>
      <c r="G123" s="191">
        <v>0</v>
      </c>
      <c r="H123" s="192">
        <v>0</v>
      </c>
      <c r="I123" s="192">
        <v>0</v>
      </c>
      <c r="J123" s="192">
        <v>0</v>
      </c>
      <c r="K123" s="192">
        <v>0</v>
      </c>
      <c r="L123" s="192">
        <v>0</v>
      </c>
      <c r="M123" s="193">
        <v>0</v>
      </c>
      <c r="N123" s="218"/>
      <c r="O123" s="218"/>
      <c r="P123" s="219"/>
      <c r="Q123" s="220"/>
      <c r="R123" s="221"/>
      <c r="S123" s="222"/>
      <c r="T123" s="223"/>
      <c r="U123" s="224"/>
      <c r="V123" s="196">
        <f t="shared" si="13"/>
        <v>0</v>
      </c>
      <c r="W123" s="197"/>
      <c r="X123" s="196">
        <f t="shared" si="12"/>
        <v>0</v>
      </c>
      <c r="Y123" s="197"/>
      <c r="Z123" s="213"/>
      <c r="AA123" s="225"/>
      <c r="AB123" s="213"/>
      <c r="AC123" s="214"/>
      <c r="AD123" s="225"/>
      <c r="AE123" s="181">
        <f>IF(V123,SUM($AK$25:AK123),0)</f>
        <v>0</v>
      </c>
      <c r="AF123" s="182"/>
      <c r="AG123" s="183"/>
      <c r="AH123" s="34">
        <v>0</v>
      </c>
      <c r="AI123" s="16"/>
      <c r="AJ123" s="13"/>
      <c r="AK123" s="12">
        <f t="shared" si="11"/>
        <v>0</v>
      </c>
      <c r="AL123" s="33"/>
      <c r="AM123" s="33"/>
      <c r="AT123" s="12"/>
    </row>
    <row r="124" spans="1:46" s="11" customFormat="1" ht="21.95" hidden="1" customHeight="1" x14ac:dyDescent="0.3">
      <c r="A124" s="210"/>
      <c r="B124" s="211"/>
      <c r="C124" s="212"/>
      <c r="D124" s="213"/>
      <c r="E124" s="214"/>
      <c r="F124" s="214"/>
      <c r="G124" s="191" t="s">
        <v>73</v>
      </c>
      <c r="H124" s="192" t="s">
        <v>73</v>
      </c>
      <c r="I124" s="192" t="s">
        <v>73</v>
      </c>
      <c r="J124" s="192" t="s">
        <v>73</v>
      </c>
      <c r="K124" s="192" t="s">
        <v>73</v>
      </c>
      <c r="L124" s="192" t="s">
        <v>73</v>
      </c>
      <c r="M124" s="193" t="s">
        <v>73</v>
      </c>
      <c r="N124" s="218"/>
      <c r="O124" s="218"/>
      <c r="P124" s="219"/>
      <c r="Q124" s="220"/>
      <c r="R124" s="221"/>
      <c r="S124" s="222"/>
      <c r="T124" s="223"/>
      <c r="U124" s="224"/>
      <c r="V124" s="196">
        <f t="shared" si="13"/>
        <v>0</v>
      </c>
      <c r="W124" s="197"/>
      <c r="X124" s="196">
        <f t="shared" si="12"/>
        <v>0</v>
      </c>
      <c r="Y124" s="197"/>
      <c r="Z124" s="213"/>
      <c r="AA124" s="225"/>
      <c r="AB124" s="213"/>
      <c r="AC124" s="214"/>
      <c r="AD124" s="225"/>
      <c r="AE124" s="181">
        <f>IF(V124,SUM($AK$25:AK124),0)</f>
        <v>0</v>
      </c>
      <c r="AF124" s="182"/>
      <c r="AG124" s="183"/>
      <c r="AH124" s="34">
        <v>0</v>
      </c>
      <c r="AI124" s="16"/>
      <c r="AJ124" s="13"/>
      <c r="AK124" s="12">
        <f t="shared" si="11"/>
        <v>0</v>
      </c>
      <c r="AL124" s="33"/>
      <c r="AM124" s="33"/>
      <c r="AT124" s="12"/>
    </row>
    <row r="125" spans="1:46" s="11" customFormat="1" ht="21.95" hidden="1" customHeight="1" x14ac:dyDescent="0.35">
      <c r="A125" s="210"/>
      <c r="B125" s="211"/>
      <c r="C125" s="212"/>
      <c r="D125" s="213"/>
      <c r="E125" s="214"/>
      <c r="F125" s="214"/>
      <c r="G125" s="204" t="s">
        <v>271</v>
      </c>
      <c r="H125" s="205" t="s">
        <v>242</v>
      </c>
      <c r="I125" s="205" t="s">
        <v>242</v>
      </c>
      <c r="J125" s="205" t="s">
        <v>242</v>
      </c>
      <c r="K125" s="205" t="s">
        <v>242</v>
      </c>
      <c r="L125" s="205" t="s">
        <v>242</v>
      </c>
      <c r="M125" s="206" t="s">
        <v>242</v>
      </c>
      <c r="N125" s="275"/>
      <c r="O125" s="275"/>
      <c r="P125" s="276"/>
      <c r="Q125" s="277"/>
      <c r="R125" s="278"/>
      <c r="S125" s="279" t="s">
        <v>96</v>
      </c>
      <c r="T125" s="280"/>
      <c r="U125" s="281"/>
      <c r="V125" s="200">
        <f t="shared" si="13"/>
        <v>0</v>
      </c>
      <c r="W125" s="201"/>
      <c r="X125" s="200">
        <f t="shared" si="12"/>
        <v>0</v>
      </c>
      <c r="Y125" s="201"/>
      <c r="Z125" s="213"/>
      <c r="AA125" s="225"/>
      <c r="AB125" s="213"/>
      <c r="AC125" s="214"/>
      <c r="AD125" s="225"/>
      <c r="AE125" s="181">
        <f>IF(V125,SUM($AK$25:AK125),0)</f>
        <v>0</v>
      </c>
      <c r="AF125" s="182"/>
      <c r="AG125" s="183"/>
      <c r="AH125" s="34">
        <v>0</v>
      </c>
      <c r="AI125" s="16"/>
      <c r="AJ125" s="13"/>
      <c r="AK125" s="12">
        <f t="shared" si="11"/>
        <v>0</v>
      </c>
      <c r="AL125" s="33">
        <f>((150+300-V25-V26)*4)/1.8</f>
        <v>-500</v>
      </c>
      <c r="AM125" s="33"/>
      <c r="AT125" s="12"/>
    </row>
    <row r="126" spans="1:46" s="11" customFormat="1" ht="26.25" customHeight="1" x14ac:dyDescent="0.35">
      <c r="A126" s="210"/>
      <c r="B126" s="211"/>
      <c r="C126" s="212"/>
      <c r="D126" s="213"/>
      <c r="E126" s="214"/>
      <c r="F126" s="214"/>
      <c r="G126" s="204" t="s">
        <v>69</v>
      </c>
      <c r="H126" s="205" t="s">
        <v>69</v>
      </c>
      <c r="I126" s="205" t="s">
        <v>69</v>
      </c>
      <c r="J126" s="205" t="s">
        <v>69</v>
      </c>
      <c r="K126" s="205" t="s">
        <v>69</v>
      </c>
      <c r="L126" s="205" t="s">
        <v>69</v>
      </c>
      <c r="M126" s="206" t="s">
        <v>69</v>
      </c>
      <c r="N126" s="275"/>
      <c r="O126" s="275"/>
      <c r="P126" s="276"/>
      <c r="Q126" s="277"/>
      <c r="R126" s="278"/>
      <c r="S126" s="279" t="s">
        <v>96</v>
      </c>
      <c r="T126" s="280"/>
      <c r="U126" s="281"/>
      <c r="V126" s="200">
        <f t="shared" si="13"/>
        <v>105</v>
      </c>
      <c r="W126" s="201"/>
      <c r="X126" s="200">
        <f t="shared" si="12"/>
        <v>105</v>
      </c>
      <c r="Y126" s="201"/>
      <c r="Z126" s="213"/>
      <c r="AA126" s="225"/>
      <c r="AB126" s="213"/>
      <c r="AC126" s="214"/>
      <c r="AD126" s="225"/>
      <c r="AE126" s="181">
        <f>IF(V126,SUM($AK$25:AK126),0)</f>
        <v>47</v>
      </c>
      <c r="AF126" s="182"/>
      <c r="AG126" s="183"/>
      <c r="AH126" s="34">
        <v>70</v>
      </c>
      <c r="AI126" s="16"/>
      <c r="AJ126" s="13"/>
      <c r="AK126" s="12">
        <f t="shared" si="11"/>
        <v>1</v>
      </c>
      <c r="AL126" s="33">
        <f>V126/0.07</f>
        <v>1499.9999999999998</v>
      </c>
      <c r="AM126" s="33"/>
      <c r="AT126" s="12"/>
    </row>
    <row r="127" spans="1:46" s="11" customFormat="1" ht="25.5" customHeight="1" x14ac:dyDescent="0.35">
      <c r="A127" s="210"/>
      <c r="B127" s="211"/>
      <c r="C127" s="212"/>
      <c r="D127" s="213"/>
      <c r="E127" s="214"/>
      <c r="F127" s="214"/>
      <c r="G127" s="204" t="s">
        <v>77</v>
      </c>
      <c r="H127" s="205" t="s">
        <v>77</v>
      </c>
      <c r="I127" s="205" t="s">
        <v>77</v>
      </c>
      <c r="J127" s="205" t="s">
        <v>77</v>
      </c>
      <c r="K127" s="205" t="s">
        <v>77</v>
      </c>
      <c r="L127" s="205" t="s">
        <v>77</v>
      </c>
      <c r="M127" s="206" t="s">
        <v>77</v>
      </c>
      <c r="N127" s="275"/>
      <c r="O127" s="275"/>
      <c r="P127" s="276"/>
      <c r="Q127" s="277"/>
      <c r="R127" s="278"/>
      <c r="S127" s="279" t="s">
        <v>96</v>
      </c>
      <c r="T127" s="280"/>
      <c r="U127" s="281"/>
      <c r="V127" s="200">
        <f t="shared" si="13"/>
        <v>30</v>
      </c>
      <c r="W127" s="201"/>
      <c r="X127" s="200">
        <f t="shared" si="12"/>
        <v>30</v>
      </c>
      <c r="Y127" s="201"/>
      <c r="Z127" s="213"/>
      <c r="AA127" s="225"/>
      <c r="AB127" s="213"/>
      <c r="AC127" s="214"/>
      <c r="AD127" s="225"/>
      <c r="AE127" s="181">
        <f>IF(V127,SUM($AK$25:AK127),0)</f>
        <v>48</v>
      </c>
      <c r="AF127" s="182"/>
      <c r="AG127" s="183"/>
      <c r="AH127" s="34">
        <v>20</v>
      </c>
      <c r="AI127" s="16"/>
      <c r="AJ127" s="13"/>
      <c r="AK127" s="12">
        <f t="shared" si="11"/>
        <v>1</v>
      </c>
      <c r="AL127" s="33">
        <f>V127/0.02</f>
        <v>1500</v>
      </c>
      <c r="AM127" s="33"/>
      <c r="AT127" s="12"/>
    </row>
    <row r="128" spans="1:46" s="11" customFormat="1" ht="32.25" customHeight="1" x14ac:dyDescent="0.35">
      <c r="A128" s="210"/>
      <c r="B128" s="211"/>
      <c r="C128" s="212"/>
      <c r="D128" s="213"/>
      <c r="E128" s="214"/>
      <c r="F128" s="214"/>
      <c r="G128" s="204" t="s">
        <v>267</v>
      </c>
      <c r="H128" s="205" t="s">
        <v>79</v>
      </c>
      <c r="I128" s="205" t="s">
        <v>79</v>
      </c>
      <c r="J128" s="205" t="s">
        <v>79</v>
      </c>
      <c r="K128" s="205" t="s">
        <v>79</v>
      </c>
      <c r="L128" s="205" t="s">
        <v>79</v>
      </c>
      <c r="M128" s="206" t="s">
        <v>79</v>
      </c>
      <c r="N128" s="275"/>
      <c r="O128" s="275"/>
      <c r="P128" s="276"/>
      <c r="Q128" s="277"/>
      <c r="R128" s="278"/>
      <c r="S128" s="279" t="s">
        <v>96</v>
      </c>
      <c r="T128" s="280"/>
      <c r="U128" s="281"/>
      <c r="V128" s="200">
        <f t="shared" si="13"/>
        <v>1.5</v>
      </c>
      <c r="W128" s="201"/>
      <c r="X128" s="200">
        <f t="shared" si="12"/>
        <v>1.5</v>
      </c>
      <c r="Y128" s="201"/>
      <c r="Z128" s="213"/>
      <c r="AA128" s="225"/>
      <c r="AB128" s="213"/>
      <c r="AC128" s="214"/>
      <c r="AD128" s="225"/>
      <c r="AE128" s="181">
        <f>IF(V128,SUM($AK$25:AK128),0)</f>
        <v>49</v>
      </c>
      <c r="AF128" s="182"/>
      <c r="AG128" s="183"/>
      <c r="AH128" s="34">
        <v>1</v>
      </c>
      <c r="AI128" s="16"/>
      <c r="AJ128" s="13"/>
      <c r="AK128" s="12">
        <f t="shared" si="11"/>
        <v>1</v>
      </c>
      <c r="AL128" s="33">
        <f>V128/0.001</f>
        <v>1500</v>
      </c>
      <c r="AM128" s="33"/>
      <c r="AT128" s="12"/>
    </row>
    <row r="129" spans="1:46" s="11" customFormat="1" ht="28.5" customHeight="1" x14ac:dyDescent="0.35">
      <c r="A129" s="210"/>
      <c r="B129" s="211"/>
      <c r="C129" s="212"/>
      <c r="D129" s="213"/>
      <c r="E129" s="214"/>
      <c r="F129" s="214"/>
      <c r="G129" s="204" t="s">
        <v>116</v>
      </c>
      <c r="H129" s="205" t="s">
        <v>116</v>
      </c>
      <c r="I129" s="205" t="s">
        <v>116</v>
      </c>
      <c r="J129" s="205" t="s">
        <v>116</v>
      </c>
      <c r="K129" s="205" t="s">
        <v>116</v>
      </c>
      <c r="L129" s="205" t="s">
        <v>116</v>
      </c>
      <c r="M129" s="206" t="s">
        <v>116</v>
      </c>
      <c r="N129" s="275"/>
      <c r="O129" s="275"/>
      <c r="P129" s="276"/>
      <c r="Q129" s="277"/>
      <c r="R129" s="278"/>
      <c r="S129" s="279" t="s">
        <v>96</v>
      </c>
      <c r="T129" s="280"/>
      <c r="U129" s="281"/>
      <c r="V129" s="200">
        <f t="shared" si="13"/>
        <v>2.25</v>
      </c>
      <c r="W129" s="201"/>
      <c r="X129" s="200">
        <f t="shared" si="12"/>
        <v>2.25</v>
      </c>
      <c r="Y129" s="201"/>
      <c r="Z129" s="213"/>
      <c r="AA129" s="225"/>
      <c r="AB129" s="213"/>
      <c r="AC129" s="214"/>
      <c r="AD129" s="225"/>
      <c r="AE129" s="181">
        <f>IF(V129,SUM($AK$25:AK129),0)</f>
        <v>50</v>
      </c>
      <c r="AF129" s="182"/>
      <c r="AG129" s="183"/>
      <c r="AH129" s="34">
        <v>1.5</v>
      </c>
      <c r="AI129" s="16"/>
      <c r="AJ129" s="13"/>
      <c r="AK129" s="12">
        <f t="shared" si="11"/>
        <v>1</v>
      </c>
      <c r="AL129" s="33">
        <f>V129/0.0015</f>
        <v>1500</v>
      </c>
      <c r="AM129" s="33"/>
      <c r="AT129" s="12"/>
    </row>
    <row r="130" spans="1:46" s="11" customFormat="1" ht="25.5" customHeight="1" x14ac:dyDescent="0.35">
      <c r="A130" s="210"/>
      <c r="B130" s="211"/>
      <c r="C130" s="212"/>
      <c r="D130" s="213"/>
      <c r="E130" s="214"/>
      <c r="F130" s="214"/>
      <c r="G130" s="204" t="s">
        <v>78</v>
      </c>
      <c r="H130" s="205" t="s">
        <v>78</v>
      </c>
      <c r="I130" s="205" t="s">
        <v>78</v>
      </c>
      <c r="J130" s="205" t="s">
        <v>78</v>
      </c>
      <c r="K130" s="205" t="s">
        <v>78</v>
      </c>
      <c r="L130" s="205" t="s">
        <v>78</v>
      </c>
      <c r="M130" s="206" t="s">
        <v>78</v>
      </c>
      <c r="N130" s="275"/>
      <c r="O130" s="275"/>
      <c r="P130" s="276"/>
      <c r="Q130" s="277"/>
      <c r="R130" s="278"/>
      <c r="S130" s="279" t="s">
        <v>96</v>
      </c>
      <c r="T130" s="280"/>
      <c r="U130" s="281"/>
      <c r="V130" s="200">
        <f>$AE$11*AH130/1000</f>
        <v>0.3</v>
      </c>
      <c r="W130" s="201"/>
      <c r="X130" s="200">
        <f t="shared" si="12"/>
        <v>0.3</v>
      </c>
      <c r="Y130" s="201"/>
      <c r="Z130" s="213"/>
      <c r="AA130" s="225"/>
      <c r="AB130" s="213"/>
      <c r="AC130" s="214"/>
      <c r="AD130" s="225"/>
      <c r="AE130" s="181">
        <f>IF(V130,SUM($AK$25:AK130),0)</f>
        <v>51</v>
      </c>
      <c r="AF130" s="182"/>
      <c r="AG130" s="183"/>
      <c r="AH130" s="34">
        <v>0.2</v>
      </c>
      <c r="AI130" s="16"/>
      <c r="AJ130" s="13"/>
      <c r="AK130" s="12">
        <f t="shared" si="11"/>
        <v>1</v>
      </c>
      <c r="AL130" s="33">
        <f>V130/0.0002</f>
        <v>1499.9999999999998</v>
      </c>
      <c r="AM130" s="33"/>
      <c r="AT130" s="12"/>
    </row>
    <row r="131" spans="1:46" s="11" customFormat="1" ht="26.25" customHeight="1" x14ac:dyDescent="0.35">
      <c r="A131" s="210"/>
      <c r="B131" s="211"/>
      <c r="C131" s="212"/>
      <c r="D131" s="213"/>
      <c r="E131" s="214"/>
      <c r="F131" s="214"/>
      <c r="G131" s="204" t="s">
        <v>76</v>
      </c>
      <c r="H131" s="205" t="s">
        <v>76</v>
      </c>
      <c r="I131" s="205" t="s">
        <v>76</v>
      </c>
      <c r="J131" s="205" t="s">
        <v>76</v>
      </c>
      <c r="K131" s="205" t="s">
        <v>76</v>
      </c>
      <c r="L131" s="205" t="s">
        <v>76</v>
      </c>
      <c r="M131" s="206" t="s">
        <v>76</v>
      </c>
      <c r="N131" s="275"/>
      <c r="O131" s="275"/>
      <c r="P131" s="276"/>
      <c r="Q131" s="277"/>
      <c r="R131" s="278"/>
      <c r="S131" s="279" t="s">
        <v>96</v>
      </c>
      <c r="T131" s="280"/>
      <c r="U131" s="281"/>
      <c r="V131" s="200">
        <f>$AE$11*AH131/1000</f>
        <v>0.45</v>
      </c>
      <c r="W131" s="201"/>
      <c r="X131" s="200">
        <f t="shared" si="12"/>
        <v>0.45</v>
      </c>
      <c r="Y131" s="201"/>
      <c r="Z131" s="213"/>
      <c r="AA131" s="225"/>
      <c r="AB131" s="213"/>
      <c r="AC131" s="214"/>
      <c r="AD131" s="225"/>
      <c r="AE131" s="181">
        <f>IF(V131,SUM($AK$25:AK131),0)</f>
        <v>52</v>
      </c>
      <c r="AF131" s="182"/>
      <c r="AG131" s="183"/>
      <c r="AH131" s="34">
        <v>0.3</v>
      </c>
      <c r="AI131" s="16"/>
      <c r="AJ131" s="13"/>
      <c r="AK131" s="12">
        <f t="shared" si="11"/>
        <v>1</v>
      </c>
      <c r="AL131" s="33">
        <f>V131/0.0003</f>
        <v>1500.0000000000002</v>
      </c>
      <c r="AM131" s="33"/>
      <c r="AT131" s="12"/>
    </row>
    <row r="132" spans="1:46" s="11" customFormat="1" ht="26.25" customHeight="1" x14ac:dyDescent="0.35">
      <c r="A132" s="210"/>
      <c r="B132" s="211"/>
      <c r="C132" s="212"/>
      <c r="D132" s="213"/>
      <c r="E132" s="214"/>
      <c r="F132" s="214"/>
      <c r="G132" s="204" t="s">
        <v>74</v>
      </c>
      <c r="H132" s="205" t="s">
        <v>74</v>
      </c>
      <c r="I132" s="205" t="s">
        <v>74</v>
      </c>
      <c r="J132" s="205" t="s">
        <v>74</v>
      </c>
      <c r="K132" s="205" t="s">
        <v>74</v>
      </c>
      <c r="L132" s="205" t="s">
        <v>74</v>
      </c>
      <c r="M132" s="206" t="s">
        <v>74</v>
      </c>
      <c r="N132" s="275"/>
      <c r="O132" s="275"/>
      <c r="P132" s="276"/>
      <c r="Q132" s="277"/>
      <c r="R132" s="278"/>
      <c r="S132" s="279" t="s">
        <v>96</v>
      </c>
      <c r="T132" s="280"/>
      <c r="U132" s="281"/>
      <c r="V132" s="200">
        <f t="shared" si="13"/>
        <v>0.75</v>
      </c>
      <c r="W132" s="201"/>
      <c r="X132" s="200">
        <f t="shared" si="12"/>
        <v>0.75</v>
      </c>
      <c r="Y132" s="201"/>
      <c r="Z132" s="213"/>
      <c r="AA132" s="225"/>
      <c r="AB132" s="213"/>
      <c r="AC132" s="214"/>
      <c r="AD132" s="225"/>
      <c r="AE132" s="181">
        <f>IF(V132,SUM($AK$25:AK132),0)</f>
        <v>53</v>
      </c>
      <c r="AF132" s="182"/>
      <c r="AG132" s="183"/>
      <c r="AH132" s="34">
        <v>0.5</v>
      </c>
      <c r="AI132" s="16"/>
      <c r="AJ132" s="13"/>
      <c r="AK132" s="12">
        <f t="shared" si="11"/>
        <v>1</v>
      </c>
      <c r="AL132" s="33">
        <f>V132/0.0005</f>
        <v>1500</v>
      </c>
      <c r="AM132" s="33"/>
      <c r="AT132" s="12"/>
    </row>
    <row r="133" spans="1:46" s="11" customFormat="1" ht="27.75" customHeight="1" x14ac:dyDescent="0.35">
      <c r="A133" s="210"/>
      <c r="B133" s="211"/>
      <c r="C133" s="212"/>
      <c r="D133" s="213"/>
      <c r="E133" s="214"/>
      <c r="F133" s="214"/>
      <c r="G133" s="204" t="s">
        <v>75</v>
      </c>
      <c r="H133" s="205" t="s">
        <v>75</v>
      </c>
      <c r="I133" s="205" t="s">
        <v>75</v>
      </c>
      <c r="J133" s="205" t="s">
        <v>75</v>
      </c>
      <c r="K133" s="205" t="s">
        <v>75</v>
      </c>
      <c r="L133" s="205" t="s">
        <v>75</v>
      </c>
      <c r="M133" s="206" t="s">
        <v>75</v>
      </c>
      <c r="N133" s="275"/>
      <c r="O133" s="275"/>
      <c r="P133" s="276"/>
      <c r="Q133" s="277"/>
      <c r="R133" s="278"/>
      <c r="S133" s="279" t="s">
        <v>96</v>
      </c>
      <c r="T133" s="280"/>
      <c r="U133" s="281"/>
      <c r="V133" s="200">
        <f t="shared" si="13"/>
        <v>3</v>
      </c>
      <c r="W133" s="201"/>
      <c r="X133" s="200">
        <f t="shared" si="12"/>
        <v>3</v>
      </c>
      <c r="Y133" s="201"/>
      <c r="Z133" s="213"/>
      <c r="AA133" s="225"/>
      <c r="AB133" s="213"/>
      <c r="AC133" s="214"/>
      <c r="AD133" s="225"/>
      <c r="AE133" s="181">
        <f>IF(V133,SUM($AK$25:AK133),0)</f>
        <v>54</v>
      </c>
      <c r="AF133" s="182"/>
      <c r="AG133" s="183"/>
      <c r="AH133" s="34">
        <v>2</v>
      </c>
      <c r="AI133" s="16"/>
      <c r="AJ133" s="13"/>
      <c r="AK133" s="12">
        <f t="shared" si="11"/>
        <v>1</v>
      </c>
      <c r="AL133" s="33">
        <f>V133/0.002</f>
        <v>1500</v>
      </c>
      <c r="AM133" s="33"/>
      <c r="AT133" s="12"/>
    </row>
    <row r="134" spans="1:46" s="11" customFormat="1" ht="26.25" customHeight="1" x14ac:dyDescent="0.35">
      <c r="A134" s="210"/>
      <c r="B134" s="211"/>
      <c r="C134" s="212"/>
      <c r="D134" s="213"/>
      <c r="E134" s="214"/>
      <c r="F134" s="214"/>
      <c r="G134" s="204" t="s">
        <v>114</v>
      </c>
      <c r="H134" s="205" t="s">
        <v>243</v>
      </c>
      <c r="I134" s="205" t="s">
        <v>243</v>
      </c>
      <c r="J134" s="205" t="s">
        <v>243</v>
      </c>
      <c r="K134" s="205" t="s">
        <v>243</v>
      </c>
      <c r="L134" s="205" t="s">
        <v>243</v>
      </c>
      <c r="M134" s="206" t="s">
        <v>243</v>
      </c>
      <c r="N134" s="275"/>
      <c r="O134" s="275"/>
      <c r="P134" s="276"/>
      <c r="Q134" s="277"/>
      <c r="R134" s="278"/>
      <c r="S134" s="279" t="s">
        <v>96</v>
      </c>
      <c r="T134" s="280"/>
      <c r="U134" s="281"/>
      <c r="V134" s="200">
        <f t="shared" si="13"/>
        <v>9</v>
      </c>
      <c r="W134" s="201"/>
      <c r="X134" s="200">
        <f t="shared" si="12"/>
        <v>9</v>
      </c>
      <c r="Y134" s="201"/>
      <c r="Z134" s="213"/>
      <c r="AA134" s="225"/>
      <c r="AB134" s="213"/>
      <c r="AC134" s="214"/>
      <c r="AD134" s="225"/>
      <c r="AE134" s="181">
        <f>IF(V134,SUM($AK$25:AK134),0)</f>
        <v>55</v>
      </c>
      <c r="AF134" s="182"/>
      <c r="AG134" s="183"/>
      <c r="AH134" s="34">
        <v>6</v>
      </c>
      <c r="AI134" s="16"/>
      <c r="AJ134" s="13"/>
      <c r="AK134" s="12">
        <f t="shared" si="11"/>
        <v>1</v>
      </c>
      <c r="AL134" s="33">
        <f>V134/0.006</f>
        <v>1500</v>
      </c>
      <c r="AM134" s="33"/>
      <c r="AT134" s="12"/>
    </row>
    <row r="135" spans="1:46" s="11" customFormat="1" ht="34.5" customHeight="1" x14ac:dyDescent="0.35">
      <c r="A135" s="210"/>
      <c r="B135" s="211"/>
      <c r="C135" s="212"/>
      <c r="D135" s="213"/>
      <c r="E135" s="214"/>
      <c r="F135" s="214"/>
      <c r="G135" s="204" t="s">
        <v>88</v>
      </c>
      <c r="H135" s="205" t="s">
        <v>88</v>
      </c>
      <c r="I135" s="205" t="s">
        <v>88</v>
      </c>
      <c r="J135" s="205" t="s">
        <v>88</v>
      </c>
      <c r="K135" s="205" t="s">
        <v>88</v>
      </c>
      <c r="L135" s="205" t="s">
        <v>88</v>
      </c>
      <c r="M135" s="206" t="s">
        <v>88</v>
      </c>
      <c r="N135" s="275"/>
      <c r="O135" s="275"/>
      <c r="P135" s="276"/>
      <c r="Q135" s="277"/>
      <c r="R135" s="278"/>
      <c r="S135" s="279" t="s">
        <v>96</v>
      </c>
      <c r="T135" s="280"/>
      <c r="U135" s="281"/>
      <c r="V135" s="200">
        <f t="shared" si="13"/>
        <v>15</v>
      </c>
      <c r="W135" s="201"/>
      <c r="X135" s="200">
        <f t="shared" si="12"/>
        <v>15</v>
      </c>
      <c r="Y135" s="201"/>
      <c r="Z135" s="213"/>
      <c r="AA135" s="225"/>
      <c r="AB135" s="213"/>
      <c r="AC135" s="214"/>
      <c r="AD135" s="225"/>
      <c r="AE135" s="181">
        <f>IF(V135,SUM($AK$25:AK135),0)</f>
        <v>56</v>
      </c>
      <c r="AF135" s="182"/>
      <c r="AG135" s="183"/>
      <c r="AH135" s="34">
        <v>10</v>
      </c>
      <c r="AI135" s="16"/>
      <c r="AJ135" s="13"/>
      <c r="AK135" s="12">
        <f t="shared" si="11"/>
        <v>1</v>
      </c>
      <c r="AL135" s="33">
        <f>V135/0.002</f>
        <v>7500</v>
      </c>
      <c r="AM135" s="33"/>
      <c r="AT135" s="12"/>
    </row>
    <row r="136" spans="1:46" s="35" customFormat="1" ht="21.95" hidden="1" customHeight="1" x14ac:dyDescent="0.3">
      <c r="A136" s="230"/>
      <c r="B136" s="231"/>
      <c r="C136" s="231"/>
      <c r="D136" s="232" t="s">
        <v>42</v>
      </c>
      <c r="E136" s="232"/>
      <c r="F136" s="233"/>
      <c r="G136" s="234" t="str">
        <f>Нормы!A43</f>
        <v>Норма ОК №3 п. 3 "д" (ракетные торпедные катера)</v>
      </c>
      <c r="H136" s="235"/>
      <c r="I136" s="235"/>
      <c r="J136" s="235"/>
      <c r="K136" s="235"/>
      <c r="L136" s="235"/>
      <c r="M136" s="236"/>
      <c r="N136" s="237"/>
      <c r="O136" s="237"/>
      <c r="P136" s="238"/>
      <c r="Q136" s="239"/>
      <c r="R136" s="240"/>
      <c r="S136" s="241"/>
      <c r="T136" s="242"/>
      <c r="U136" s="243"/>
      <c r="V136" s="244"/>
      <c r="W136" s="245"/>
      <c r="X136" s="246"/>
      <c r="Y136" s="247"/>
      <c r="Z136" s="207"/>
      <c r="AA136" s="248"/>
      <c r="AB136" s="207"/>
      <c r="AC136" s="208"/>
      <c r="AD136" s="248"/>
      <c r="AE136" s="207">
        <f>IF(V136,SUM($AK$25:AK136),0)</f>
        <v>0</v>
      </c>
      <c r="AF136" s="208"/>
      <c r="AG136" s="209"/>
      <c r="AH136" s="36"/>
      <c r="AI136" s="37"/>
      <c r="AJ136" s="37"/>
      <c r="AK136" s="35">
        <f t="shared" si="11"/>
        <v>0</v>
      </c>
      <c r="AL136" s="38">
        <f>V136/0.006</f>
        <v>0</v>
      </c>
      <c r="AM136" s="38"/>
    </row>
    <row r="137" spans="1:46" s="11" customFormat="1" ht="21.95" hidden="1" customHeight="1" x14ac:dyDescent="0.3">
      <c r="A137" s="210"/>
      <c r="B137" s="211"/>
      <c r="C137" s="212"/>
      <c r="D137" s="213"/>
      <c r="E137" s="214"/>
      <c r="F137" s="214"/>
      <c r="G137" s="215"/>
      <c r="H137" s="216"/>
      <c r="I137" s="216"/>
      <c r="J137" s="216"/>
      <c r="K137" s="216"/>
      <c r="L137" s="216"/>
      <c r="M137" s="217"/>
      <c r="N137" s="218"/>
      <c r="O137" s="218"/>
      <c r="P137" s="219"/>
      <c r="Q137" s="220"/>
      <c r="R137" s="221"/>
      <c r="S137" s="222"/>
      <c r="T137" s="223"/>
      <c r="U137" s="224"/>
      <c r="V137" s="196"/>
      <c r="W137" s="197"/>
      <c r="X137" s="196">
        <f>V137</f>
        <v>0</v>
      </c>
      <c r="Y137" s="197"/>
      <c r="Z137" s="213"/>
      <c r="AA137" s="225"/>
      <c r="AB137" s="213"/>
      <c r="AC137" s="214"/>
      <c r="AD137" s="225"/>
      <c r="AE137" s="181">
        <f>IF(V137,SUM($AK$25:AK137),0)</f>
        <v>0</v>
      </c>
      <c r="AF137" s="182"/>
      <c r="AG137" s="183"/>
      <c r="AH137" s="34"/>
      <c r="AI137" s="16"/>
      <c r="AJ137" s="13"/>
      <c r="AK137" s="12">
        <f t="shared" si="11"/>
        <v>0</v>
      </c>
      <c r="AL137" s="33"/>
      <c r="AM137" s="33"/>
      <c r="AT137" s="12"/>
    </row>
    <row r="138" spans="1:46" s="11" customFormat="1" ht="21.95" hidden="1" customHeight="1" x14ac:dyDescent="0.2">
      <c r="A138" s="210"/>
      <c r="B138" s="211"/>
      <c r="C138" s="212"/>
      <c r="D138" s="213"/>
      <c r="E138" s="214"/>
      <c r="F138" s="214"/>
      <c r="G138" s="215"/>
      <c r="H138" s="216"/>
      <c r="I138" s="216"/>
      <c r="J138" s="216"/>
      <c r="K138" s="216"/>
      <c r="L138" s="216"/>
      <c r="M138" s="217"/>
      <c r="N138" s="218"/>
      <c r="O138" s="218"/>
      <c r="P138" s="219"/>
      <c r="Q138" s="220"/>
      <c r="R138" s="221"/>
      <c r="S138" s="222"/>
      <c r="T138" s="223"/>
      <c r="U138" s="224"/>
      <c r="V138" s="196"/>
      <c r="W138" s="197"/>
      <c r="X138" s="196">
        <f t="shared" ref="X138:X144" si="15">V138</f>
        <v>0</v>
      </c>
      <c r="Y138" s="197"/>
      <c r="Z138" s="213"/>
      <c r="AA138" s="225"/>
      <c r="AB138" s="213"/>
      <c r="AC138" s="214"/>
      <c r="AD138" s="225"/>
      <c r="AE138" s="181">
        <f>IF(V138,SUM($AK$25:AK138),0)</f>
        <v>0</v>
      </c>
      <c r="AF138" s="182"/>
      <c r="AG138" s="183"/>
      <c r="AH138" s="34"/>
      <c r="AI138" s="16"/>
      <c r="AJ138" s="13"/>
      <c r="AK138" s="12">
        <f t="shared" si="11"/>
        <v>0</v>
      </c>
      <c r="AT138" s="12"/>
    </row>
    <row r="139" spans="1:46" s="11" customFormat="1" ht="21.95" hidden="1" customHeight="1" x14ac:dyDescent="0.2">
      <c r="A139" s="210"/>
      <c r="B139" s="211"/>
      <c r="C139" s="212"/>
      <c r="D139" s="213"/>
      <c r="E139" s="214"/>
      <c r="F139" s="214"/>
      <c r="G139" s="215"/>
      <c r="H139" s="216"/>
      <c r="I139" s="216"/>
      <c r="J139" s="216"/>
      <c r="K139" s="216"/>
      <c r="L139" s="216"/>
      <c r="M139" s="217"/>
      <c r="N139" s="218"/>
      <c r="O139" s="218"/>
      <c r="P139" s="219"/>
      <c r="Q139" s="220"/>
      <c r="R139" s="221"/>
      <c r="S139" s="222"/>
      <c r="T139" s="223"/>
      <c r="U139" s="224"/>
      <c r="V139" s="196"/>
      <c r="W139" s="197"/>
      <c r="X139" s="196">
        <f t="shared" si="15"/>
        <v>0</v>
      </c>
      <c r="Y139" s="197"/>
      <c r="Z139" s="213"/>
      <c r="AA139" s="225"/>
      <c r="AB139" s="213"/>
      <c r="AC139" s="214"/>
      <c r="AD139" s="225"/>
      <c r="AE139" s="181">
        <f>IF(V139,SUM($AK$25:AK139),0)</f>
        <v>0</v>
      </c>
      <c r="AF139" s="182"/>
      <c r="AG139" s="183"/>
      <c r="AH139" s="34"/>
      <c r="AI139" s="16"/>
      <c r="AJ139" s="13"/>
      <c r="AK139" s="12">
        <f t="shared" si="11"/>
        <v>0</v>
      </c>
      <c r="AT139" s="12"/>
    </row>
    <row r="140" spans="1:46" s="11" customFormat="1" ht="21.95" hidden="1" customHeight="1" x14ac:dyDescent="0.2">
      <c r="A140" s="210"/>
      <c r="B140" s="211"/>
      <c r="C140" s="212"/>
      <c r="D140" s="213"/>
      <c r="E140" s="214"/>
      <c r="F140" s="214"/>
      <c r="G140" s="215"/>
      <c r="H140" s="216"/>
      <c r="I140" s="216"/>
      <c r="J140" s="216"/>
      <c r="K140" s="216"/>
      <c r="L140" s="216"/>
      <c r="M140" s="217"/>
      <c r="N140" s="218"/>
      <c r="O140" s="218"/>
      <c r="P140" s="219"/>
      <c r="Q140" s="220"/>
      <c r="R140" s="221"/>
      <c r="S140" s="222"/>
      <c r="T140" s="223"/>
      <c r="U140" s="224"/>
      <c r="V140" s="196"/>
      <c r="W140" s="197"/>
      <c r="X140" s="196">
        <f t="shared" si="15"/>
        <v>0</v>
      </c>
      <c r="Y140" s="197"/>
      <c r="Z140" s="213"/>
      <c r="AA140" s="225"/>
      <c r="AB140" s="213"/>
      <c r="AC140" s="214"/>
      <c r="AD140" s="225"/>
      <c r="AE140" s="181">
        <f>IF(V140,SUM($AK$25:AK140),0)</f>
        <v>0</v>
      </c>
      <c r="AF140" s="182"/>
      <c r="AG140" s="183"/>
      <c r="AH140" s="34"/>
      <c r="AI140" s="16"/>
      <c r="AJ140" s="13"/>
      <c r="AK140" s="12">
        <f t="shared" si="11"/>
        <v>0</v>
      </c>
      <c r="AT140" s="12"/>
    </row>
    <row r="141" spans="1:46" s="11" customFormat="1" ht="21.95" hidden="1" customHeight="1" x14ac:dyDescent="0.2">
      <c r="A141" s="210"/>
      <c r="B141" s="211"/>
      <c r="C141" s="212"/>
      <c r="D141" s="213"/>
      <c r="E141" s="214"/>
      <c r="F141" s="214"/>
      <c r="G141" s="215"/>
      <c r="H141" s="216"/>
      <c r="I141" s="216"/>
      <c r="J141" s="216"/>
      <c r="K141" s="216"/>
      <c r="L141" s="216"/>
      <c r="M141" s="217"/>
      <c r="N141" s="218"/>
      <c r="O141" s="218"/>
      <c r="P141" s="219"/>
      <c r="Q141" s="220"/>
      <c r="R141" s="221"/>
      <c r="S141" s="222"/>
      <c r="T141" s="223"/>
      <c r="U141" s="224"/>
      <c r="V141" s="196"/>
      <c r="W141" s="197"/>
      <c r="X141" s="196">
        <f t="shared" si="15"/>
        <v>0</v>
      </c>
      <c r="Y141" s="197"/>
      <c r="Z141" s="213"/>
      <c r="AA141" s="225"/>
      <c r="AB141" s="213"/>
      <c r="AC141" s="214"/>
      <c r="AD141" s="225"/>
      <c r="AE141" s="181">
        <f>IF(V141,SUM($AK$25:AK141),0)</f>
        <v>0</v>
      </c>
      <c r="AF141" s="182"/>
      <c r="AG141" s="183"/>
      <c r="AH141" s="34"/>
      <c r="AI141" s="16"/>
      <c r="AJ141" s="13"/>
      <c r="AK141" s="12">
        <f t="shared" si="11"/>
        <v>0</v>
      </c>
      <c r="AT141" s="12"/>
    </row>
    <row r="142" spans="1:46" s="11" customFormat="1" ht="21.95" hidden="1" customHeight="1" x14ac:dyDescent="0.2">
      <c r="A142" s="210"/>
      <c r="B142" s="211"/>
      <c r="C142" s="212"/>
      <c r="D142" s="213"/>
      <c r="E142" s="214"/>
      <c r="F142" s="214"/>
      <c r="G142" s="215"/>
      <c r="H142" s="216"/>
      <c r="I142" s="216"/>
      <c r="J142" s="216"/>
      <c r="K142" s="216"/>
      <c r="L142" s="216"/>
      <c r="M142" s="217"/>
      <c r="N142" s="218"/>
      <c r="O142" s="218"/>
      <c r="P142" s="219"/>
      <c r="Q142" s="220"/>
      <c r="R142" s="221"/>
      <c r="S142" s="222"/>
      <c r="T142" s="223"/>
      <c r="U142" s="224"/>
      <c r="V142" s="196"/>
      <c r="W142" s="197"/>
      <c r="X142" s="196">
        <f t="shared" si="15"/>
        <v>0</v>
      </c>
      <c r="Y142" s="197"/>
      <c r="Z142" s="213"/>
      <c r="AA142" s="225"/>
      <c r="AB142" s="213"/>
      <c r="AC142" s="214"/>
      <c r="AD142" s="225"/>
      <c r="AE142" s="181">
        <f>IF(V142,SUM($AK$25:AK142),0)</f>
        <v>0</v>
      </c>
      <c r="AF142" s="182"/>
      <c r="AG142" s="183"/>
      <c r="AH142" s="34"/>
      <c r="AI142" s="16"/>
      <c r="AJ142" s="13"/>
      <c r="AK142" s="12">
        <f t="shared" si="11"/>
        <v>0</v>
      </c>
      <c r="AT142" s="12"/>
    </row>
    <row r="143" spans="1:46" s="11" customFormat="1" ht="21.95" hidden="1" customHeight="1" x14ac:dyDescent="0.2">
      <c r="A143" s="210"/>
      <c r="B143" s="211"/>
      <c r="C143" s="212"/>
      <c r="D143" s="213"/>
      <c r="E143" s="214"/>
      <c r="F143" s="214"/>
      <c r="G143" s="215"/>
      <c r="H143" s="216"/>
      <c r="I143" s="216"/>
      <c r="J143" s="216"/>
      <c r="K143" s="216"/>
      <c r="L143" s="216"/>
      <c r="M143" s="217"/>
      <c r="N143" s="218"/>
      <c r="O143" s="218"/>
      <c r="P143" s="219"/>
      <c r="Q143" s="220"/>
      <c r="R143" s="221"/>
      <c r="S143" s="222"/>
      <c r="T143" s="223"/>
      <c r="U143" s="224"/>
      <c r="V143" s="196"/>
      <c r="W143" s="197"/>
      <c r="X143" s="196">
        <f t="shared" si="15"/>
        <v>0</v>
      </c>
      <c r="Y143" s="197"/>
      <c r="Z143" s="213"/>
      <c r="AA143" s="225"/>
      <c r="AB143" s="213"/>
      <c r="AC143" s="214"/>
      <c r="AD143" s="225"/>
      <c r="AE143" s="181">
        <f>IF(V143,SUM($AK$25:AK143),0)</f>
        <v>0</v>
      </c>
      <c r="AF143" s="182"/>
      <c r="AG143" s="183"/>
      <c r="AH143" s="34"/>
      <c r="AI143" s="16"/>
      <c r="AJ143" s="13"/>
      <c r="AK143" s="12">
        <f t="shared" si="11"/>
        <v>0</v>
      </c>
      <c r="AT143" s="12"/>
    </row>
    <row r="144" spans="1:46" s="11" customFormat="1" ht="21.95" hidden="1" customHeight="1" x14ac:dyDescent="0.2">
      <c r="A144" s="210"/>
      <c r="B144" s="211"/>
      <c r="C144" s="212"/>
      <c r="D144" s="213"/>
      <c r="E144" s="214"/>
      <c r="F144" s="214"/>
      <c r="G144" s="215"/>
      <c r="H144" s="216"/>
      <c r="I144" s="216"/>
      <c r="J144" s="216"/>
      <c r="K144" s="216"/>
      <c r="L144" s="216"/>
      <c r="M144" s="217"/>
      <c r="N144" s="218"/>
      <c r="O144" s="218"/>
      <c r="P144" s="219"/>
      <c r="Q144" s="220"/>
      <c r="R144" s="221"/>
      <c r="S144" s="222"/>
      <c r="T144" s="223"/>
      <c r="U144" s="224"/>
      <c r="V144" s="196"/>
      <c r="W144" s="197"/>
      <c r="X144" s="196">
        <f t="shared" si="15"/>
        <v>0</v>
      </c>
      <c r="Y144" s="197"/>
      <c r="Z144" s="213"/>
      <c r="AA144" s="225"/>
      <c r="AB144" s="213"/>
      <c r="AC144" s="214"/>
      <c r="AD144" s="225"/>
      <c r="AE144" s="181">
        <f>IF(V144,SUM($AK$25:AK144),0)</f>
        <v>0</v>
      </c>
      <c r="AF144" s="182"/>
      <c r="AG144" s="183"/>
      <c r="AH144" s="34"/>
      <c r="AI144" s="16"/>
      <c r="AJ144" s="13"/>
      <c r="AK144" s="12">
        <f t="shared" si="11"/>
        <v>0</v>
      </c>
      <c r="AT144" s="12"/>
    </row>
    <row r="145" spans="1:46" s="35" customFormat="1" ht="21.95" customHeight="1" x14ac:dyDescent="0.3">
      <c r="A145" s="230"/>
      <c r="B145" s="231"/>
      <c r="C145" s="231"/>
      <c r="D145" s="249" t="s">
        <v>42</v>
      </c>
      <c r="E145" s="249"/>
      <c r="F145" s="250"/>
      <c r="G145" s="251" t="s">
        <v>159</v>
      </c>
      <c r="H145" s="252"/>
      <c r="I145" s="252"/>
      <c r="J145" s="252"/>
      <c r="K145" s="252"/>
      <c r="L145" s="252"/>
      <c r="M145" s="253"/>
      <c r="N145" s="254"/>
      <c r="O145" s="254"/>
      <c r="P145" s="255"/>
      <c r="Q145" s="256"/>
      <c r="R145" s="257"/>
      <c r="S145" s="258"/>
      <c r="T145" s="259"/>
      <c r="U145" s="260"/>
      <c r="V145" s="261">
        <v>1</v>
      </c>
      <c r="W145" s="262"/>
      <c r="X145" s="263"/>
      <c r="Y145" s="264"/>
      <c r="Z145" s="207"/>
      <c r="AA145" s="248"/>
      <c r="AB145" s="207"/>
      <c r="AC145" s="208"/>
      <c r="AD145" s="248"/>
      <c r="AE145" s="207">
        <f>IF(V145,SUM($AK$25:AK145),0)</f>
        <v>57</v>
      </c>
      <c r="AF145" s="208"/>
      <c r="AG145" s="209"/>
      <c r="AH145" s="36"/>
      <c r="AI145" s="37"/>
      <c r="AJ145" s="37"/>
      <c r="AK145" s="35">
        <f t="shared" si="11"/>
        <v>1</v>
      </c>
      <c r="AL145" s="33">
        <f t="shared" ref="AL145:AL146" si="16">V145/0.006</f>
        <v>166.66666666666666</v>
      </c>
    </row>
    <row r="146" spans="1:46" s="11" customFormat="1" ht="21.95" hidden="1" customHeight="1" x14ac:dyDescent="0.3">
      <c r="A146" s="210"/>
      <c r="B146" s="211"/>
      <c r="C146" s="212"/>
      <c r="D146" s="213"/>
      <c r="E146" s="214"/>
      <c r="F146" s="214"/>
      <c r="G146" s="265" t="s">
        <v>273</v>
      </c>
      <c r="H146" s="266"/>
      <c r="I146" s="266"/>
      <c r="J146" s="266"/>
      <c r="K146" s="266"/>
      <c r="L146" s="266"/>
      <c r="M146" s="267"/>
      <c r="N146" s="268"/>
      <c r="O146" s="268"/>
      <c r="P146" s="269"/>
      <c r="Q146" s="270"/>
      <c r="R146" s="271"/>
      <c r="S146" s="272" t="s">
        <v>97</v>
      </c>
      <c r="T146" s="273"/>
      <c r="U146" s="274"/>
      <c r="V146" s="189">
        <f>AH146*AE12</f>
        <v>0</v>
      </c>
      <c r="W146" s="190"/>
      <c r="X146" s="189">
        <f>V146</f>
        <v>0</v>
      </c>
      <c r="Y146" s="190"/>
      <c r="Z146" s="213"/>
      <c r="AA146" s="225"/>
      <c r="AB146" s="213"/>
      <c r="AC146" s="214"/>
      <c r="AD146" s="225"/>
      <c r="AE146" s="181">
        <f>IF(V146,SUM($AK$25:AK146),0)</f>
        <v>0</v>
      </c>
      <c r="AF146" s="182"/>
      <c r="AG146" s="183"/>
      <c r="AH146" s="34">
        <v>0.5</v>
      </c>
      <c r="AI146" s="16"/>
      <c r="AJ146" s="13"/>
      <c r="AK146" s="12">
        <f t="shared" si="11"/>
        <v>0</v>
      </c>
      <c r="AL146" s="33">
        <f t="shared" si="16"/>
        <v>0</v>
      </c>
      <c r="AT146" s="12"/>
    </row>
    <row r="147" spans="1:46" s="11" customFormat="1" ht="21.95" hidden="1" customHeight="1" x14ac:dyDescent="0.2">
      <c r="A147" s="210"/>
      <c r="B147" s="211"/>
      <c r="C147" s="212"/>
      <c r="D147" s="213"/>
      <c r="E147" s="214"/>
      <c r="F147" s="214"/>
      <c r="G147" s="215"/>
      <c r="H147" s="216"/>
      <c r="I147" s="216"/>
      <c r="J147" s="216"/>
      <c r="K147" s="216"/>
      <c r="L147" s="216"/>
      <c r="M147" s="217"/>
      <c r="N147" s="218"/>
      <c r="O147" s="218"/>
      <c r="P147" s="219"/>
      <c r="Q147" s="220"/>
      <c r="R147" s="221"/>
      <c r="S147" s="222"/>
      <c r="T147" s="223"/>
      <c r="U147" s="224"/>
      <c r="V147" s="196"/>
      <c r="W147" s="197"/>
      <c r="X147" s="196"/>
      <c r="Y147" s="197"/>
      <c r="Z147" s="213"/>
      <c r="AA147" s="225"/>
      <c r="AB147" s="213"/>
      <c r="AC147" s="214"/>
      <c r="AD147" s="225"/>
      <c r="AE147" s="181">
        <f>IF(V147,SUM($AK$25:AK147),0)</f>
        <v>0</v>
      </c>
      <c r="AF147" s="182"/>
      <c r="AG147" s="183"/>
      <c r="AH147" s="34"/>
      <c r="AI147" s="16"/>
      <c r="AJ147" s="13"/>
      <c r="AK147" s="12">
        <f t="shared" si="11"/>
        <v>0</v>
      </c>
      <c r="AT147" s="12"/>
    </row>
    <row r="148" spans="1:46" s="11" customFormat="1" ht="21.95" hidden="1" customHeight="1" x14ac:dyDescent="0.2">
      <c r="A148" s="210"/>
      <c r="B148" s="211"/>
      <c r="C148" s="212"/>
      <c r="D148" s="213"/>
      <c r="E148" s="214"/>
      <c r="F148" s="214"/>
      <c r="G148" s="215"/>
      <c r="H148" s="216"/>
      <c r="I148" s="216"/>
      <c r="J148" s="216"/>
      <c r="K148" s="216"/>
      <c r="L148" s="216"/>
      <c r="M148" s="217"/>
      <c r="N148" s="218"/>
      <c r="O148" s="218"/>
      <c r="P148" s="219"/>
      <c r="Q148" s="220"/>
      <c r="R148" s="221"/>
      <c r="S148" s="222"/>
      <c r="T148" s="223"/>
      <c r="U148" s="224"/>
      <c r="V148" s="196"/>
      <c r="W148" s="197"/>
      <c r="X148" s="196"/>
      <c r="Y148" s="197"/>
      <c r="Z148" s="213"/>
      <c r="AA148" s="225"/>
      <c r="AB148" s="213"/>
      <c r="AC148" s="214"/>
      <c r="AD148" s="225"/>
      <c r="AE148" s="181">
        <f>IF(V148,SUM($AK$25:AK148),0)</f>
        <v>0</v>
      </c>
      <c r="AF148" s="182"/>
      <c r="AG148" s="183"/>
      <c r="AH148" s="34"/>
      <c r="AI148" s="16"/>
      <c r="AJ148" s="13"/>
      <c r="AK148" s="12">
        <f t="shared" si="11"/>
        <v>0</v>
      </c>
      <c r="AT148" s="12"/>
    </row>
    <row r="149" spans="1:46" s="35" customFormat="1" ht="21.95" customHeight="1" x14ac:dyDescent="0.3">
      <c r="A149" s="230"/>
      <c r="B149" s="231"/>
      <c r="C149" s="231"/>
      <c r="D149" s="249" t="s">
        <v>42</v>
      </c>
      <c r="E149" s="249"/>
      <c r="F149" s="250"/>
      <c r="G149" s="251" t="str">
        <f>Нормы!A47</f>
        <v>Норма ОК №3 п.п.6 (карамель)</v>
      </c>
      <c r="H149" s="252"/>
      <c r="I149" s="252"/>
      <c r="J149" s="252"/>
      <c r="K149" s="252"/>
      <c r="L149" s="252"/>
      <c r="M149" s="253"/>
      <c r="N149" s="254"/>
      <c r="O149" s="254"/>
      <c r="P149" s="255"/>
      <c r="Q149" s="256"/>
      <c r="R149" s="257"/>
      <c r="S149" s="258"/>
      <c r="T149" s="259"/>
      <c r="U149" s="260"/>
      <c r="V149" s="261">
        <v>1</v>
      </c>
      <c r="W149" s="262"/>
      <c r="X149" s="263"/>
      <c r="Y149" s="264"/>
      <c r="Z149" s="207"/>
      <c r="AA149" s="248"/>
      <c r="AB149" s="207"/>
      <c r="AC149" s="208"/>
      <c r="AD149" s="248"/>
      <c r="AE149" s="207">
        <f>IF(V149,SUM($AK$25:AK149),0)</f>
        <v>58</v>
      </c>
      <c r="AF149" s="208"/>
      <c r="AG149" s="209"/>
      <c r="AH149" s="36"/>
      <c r="AI149" s="37"/>
      <c r="AJ149" s="37"/>
      <c r="AK149" s="35">
        <f t="shared" si="11"/>
        <v>1</v>
      </c>
      <c r="AL149" s="33">
        <f>V149/0.006</f>
        <v>166.66666666666666</v>
      </c>
    </row>
    <row r="150" spans="1:46" s="11" customFormat="1" ht="21.95" hidden="1" customHeight="1" x14ac:dyDescent="0.2">
      <c r="A150" s="210"/>
      <c r="B150" s="211"/>
      <c r="C150" s="212"/>
      <c r="D150" s="213"/>
      <c r="E150" s="214"/>
      <c r="F150" s="214"/>
      <c r="G150" s="215" t="s">
        <v>88</v>
      </c>
      <c r="H150" s="216"/>
      <c r="I150" s="216"/>
      <c r="J150" s="216"/>
      <c r="K150" s="216"/>
      <c r="L150" s="216"/>
      <c r="M150" s="217"/>
      <c r="N150" s="218"/>
      <c r="O150" s="218"/>
      <c r="P150" s="219"/>
      <c r="Q150" s="220"/>
      <c r="R150" s="221"/>
      <c r="S150" s="222"/>
      <c r="T150" s="223"/>
      <c r="U150" s="224"/>
      <c r="V150" s="196">
        <f>AH150*AE13</f>
        <v>0</v>
      </c>
      <c r="W150" s="197"/>
      <c r="X150" s="196">
        <f>V150</f>
        <v>0</v>
      </c>
      <c r="Y150" s="197"/>
      <c r="Z150" s="213"/>
      <c r="AA150" s="225"/>
      <c r="AB150" s="213"/>
      <c r="AC150" s="214"/>
      <c r="AD150" s="225"/>
      <c r="AE150" s="181">
        <f>IF(V150,SUM($AK$25:AK150),0)</f>
        <v>0</v>
      </c>
      <c r="AF150" s="182"/>
      <c r="AG150" s="183"/>
      <c r="AH150" s="34">
        <v>0.2</v>
      </c>
      <c r="AI150" s="16"/>
      <c r="AJ150" s="13"/>
      <c r="AK150" s="12">
        <f t="shared" si="11"/>
        <v>0</v>
      </c>
      <c r="AT150" s="12"/>
    </row>
    <row r="151" spans="1:46" s="11" customFormat="1" ht="21.95" hidden="1" customHeight="1" x14ac:dyDescent="0.2">
      <c r="A151" s="210"/>
      <c r="B151" s="211"/>
      <c r="C151" s="212"/>
      <c r="D151" s="213"/>
      <c r="E151" s="214"/>
      <c r="F151" s="214"/>
      <c r="G151" s="215"/>
      <c r="H151" s="216"/>
      <c r="I151" s="216"/>
      <c r="J151" s="216"/>
      <c r="K151" s="216"/>
      <c r="L151" s="216"/>
      <c r="M151" s="217"/>
      <c r="N151" s="218"/>
      <c r="O151" s="218"/>
      <c r="P151" s="219"/>
      <c r="Q151" s="220"/>
      <c r="R151" s="221"/>
      <c r="S151" s="222"/>
      <c r="T151" s="223"/>
      <c r="U151" s="224"/>
      <c r="V151" s="196"/>
      <c r="W151" s="197"/>
      <c r="X151" s="196">
        <f t="shared" ref="X151:X152" si="17">V151</f>
        <v>0</v>
      </c>
      <c r="Y151" s="197"/>
      <c r="Z151" s="213"/>
      <c r="AA151" s="225"/>
      <c r="AB151" s="213"/>
      <c r="AC151" s="214"/>
      <c r="AD151" s="225"/>
      <c r="AE151" s="181">
        <f>IF(V151,SUM($AK$25:AK151),0)</f>
        <v>0</v>
      </c>
      <c r="AF151" s="182"/>
      <c r="AG151" s="183"/>
      <c r="AH151" s="34"/>
      <c r="AI151" s="16"/>
      <c r="AJ151" s="13"/>
      <c r="AK151" s="12">
        <f t="shared" si="11"/>
        <v>0</v>
      </c>
      <c r="AT151" s="12"/>
    </row>
    <row r="152" spans="1:46" s="11" customFormat="1" ht="21.95" hidden="1" customHeight="1" x14ac:dyDescent="0.2">
      <c r="A152" s="210"/>
      <c r="B152" s="211"/>
      <c r="C152" s="212"/>
      <c r="D152" s="213"/>
      <c r="E152" s="214"/>
      <c r="F152" s="214"/>
      <c r="G152" s="215"/>
      <c r="H152" s="216"/>
      <c r="I152" s="216"/>
      <c r="J152" s="216"/>
      <c r="K152" s="216"/>
      <c r="L152" s="216"/>
      <c r="M152" s="217"/>
      <c r="N152" s="218"/>
      <c r="O152" s="218"/>
      <c r="P152" s="219"/>
      <c r="Q152" s="220"/>
      <c r="R152" s="221"/>
      <c r="S152" s="222"/>
      <c r="T152" s="223"/>
      <c r="U152" s="224"/>
      <c r="V152" s="196"/>
      <c r="W152" s="197"/>
      <c r="X152" s="196">
        <f t="shared" si="17"/>
        <v>0</v>
      </c>
      <c r="Y152" s="197"/>
      <c r="Z152" s="213"/>
      <c r="AA152" s="225"/>
      <c r="AB152" s="213"/>
      <c r="AC152" s="214"/>
      <c r="AD152" s="225"/>
      <c r="AE152" s="181">
        <f>IF(V152,SUM($AK$25:AK152),0)</f>
        <v>0</v>
      </c>
      <c r="AF152" s="182"/>
      <c r="AG152" s="183"/>
      <c r="AH152" s="34"/>
      <c r="AI152" s="16"/>
      <c r="AJ152" s="13"/>
      <c r="AK152" s="12">
        <f t="shared" si="11"/>
        <v>0</v>
      </c>
      <c r="AT152" s="12"/>
    </row>
    <row r="153" spans="1:46" s="35" customFormat="1" ht="21.95" hidden="1" customHeight="1" x14ac:dyDescent="0.2">
      <c r="A153" s="230"/>
      <c r="B153" s="231"/>
      <c r="C153" s="231"/>
      <c r="D153" s="232" t="s">
        <v>42</v>
      </c>
      <c r="E153" s="232"/>
      <c r="F153" s="233"/>
      <c r="G153" s="234" t="str">
        <f>Нормы!A40</f>
        <v>Норма ОК 3 п. 3 "б" (выход в море)</v>
      </c>
      <c r="H153" s="235"/>
      <c r="I153" s="235"/>
      <c r="J153" s="235"/>
      <c r="K153" s="235"/>
      <c r="L153" s="235"/>
      <c r="M153" s="236"/>
      <c r="N153" s="237"/>
      <c r="O153" s="237"/>
      <c r="P153" s="238"/>
      <c r="Q153" s="239"/>
      <c r="R153" s="240"/>
      <c r="S153" s="241"/>
      <c r="T153" s="242"/>
      <c r="U153" s="243"/>
      <c r="V153" s="244"/>
      <c r="W153" s="245"/>
      <c r="X153" s="246"/>
      <c r="Y153" s="247"/>
      <c r="Z153" s="207"/>
      <c r="AA153" s="248"/>
      <c r="AB153" s="207"/>
      <c r="AC153" s="208"/>
      <c r="AD153" s="248"/>
      <c r="AE153" s="207">
        <f>IF(V153,SUM($AK$25:AK153),0)</f>
        <v>0</v>
      </c>
      <c r="AF153" s="208"/>
      <c r="AG153" s="209"/>
      <c r="AH153" s="36"/>
      <c r="AI153" s="37"/>
      <c r="AJ153" s="37"/>
      <c r="AK153" s="35">
        <f t="shared" si="11"/>
        <v>0</v>
      </c>
    </row>
    <row r="154" spans="1:46" s="11" customFormat="1" ht="21.95" hidden="1" customHeight="1" x14ac:dyDescent="0.3">
      <c r="A154" s="210"/>
      <c r="B154" s="211"/>
      <c r="C154" s="212"/>
      <c r="D154" s="213"/>
      <c r="E154" s="214"/>
      <c r="F154" s="214"/>
      <c r="G154" s="215" t="s">
        <v>253</v>
      </c>
      <c r="H154" s="216"/>
      <c r="I154" s="216"/>
      <c r="J154" s="216"/>
      <c r="K154" s="216"/>
      <c r="L154" s="216"/>
      <c r="M154" s="217"/>
      <c r="N154" s="218"/>
      <c r="O154" s="218"/>
      <c r="P154" s="219"/>
      <c r="Q154" s="220"/>
      <c r="R154" s="221"/>
      <c r="S154" s="222" t="s">
        <v>96</v>
      </c>
      <c r="T154" s="223"/>
      <c r="U154" s="224"/>
      <c r="V154" s="196">
        <v>0</v>
      </c>
      <c r="W154" s="197"/>
      <c r="X154" s="196">
        <f>V154</f>
        <v>0</v>
      </c>
      <c r="Y154" s="197"/>
      <c r="Z154" s="213"/>
      <c r="AA154" s="225"/>
      <c r="AB154" s="213"/>
      <c r="AC154" s="214"/>
      <c r="AD154" s="225"/>
      <c r="AE154" s="181">
        <f>IF(V154,SUM($AK$25:AK154),0)</f>
        <v>0</v>
      </c>
      <c r="AF154" s="182"/>
      <c r="AG154" s="183"/>
      <c r="AH154" s="127">
        <v>20</v>
      </c>
      <c r="AI154" s="16"/>
      <c r="AJ154" s="13"/>
      <c r="AK154" s="12">
        <f t="shared" ref="AK154:AK175" si="18">IF(V154,1,0)</f>
        <v>0</v>
      </c>
      <c r="AL154" s="33">
        <f t="shared" ref="AL154:AL158" si="19">V154/0.006</f>
        <v>0</v>
      </c>
      <c r="AT154" s="12"/>
    </row>
    <row r="155" spans="1:46" s="11" customFormat="1" ht="21.95" hidden="1" customHeight="1" x14ac:dyDescent="0.3">
      <c r="A155" s="210"/>
      <c r="B155" s="211"/>
      <c r="C155" s="212"/>
      <c r="D155" s="213"/>
      <c r="E155" s="214"/>
      <c r="F155" s="214"/>
      <c r="G155" s="215" t="s">
        <v>193</v>
      </c>
      <c r="H155" s="216"/>
      <c r="I155" s="216"/>
      <c r="J155" s="216"/>
      <c r="K155" s="216"/>
      <c r="L155" s="216"/>
      <c r="M155" s="217"/>
      <c r="N155" s="218"/>
      <c r="O155" s="218"/>
      <c r="P155" s="219"/>
      <c r="Q155" s="220"/>
      <c r="R155" s="221"/>
      <c r="S155" s="222" t="s">
        <v>96</v>
      </c>
      <c r="T155" s="223"/>
      <c r="U155" s="224"/>
      <c r="V155" s="196">
        <v>0</v>
      </c>
      <c r="W155" s="197"/>
      <c r="X155" s="196">
        <f t="shared" ref="X155:X163" si="20">V155</f>
        <v>0</v>
      </c>
      <c r="Y155" s="197"/>
      <c r="Z155" s="213"/>
      <c r="AA155" s="225"/>
      <c r="AB155" s="213"/>
      <c r="AC155" s="214"/>
      <c r="AD155" s="225"/>
      <c r="AE155" s="181">
        <f>IF(V155,SUM($AK$25:AK155),0)</f>
        <v>0</v>
      </c>
      <c r="AF155" s="182"/>
      <c r="AG155" s="183"/>
      <c r="AH155" s="127">
        <v>12.5</v>
      </c>
      <c r="AI155" s="16"/>
      <c r="AJ155" s="13"/>
      <c r="AK155" s="12">
        <f t="shared" si="18"/>
        <v>0</v>
      </c>
      <c r="AL155" s="33">
        <f t="shared" si="19"/>
        <v>0</v>
      </c>
      <c r="AT155" s="12"/>
    </row>
    <row r="156" spans="1:46" s="11" customFormat="1" ht="21.95" hidden="1" customHeight="1" x14ac:dyDescent="0.3">
      <c r="A156" s="210"/>
      <c r="B156" s="211"/>
      <c r="C156" s="212"/>
      <c r="D156" s="213"/>
      <c r="E156" s="214"/>
      <c r="F156" s="214"/>
      <c r="G156" s="215" t="s">
        <v>116</v>
      </c>
      <c r="H156" s="216"/>
      <c r="I156" s="216"/>
      <c r="J156" s="216"/>
      <c r="K156" s="216"/>
      <c r="L156" s="216"/>
      <c r="M156" s="217"/>
      <c r="N156" s="218"/>
      <c r="O156" s="218"/>
      <c r="P156" s="219"/>
      <c r="Q156" s="220"/>
      <c r="R156" s="221"/>
      <c r="S156" s="222" t="s">
        <v>96</v>
      </c>
      <c r="T156" s="223"/>
      <c r="U156" s="224"/>
      <c r="V156" s="196">
        <v>0</v>
      </c>
      <c r="W156" s="197"/>
      <c r="X156" s="196">
        <f t="shared" si="20"/>
        <v>0</v>
      </c>
      <c r="Y156" s="197"/>
      <c r="Z156" s="213"/>
      <c r="AA156" s="225"/>
      <c r="AB156" s="213"/>
      <c r="AC156" s="214"/>
      <c r="AD156" s="225"/>
      <c r="AE156" s="181">
        <f>IF(V156,SUM($AK$25:AK156),0)</f>
        <v>0</v>
      </c>
      <c r="AF156" s="182"/>
      <c r="AG156" s="183"/>
      <c r="AH156" s="127">
        <v>3</v>
      </c>
      <c r="AI156" s="16"/>
      <c r="AJ156" s="13"/>
      <c r="AK156" s="12">
        <f t="shared" si="18"/>
        <v>0</v>
      </c>
      <c r="AL156" s="33">
        <f t="shared" si="19"/>
        <v>0</v>
      </c>
      <c r="AT156" s="12"/>
    </row>
    <row r="157" spans="1:46" s="11" customFormat="1" ht="21.95" hidden="1" customHeight="1" x14ac:dyDescent="0.3">
      <c r="A157" s="210"/>
      <c r="B157" s="211"/>
      <c r="C157" s="212"/>
      <c r="D157" s="213"/>
      <c r="E157" s="214"/>
      <c r="F157" s="214"/>
      <c r="G157" s="215" t="s">
        <v>270</v>
      </c>
      <c r="H157" s="216"/>
      <c r="I157" s="216"/>
      <c r="J157" s="216"/>
      <c r="K157" s="216"/>
      <c r="L157" s="216"/>
      <c r="M157" s="217"/>
      <c r="N157" s="218"/>
      <c r="O157" s="218"/>
      <c r="P157" s="219"/>
      <c r="Q157" s="220"/>
      <c r="R157" s="221"/>
      <c r="S157" s="222" t="s">
        <v>96</v>
      </c>
      <c r="T157" s="223"/>
      <c r="U157" s="224"/>
      <c r="V157" s="196">
        <v>0</v>
      </c>
      <c r="W157" s="197"/>
      <c r="X157" s="196">
        <f t="shared" si="20"/>
        <v>0</v>
      </c>
      <c r="Y157" s="197"/>
      <c r="Z157" s="213"/>
      <c r="AA157" s="225"/>
      <c r="AB157" s="213"/>
      <c r="AC157" s="214"/>
      <c r="AD157" s="225"/>
      <c r="AE157" s="181">
        <f>IF(V157,SUM($AK$25:AK157),0)</f>
        <v>0</v>
      </c>
      <c r="AF157" s="182"/>
      <c r="AG157" s="183"/>
      <c r="AH157" s="127">
        <v>100</v>
      </c>
      <c r="AI157" s="16"/>
      <c r="AJ157" s="13"/>
      <c r="AK157" s="12">
        <f t="shared" si="18"/>
        <v>0</v>
      </c>
      <c r="AL157" s="33">
        <f t="shared" si="19"/>
        <v>0</v>
      </c>
      <c r="AT157" s="12"/>
    </row>
    <row r="158" spans="1:46" s="11" customFormat="1" ht="21.95" hidden="1" customHeight="1" x14ac:dyDescent="0.3">
      <c r="A158" s="210"/>
      <c r="B158" s="211"/>
      <c r="C158" s="212"/>
      <c r="D158" s="213"/>
      <c r="E158" s="214"/>
      <c r="F158" s="214"/>
      <c r="G158" s="215" t="s">
        <v>263</v>
      </c>
      <c r="H158" s="216"/>
      <c r="I158" s="216"/>
      <c r="J158" s="216"/>
      <c r="K158" s="216"/>
      <c r="L158" s="216"/>
      <c r="M158" s="217"/>
      <c r="N158" s="218"/>
      <c r="O158" s="218"/>
      <c r="P158" s="219"/>
      <c r="Q158" s="220"/>
      <c r="R158" s="221"/>
      <c r="S158" s="222" t="s">
        <v>96</v>
      </c>
      <c r="T158" s="223"/>
      <c r="U158" s="224"/>
      <c r="V158" s="196">
        <v>0</v>
      </c>
      <c r="W158" s="197"/>
      <c r="X158" s="196">
        <f t="shared" si="20"/>
        <v>0</v>
      </c>
      <c r="Y158" s="197"/>
      <c r="Z158" s="213"/>
      <c r="AA158" s="225"/>
      <c r="AB158" s="213"/>
      <c r="AC158" s="214"/>
      <c r="AD158" s="225"/>
      <c r="AE158" s="181">
        <f>IF(V158,SUM($AK$25:AK158),0)</f>
        <v>0</v>
      </c>
      <c r="AF158" s="182"/>
      <c r="AG158" s="183"/>
      <c r="AH158" s="127">
        <v>30</v>
      </c>
      <c r="AI158" s="16"/>
      <c r="AJ158" s="13"/>
      <c r="AK158" s="12">
        <f t="shared" si="18"/>
        <v>0</v>
      </c>
      <c r="AL158" s="33">
        <f t="shared" si="19"/>
        <v>0</v>
      </c>
      <c r="AT158" s="12"/>
    </row>
    <row r="159" spans="1:46" s="11" customFormat="1" ht="21.95" hidden="1" customHeight="1" x14ac:dyDescent="0.2">
      <c r="A159" s="210"/>
      <c r="B159" s="211"/>
      <c r="C159" s="212"/>
      <c r="D159" s="213"/>
      <c r="E159" s="214"/>
      <c r="F159" s="214"/>
      <c r="G159" s="222"/>
      <c r="H159" s="223"/>
      <c r="I159" s="223"/>
      <c r="J159" s="223"/>
      <c r="K159" s="223"/>
      <c r="L159" s="223"/>
      <c r="M159" s="221"/>
      <c r="N159" s="218"/>
      <c r="O159" s="218"/>
      <c r="P159" s="219"/>
      <c r="Q159" s="220"/>
      <c r="R159" s="221"/>
      <c r="S159" s="222"/>
      <c r="T159" s="223"/>
      <c r="U159" s="224"/>
      <c r="V159" s="196"/>
      <c r="W159" s="197"/>
      <c r="X159" s="196">
        <f t="shared" si="20"/>
        <v>0</v>
      </c>
      <c r="Y159" s="197"/>
      <c r="Z159" s="213"/>
      <c r="AA159" s="225"/>
      <c r="AB159" s="213"/>
      <c r="AC159" s="214"/>
      <c r="AD159" s="225"/>
      <c r="AE159" s="181">
        <f>IF(V159,SUM($AK$25:AK159),0)</f>
        <v>0</v>
      </c>
      <c r="AF159" s="182"/>
      <c r="AG159" s="183"/>
      <c r="AH159" s="34"/>
      <c r="AI159" s="16"/>
      <c r="AJ159" s="13"/>
      <c r="AK159" s="12">
        <f t="shared" si="18"/>
        <v>0</v>
      </c>
      <c r="AT159" s="12"/>
    </row>
    <row r="160" spans="1:46" s="11" customFormat="1" ht="21.95" hidden="1" customHeight="1" x14ac:dyDescent="0.2">
      <c r="A160" s="210"/>
      <c r="B160" s="211"/>
      <c r="C160" s="212"/>
      <c r="D160" s="213"/>
      <c r="E160" s="214"/>
      <c r="F160" s="214"/>
      <c r="G160" s="215"/>
      <c r="H160" s="216"/>
      <c r="I160" s="216"/>
      <c r="J160" s="216"/>
      <c r="K160" s="216"/>
      <c r="L160" s="216"/>
      <c r="M160" s="217"/>
      <c r="N160" s="218"/>
      <c r="O160" s="218"/>
      <c r="P160" s="219"/>
      <c r="Q160" s="220"/>
      <c r="R160" s="221"/>
      <c r="S160" s="222"/>
      <c r="T160" s="223"/>
      <c r="U160" s="224"/>
      <c r="V160" s="196"/>
      <c r="W160" s="197"/>
      <c r="X160" s="196">
        <f t="shared" si="20"/>
        <v>0</v>
      </c>
      <c r="Y160" s="197"/>
      <c r="Z160" s="213"/>
      <c r="AA160" s="225"/>
      <c r="AB160" s="213"/>
      <c r="AC160" s="214"/>
      <c r="AD160" s="225"/>
      <c r="AE160" s="181">
        <f>IF(V160,SUM($AK$25:AK160),0)</f>
        <v>0</v>
      </c>
      <c r="AF160" s="182"/>
      <c r="AG160" s="183"/>
      <c r="AH160" s="34"/>
      <c r="AI160" s="16"/>
      <c r="AJ160" s="13"/>
      <c r="AK160" s="12">
        <f t="shared" si="18"/>
        <v>0</v>
      </c>
      <c r="AT160" s="12"/>
    </row>
    <row r="161" spans="1:46" s="11" customFormat="1" ht="21.95" hidden="1" customHeight="1" x14ac:dyDescent="0.2">
      <c r="A161" s="210"/>
      <c r="B161" s="211"/>
      <c r="C161" s="212"/>
      <c r="D161" s="213"/>
      <c r="E161" s="214"/>
      <c r="F161" s="214"/>
      <c r="G161" s="215"/>
      <c r="H161" s="216"/>
      <c r="I161" s="216"/>
      <c r="J161" s="216"/>
      <c r="K161" s="216"/>
      <c r="L161" s="216"/>
      <c r="M161" s="217"/>
      <c r="N161" s="218"/>
      <c r="O161" s="218"/>
      <c r="P161" s="219"/>
      <c r="Q161" s="220"/>
      <c r="R161" s="221"/>
      <c r="S161" s="222"/>
      <c r="T161" s="223"/>
      <c r="U161" s="224"/>
      <c r="V161" s="196"/>
      <c r="W161" s="197"/>
      <c r="X161" s="196">
        <f t="shared" si="20"/>
        <v>0</v>
      </c>
      <c r="Y161" s="197"/>
      <c r="Z161" s="213"/>
      <c r="AA161" s="225"/>
      <c r="AB161" s="213"/>
      <c r="AC161" s="214"/>
      <c r="AD161" s="225"/>
      <c r="AE161" s="181">
        <f>IF(V161,SUM($AK$25:AK161),0)</f>
        <v>0</v>
      </c>
      <c r="AF161" s="182"/>
      <c r="AG161" s="183"/>
      <c r="AH161" s="34"/>
      <c r="AI161" s="16"/>
      <c r="AJ161" s="13"/>
      <c r="AK161" s="12">
        <f t="shared" si="18"/>
        <v>0</v>
      </c>
      <c r="AT161" s="12"/>
    </row>
    <row r="162" spans="1:46" s="11" customFormat="1" ht="21.95" hidden="1" customHeight="1" x14ac:dyDescent="0.2">
      <c r="A162" s="210"/>
      <c r="B162" s="211"/>
      <c r="C162" s="212"/>
      <c r="D162" s="213"/>
      <c r="E162" s="214"/>
      <c r="F162" s="214"/>
      <c r="G162" s="215"/>
      <c r="H162" s="216"/>
      <c r="I162" s="216"/>
      <c r="J162" s="216"/>
      <c r="K162" s="216"/>
      <c r="L162" s="216"/>
      <c r="M162" s="217"/>
      <c r="N162" s="218"/>
      <c r="O162" s="218"/>
      <c r="P162" s="219"/>
      <c r="Q162" s="220"/>
      <c r="R162" s="221"/>
      <c r="S162" s="222"/>
      <c r="T162" s="223"/>
      <c r="U162" s="224"/>
      <c r="V162" s="196"/>
      <c r="W162" s="197"/>
      <c r="X162" s="196">
        <f t="shared" si="20"/>
        <v>0</v>
      </c>
      <c r="Y162" s="197"/>
      <c r="Z162" s="213"/>
      <c r="AA162" s="225"/>
      <c r="AB162" s="213"/>
      <c r="AC162" s="214"/>
      <c r="AD162" s="225"/>
      <c r="AE162" s="181">
        <f>IF(V162,SUM($AK$25:AK162),0)</f>
        <v>0</v>
      </c>
      <c r="AF162" s="182"/>
      <c r="AG162" s="183"/>
      <c r="AH162" s="34"/>
      <c r="AI162" s="16"/>
      <c r="AJ162" s="13"/>
      <c r="AK162" s="12">
        <f t="shared" si="18"/>
        <v>0</v>
      </c>
      <c r="AT162" s="12"/>
    </row>
    <row r="163" spans="1:46" s="11" customFormat="1" ht="21.95" hidden="1" customHeight="1" x14ac:dyDescent="0.2">
      <c r="A163" s="210"/>
      <c r="B163" s="211"/>
      <c r="C163" s="212"/>
      <c r="D163" s="213"/>
      <c r="E163" s="214"/>
      <c r="F163" s="214"/>
      <c r="G163" s="215"/>
      <c r="H163" s="216"/>
      <c r="I163" s="216"/>
      <c r="J163" s="216"/>
      <c r="K163" s="216"/>
      <c r="L163" s="216"/>
      <c r="M163" s="217"/>
      <c r="N163" s="219"/>
      <c r="O163" s="226"/>
      <c r="P163" s="226"/>
      <c r="Q163" s="227"/>
      <c r="R163" s="228"/>
      <c r="S163" s="229"/>
      <c r="T163" s="229"/>
      <c r="U163" s="229"/>
      <c r="V163" s="196"/>
      <c r="W163" s="197"/>
      <c r="X163" s="196">
        <f t="shared" si="20"/>
        <v>0</v>
      </c>
      <c r="Y163" s="197"/>
      <c r="Z163" s="290"/>
      <c r="AA163" s="290"/>
      <c r="AB163" s="290"/>
      <c r="AC163" s="290"/>
      <c r="AD163" s="290"/>
      <c r="AE163" s="181">
        <f>IF(V163,SUM($AK$25:AK163),0)</f>
        <v>0</v>
      </c>
      <c r="AF163" s="182"/>
      <c r="AG163" s="183"/>
      <c r="AH163" s="34"/>
      <c r="AI163" s="16">
        <v>0.53</v>
      </c>
      <c r="AJ163" s="13">
        <f t="shared" si="10"/>
        <v>0</v>
      </c>
      <c r="AK163" s="12">
        <f t="shared" si="18"/>
        <v>0</v>
      </c>
      <c r="AT163" s="12" t="s">
        <v>56</v>
      </c>
    </row>
    <row r="164" spans="1:46" s="35" customFormat="1" ht="21.95" hidden="1" customHeight="1" x14ac:dyDescent="0.2">
      <c r="A164" s="230"/>
      <c r="B164" s="231"/>
      <c r="C164" s="231"/>
      <c r="D164" s="232" t="s">
        <v>42</v>
      </c>
      <c r="E164" s="232"/>
      <c r="F164" s="233"/>
      <c r="G164" s="234" t="s">
        <v>115</v>
      </c>
      <c r="H164" s="235"/>
      <c r="I164" s="235"/>
      <c r="J164" s="235"/>
      <c r="K164" s="235"/>
      <c r="L164" s="235"/>
      <c r="M164" s="236"/>
      <c r="N164" s="310"/>
      <c r="O164" s="311"/>
      <c r="P164" s="311"/>
      <c r="Q164" s="312"/>
      <c r="R164" s="313"/>
      <c r="S164" s="243"/>
      <c r="T164" s="312"/>
      <c r="U164" s="312"/>
      <c r="V164" s="417"/>
      <c r="W164" s="418"/>
      <c r="X164" s="419"/>
      <c r="Y164" s="312"/>
      <c r="Z164" s="232"/>
      <c r="AA164" s="232"/>
      <c r="AB164" s="232"/>
      <c r="AC164" s="232"/>
      <c r="AD164" s="232"/>
      <c r="AE164" s="207">
        <f>IF(V164,SUM($AK$25:AK164),0)</f>
        <v>0</v>
      </c>
      <c r="AF164" s="208"/>
      <c r="AG164" s="209"/>
      <c r="AH164" s="17"/>
      <c r="AI164" s="18"/>
      <c r="AJ164" s="19"/>
      <c r="AK164" s="35">
        <f t="shared" si="18"/>
        <v>0</v>
      </c>
    </row>
    <row r="165" spans="1:46" s="11" customFormat="1" ht="21.95" hidden="1" customHeight="1" x14ac:dyDescent="0.2">
      <c r="A165" s="288"/>
      <c r="B165" s="289"/>
      <c r="C165" s="289"/>
      <c r="D165" s="290"/>
      <c r="E165" s="290"/>
      <c r="F165" s="291"/>
      <c r="G165" s="215" t="s">
        <v>66</v>
      </c>
      <c r="H165" s="216"/>
      <c r="I165" s="216"/>
      <c r="J165" s="216"/>
      <c r="K165" s="216"/>
      <c r="L165" s="216"/>
      <c r="M165" s="217"/>
      <c r="N165" s="292"/>
      <c r="O165" s="226"/>
      <c r="P165" s="226"/>
      <c r="Q165" s="229"/>
      <c r="R165" s="293"/>
      <c r="S165" s="224" t="s">
        <v>96</v>
      </c>
      <c r="T165" s="229"/>
      <c r="U165" s="229"/>
      <c r="V165" s="196"/>
      <c r="W165" s="197"/>
      <c r="X165" s="196">
        <f t="shared" ref="X165:X171" si="21">V165</f>
        <v>0</v>
      </c>
      <c r="Y165" s="197"/>
      <c r="Z165" s="290"/>
      <c r="AA165" s="290"/>
      <c r="AB165" s="290"/>
      <c r="AC165" s="290"/>
      <c r="AD165" s="290"/>
      <c r="AE165" s="181">
        <f>IF(V165,SUM($AK$25:AK165),0)</f>
        <v>0</v>
      </c>
      <c r="AF165" s="182"/>
      <c r="AG165" s="183"/>
      <c r="AH165" s="34"/>
      <c r="AI165" s="16">
        <v>95</v>
      </c>
      <c r="AJ165" s="13">
        <f t="shared" ref="AJ165:AJ175" si="22">AI165*V165</f>
        <v>0</v>
      </c>
      <c r="AK165" s="12">
        <f t="shared" si="18"/>
        <v>0</v>
      </c>
      <c r="AT165" s="12" t="b">
        <v>0</v>
      </c>
    </row>
    <row r="166" spans="1:46" s="11" customFormat="1" ht="21.95" hidden="1" customHeight="1" x14ac:dyDescent="0.2">
      <c r="A166" s="288"/>
      <c r="B166" s="289"/>
      <c r="C166" s="289"/>
      <c r="D166" s="290"/>
      <c r="E166" s="290"/>
      <c r="F166" s="291"/>
      <c r="G166" s="215" t="str">
        <f>G77</f>
        <v>Мол.прод.Молоко коровье 0,2 л</v>
      </c>
      <c r="H166" s="216"/>
      <c r="I166" s="216"/>
      <c r="J166" s="216"/>
      <c r="K166" s="216"/>
      <c r="L166" s="216"/>
      <c r="M166" s="217"/>
      <c r="N166" s="292"/>
      <c r="O166" s="226"/>
      <c r="P166" s="226"/>
      <c r="Q166" s="229"/>
      <c r="R166" s="293"/>
      <c r="S166" s="224"/>
      <c r="T166" s="229"/>
      <c r="U166" s="229"/>
      <c r="V166" s="196"/>
      <c r="W166" s="197"/>
      <c r="X166" s="196">
        <f t="shared" si="21"/>
        <v>0</v>
      </c>
      <c r="Y166" s="197"/>
      <c r="Z166" s="290"/>
      <c r="AA166" s="290"/>
      <c r="AB166" s="290"/>
      <c r="AC166" s="290"/>
      <c r="AD166" s="290"/>
      <c r="AE166" s="181">
        <f>IF(V166,SUM($AK$25:AK166),0)</f>
        <v>0</v>
      </c>
      <c r="AF166" s="182"/>
      <c r="AG166" s="183"/>
      <c r="AH166" s="34"/>
      <c r="AI166" s="16">
        <v>53.3</v>
      </c>
      <c r="AJ166" s="13">
        <f t="shared" si="22"/>
        <v>0</v>
      </c>
      <c r="AK166" s="12">
        <f t="shared" si="18"/>
        <v>0</v>
      </c>
      <c r="AT166" s="12" t="s">
        <v>56</v>
      </c>
    </row>
    <row r="167" spans="1:46" s="11" customFormat="1" ht="21.95" hidden="1" customHeight="1" x14ac:dyDescent="0.2">
      <c r="A167" s="288"/>
      <c r="B167" s="289"/>
      <c r="C167" s="289"/>
      <c r="D167" s="290"/>
      <c r="E167" s="290"/>
      <c r="F167" s="291"/>
      <c r="G167" s="215" t="str">
        <f>G75</f>
        <v>Масло слив.72,5% порционное 15г (СЛИВОЧНОЕ)</v>
      </c>
      <c r="H167" s="216"/>
      <c r="I167" s="216"/>
      <c r="J167" s="216"/>
      <c r="K167" s="216"/>
      <c r="L167" s="216"/>
      <c r="M167" s="217"/>
      <c r="N167" s="292"/>
      <c r="O167" s="226"/>
      <c r="P167" s="226"/>
      <c r="Q167" s="229"/>
      <c r="R167" s="293"/>
      <c r="S167" s="224" t="s">
        <v>96</v>
      </c>
      <c r="T167" s="229"/>
      <c r="U167" s="229"/>
      <c r="V167" s="196"/>
      <c r="W167" s="197"/>
      <c r="X167" s="196">
        <f t="shared" si="21"/>
        <v>0</v>
      </c>
      <c r="Y167" s="197"/>
      <c r="Z167" s="290"/>
      <c r="AA167" s="290"/>
      <c r="AB167" s="290"/>
      <c r="AC167" s="290"/>
      <c r="AD167" s="290"/>
      <c r="AE167" s="181">
        <f>IF(V167,SUM($AK$25:AK167),0)</f>
        <v>0</v>
      </c>
      <c r="AF167" s="182"/>
      <c r="AG167" s="183"/>
      <c r="AH167" s="34"/>
      <c r="AI167" s="16">
        <v>160</v>
      </c>
      <c r="AJ167" s="13">
        <f t="shared" si="22"/>
        <v>0</v>
      </c>
      <c r="AK167" s="12">
        <f t="shared" si="18"/>
        <v>0</v>
      </c>
      <c r="AT167" s="12" t="b">
        <v>0</v>
      </c>
    </row>
    <row r="168" spans="1:46" s="11" customFormat="1" ht="21.95" hidden="1" customHeight="1" x14ac:dyDescent="0.2">
      <c r="A168" s="210"/>
      <c r="B168" s="211"/>
      <c r="C168" s="212"/>
      <c r="D168" s="213"/>
      <c r="E168" s="214"/>
      <c r="F168" s="287"/>
      <c r="G168" s="215" t="s">
        <v>86</v>
      </c>
      <c r="H168" s="216"/>
      <c r="I168" s="216"/>
      <c r="J168" s="216"/>
      <c r="K168" s="216"/>
      <c r="L168" s="216"/>
      <c r="M168" s="217"/>
      <c r="N168" s="294" t="s">
        <v>43</v>
      </c>
      <c r="O168" s="218"/>
      <c r="P168" s="219"/>
      <c r="Q168" s="220"/>
      <c r="R168" s="221"/>
      <c r="S168" s="222"/>
      <c r="T168" s="223"/>
      <c r="U168" s="224"/>
      <c r="V168" s="196"/>
      <c r="W168" s="197"/>
      <c r="X168" s="196">
        <f t="shared" si="21"/>
        <v>0</v>
      </c>
      <c r="Y168" s="197"/>
      <c r="Z168" s="213"/>
      <c r="AA168" s="225"/>
      <c r="AB168" s="213"/>
      <c r="AC168" s="214"/>
      <c r="AD168" s="225"/>
      <c r="AE168" s="181">
        <f>IF(V168,SUM($AK$25:AK168),0)</f>
        <v>0</v>
      </c>
      <c r="AF168" s="182"/>
      <c r="AG168" s="183"/>
      <c r="AH168" s="34"/>
      <c r="AI168" s="16">
        <v>138.30000000000001</v>
      </c>
      <c r="AJ168" s="13">
        <f t="shared" si="22"/>
        <v>0</v>
      </c>
      <c r="AK168" s="12">
        <f t="shared" si="18"/>
        <v>0</v>
      </c>
      <c r="AT168" s="12" t="b">
        <v>0</v>
      </c>
    </row>
    <row r="169" spans="1:46" s="11" customFormat="1" ht="21.95" hidden="1" customHeight="1" x14ac:dyDescent="0.2">
      <c r="A169" s="210"/>
      <c r="B169" s="211"/>
      <c r="C169" s="212"/>
      <c r="D169" s="213"/>
      <c r="E169" s="214"/>
      <c r="F169" s="287"/>
      <c r="G169" s="215" t="str">
        <f>G129</f>
        <v>Кофе весовой</v>
      </c>
      <c r="H169" s="216"/>
      <c r="I169" s="216"/>
      <c r="J169" s="216"/>
      <c r="K169" s="216"/>
      <c r="L169" s="216"/>
      <c r="M169" s="217"/>
      <c r="N169" s="294"/>
      <c r="O169" s="218"/>
      <c r="P169" s="219"/>
      <c r="Q169" s="220"/>
      <c r="R169" s="221"/>
      <c r="S169" s="222" t="s">
        <v>96</v>
      </c>
      <c r="T169" s="223"/>
      <c r="U169" s="224"/>
      <c r="V169" s="196"/>
      <c r="W169" s="197"/>
      <c r="X169" s="196">
        <f t="shared" si="21"/>
        <v>0</v>
      </c>
      <c r="Y169" s="197"/>
      <c r="Z169" s="213"/>
      <c r="AA169" s="225"/>
      <c r="AB169" s="213"/>
      <c r="AC169" s="214"/>
      <c r="AD169" s="225"/>
      <c r="AE169" s="181">
        <f>IF(V169,SUM($AK$25:AK169),0)</f>
        <v>0</v>
      </c>
      <c r="AF169" s="182"/>
      <c r="AG169" s="183"/>
      <c r="AH169" s="34"/>
      <c r="AI169" s="16">
        <v>113.25</v>
      </c>
      <c r="AJ169" s="13">
        <f t="shared" si="22"/>
        <v>0</v>
      </c>
      <c r="AK169" s="12">
        <f t="shared" si="18"/>
        <v>0</v>
      </c>
      <c r="AT169" s="12" t="s">
        <v>56</v>
      </c>
    </row>
    <row r="170" spans="1:46" s="11" customFormat="1" ht="21.95" hidden="1" customHeight="1" x14ac:dyDescent="0.2">
      <c r="A170" s="210"/>
      <c r="B170" s="211"/>
      <c r="C170" s="212"/>
      <c r="D170" s="213"/>
      <c r="E170" s="214"/>
      <c r="F170" s="287"/>
      <c r="G170" s="215" t="str">
        <f>G44</f>
        <v>Мясо птицы 1 сорт</v>
      </c>
      <c r="H170" s="216"/>
      <c r="I170" s="216"/>
      <c r="J170" s="216"/>
      <c r="K170" s="216"/>
      <c r="L170" s="216"/>
      <c r="M170" s="217"/>
      <c r="N170" s="294" t="s">
        <v>110</v>
      </c>
      <c r="O170" s="218"/>
      <c r="P170" s="219"/>
      <c r="Q170" s="220"/>
      <c r="R170" s="221"/>
      <c r="S170" s="222" t="s">
        <v>96</v>
      </c>
      <c r="T170" s="223"/>
      <c r="U170" s="224"/>
      <c r="V170" s="196"/>
      <c r="W170" s="197"/>
      <c r="X170" s="196">
        <f t="shared" si="21"/>
        <v>0</v>
      </c>
      <c r="Y170" s="197"/>
      <c r="Z170" s="213"/>
      <c r="AA170" s="225"/>
      <c r="AB170" s="213"/>
      <c r="AC170" s="214"/>
      <c r="AD170" s="225"/>
      <c r="AE170" s="181">
        <f>IF(V170,SUM($AK$25:AK170),0)</f>
        <v>0</v>
      </c>
      <c r="AF170" s="182"/>
      <c r="AG170" s="183"/>
      <c r="AH170" s="34"/>
      <c r="AI170" s="16">
        <v>107</v>
      </c>
      <c r="AJ170" s="13">
        <f t="shared" si="22"/>
        <v>0</v>
      </c>
      <c r="AK170" s="12">
        <f t="shared" si="18"/>
        <v>0</v>
      </c>
      <c r="AT170" s="12" t="s">
        <v>56</v>
      </c>
    </row>
    <row r="171" spans="1:46" s="11" customFormat="1" ht="21.95" hidden="1" customHeight="1" x14ac:dyDescent="0.2">
      <c r="A171" s="210"/>
      <c r="B171" s="211"/>
      <c r="C171" s="212"/>
      <c r="D171" s="213"/>
      <c r="E171" s="214"/>
      <c r="F171" s="287"/>
      <c r="G171" s="215" t="str">
        <f>G115</f>
        <v>Сок фрукт.восст. 1л в ассорт.</v>
      </c>
      <c r="H171" s="216"/>
      <c r="I171" s="216"/>
      <c r="J171" s="216"/>
      <c r="K171" s="216"/>
      <c r="L171" s="216"/>
      <c r="M171" s="217"/>
      <c r="N171" s="294"/>
      <c r="O171" s="218"/>
      <c r="P171" s="219"/>
      <c r="Q171" s="220"/>
      <c r="R171" s="221"/>
      <c r="S171" s="222" t="s">
        <v>96</v>
      </c>
      <c r="T171" s="223"/>
      <c r="U171" s="224"/>
      <c r="V171" s="196"/>
      <c r="W171" s="197"/>
      <c r="X171" s="196">
        <f t="shared" si="21"/>
        <v>0</v>
      </c>
      <c r="Y171" s="197"/>
      <c r="Z171" s="213"/>
      <c r="AA171" s="225"/>
      <c r="AB171" s="213"/>
      <c r="AC171" s="214"/>
      <c r="AD171" s="225"/>
      <c r="AE171" s="181">
        <f>IF(V171,SUM($AK$25:AK171),0)</f>
        <v>0</v>
      </c>
      <c r="AF171" s="182"/>
      <c r="AG171" s="183"/>
      <c r="AH171" s="34"/>
      <c r="AI171" s="16">
        <v>56</v>
      </c>
      <c r="AJ171" s="13">
        <f t="shared" si="22"/>
        <v>0</v>
      </c>
      <c r="AK171" s="12">
        <f t="shared" si="18"/>
        <v>0</v>
      </c>
      <c r="AT171" s="12" t="b">
        <v>0</v>
      </c>
    </row>
    <row r="172" spans="1:46" s="11" customFormat="1" ht="21.95" hidden="1" customHeight="1" x14ac:dyDescent="0.2">
      <c r="A172" s="210"/>
      <c r="B172" s="211"/>
      <c r="C172" s="212"/>
      <c r="D172" s="213"/>
      <c r="E172" s="214"/>
      <c r="F172" s="287"/>
      <c r="G172" s="215"/>
      <c r="H172" s="216"/>
      <c r="I172" s="216"/>
      <c r="J172" s="216"/>
      <c r="K172" s="216"/>
      <c r="L172" s="216"/>
      <c r="M172" s="217"/>
      <c r="N172" s="294"/>
      <c r="O172" s="218"/>
      <c r="P172" s="219"/>
      <c r="Q172" s="220"/>
      <c r="R172" s="221"/>
      <c r="S172" s="222"/>
      <c r="T172" s="223"/>
      <c r="U172" s="224"/>
      <c r="V172" s="196"/>
      <c r="W172" s="197"/>
      <c r="X172" s="196"/>
      <c r="Y172" s="197"/>
      <c r="Z172" s="213"/>
      <c r="AA172" s="225"/>
      <c r="AB172" s="213"/>
      <c r="AC172" s="214"/>
      <c r="AD172" s="225"/>
      <c r="AE172" s="181">
        <f>IF(V172,SUM($AK$25:AK172),0)</f>
        <v>0</v>
      </c>
      <c r="AF172" s="182"/>
      <c r="AG172" s="183"/>
      <c r="AH172" s="34"/>
      <c r="AI172" s="16">
        <v>35.119999999999997</v>
      </c>
      <c r="AJ172" s="13">
        <f t="shared" si="22"/>
        <v>0</v>
      </c>
      <c r="AK172" s="12">
        <f t="shared" si="18"/>
        <v>0</v>
      </c>
      <c r="AT172" s="12" t="s">
        <v>56</v>
      </c>
    </row>
    <row r="173" spans="1:46" s="11" customFormat="1" ht="21.95" hidden="1" customHeight="1" x14ac:dyDescent="0.2">
      <c r="A173" s="210"/>
      <c r="B173" s="211"/>
      <c r="C173" s="212"/>
      <c r="D173" s="213"/>
      <c r="E173" s="214"/>
      <c r="F173" s="287"/>
      <c r="G173" s="215"/>
      <c r="H173" s="216"/>
      <c r="I173" s="216"/>
      <c r="J173" s="216"/>
      <c r="K173" s="216"/>
      <c r="L173" s="216"/>
      <c r="M173" s="217"/>
      <c r="N173" s="294"/>
      <c r="O173" s="218"/>
      <c r="P173" s="219"/>
      <c r="Q173" s="220"/>
      <c r="R173" s="221"/>
      <c r="S173" s="222"/>
      <c r="T173" s="223"/>
      <c r="U173" s="224"/>
      <c r="V173" s="196"/>
      <c r="W173" s="197"/>
      <c r="X173" s="196"/>
      <c r="Y173" s="197"/>
      <c r="Z173" s="213"/>
      <c r="AA173" s="225"/>
      <c r="AB173" s="213"/>
      <c r="AC173" s="214"/>
      <c r="AD173" s="225"/>
      <c r="AE173" s="181">
        <f>IF(V173,SUM($AK$25:AK173),0)</f>
        <v>0</v>
      </c>
      <c r="AF173" s="182"/>
      <c r="AG173" s="183"/>
      <c r="AH173" s="34"/>
      <c r="AI173" s="16">
        <v>0</v>
      </c>
      <c r="AJ173" s="13">
        <f t="shared" si="22"/>
        <v>0</v>
      </c>
      <c r="AK173" s="12">
        <f t="shared" si="18"/>
        <v>0</v>
      </c>
      <c r="AT173" s="12" t="s">
        <v>56</v>
      </c>
    </row>
    <row r="174" spans="1:46" s="11" customFormat="1" ht="21.95" hidden="1" customHeight="1" x14ac:dyDescent="0.2">
      <c r="A174" s="210"/>
      <c r="B174" s="211"/>
      <c r="C174" s="212"/>
      <c r="D174" s="213"/>
      <c r="E174" s="214"/>
      <c r="F174" s="287"/>
      <c r="G174" s="215"/>
      <c r="H174" s="216"/>
      <c r="I174" s="216"/>
      <c r="J174" s="216"/>
      <c r="K174" s="216"/>
      <c r="L174" s="216"/>
      <c r="M174" s="217"/>
      <c r="N174" s="294"/>
      <c r="O174" s="218"/>
      <c r="P174" s="219"/>
      <c r="Q174" s="220"/>
      <c r="R174" s="221"/>
      <c r="S174" s="222"/>
      <c r="T174" s="223"/>
      <c r="U174" s="224"/>
      <c r="V174" s="196"/>
      <c r="W174" s="197"/>
      <c r="X174" s="196"/>
      <c r="Y174" s="197"/>
      <c r="Z174" s="213"/>
      <c r="AA174" s="225"/>
      <c r="AB174" s="213"/>
      <c r="AC174" s="214"/>
      <c r="AD174" s="225"/>
      <c r="AE174" s="181">
        <f>IF(V174,SUM($AK$25:AK174),0)</f>
        <v>0</v>
      </c>
      <c r="AF174" s="182"/>
      <c r="AG174" s="183"/>
      <c r="AH174" s="34"/>
      <c r="AI174" s="16">
        <v>0</v>
      </c>
      <c r="AJ174" s="13">
        <f t="shared" si="22"/>
        <v>0</v>
      </c>
      <c r="AK174" s="12">
        <f t="shared" si="18"/>
        <v>0</v>
      </c>
      <c r="AT174" s="12" t="s">
        <v>56</v>
      </c>
    </row>
    <row r="175" spans="1:46" s="11" customFormat="1" ht="21.95" hidden="1" customHeight="1" x14ac:dyDescent="0.2">
      <c r="A175" s="210"/>
      <c r="B175" s="211"/>
      <c r="C175" s="212"/>
      <c r="D175" s="213"/>
      <c r="E175" s="214"/>
      <c r="F175" s="287"/>
      <c r="G175" s="215"/>
      <c r="H175" s="216"/>
      <c r="I175" s="216"/>
      <c r="J175" s="216"/>
      <c r="K175" s="216"/>
      <c r="L175" s="216"/>
      <c r="M175" s="217"/>
      <c r="N175" s="294"/>
      <c r="O175" s="218"/>
      <c r="P175" s="219"/>
      <c r="Q175" s="220"/>
      <c r="R175" s="221"/>
      <c r="S175" s="222"/>
      <c r="T175" s="223"/>
      <c r="U175" s="224"/>
      <c r="V175" s="196"/>
      <c r="W175" s="197"/>
      <c r="X175" s="196"/>
      <c r="Y175" s="197"/>
      <c r="Z175" s="213"/>
      <c r="AA175" s="225"/>
      <c r="AB175" s="213"/>
      <c r="AC175" s="214"/>
      <c r="AD175" s="225"/>
      <c r="AE175" s="181">
        <f>IF(V175,SUM($AK$25:AK175),0)</f>
        <v>0</v>
      </c>
      <c r="AF175" s="182"/>
      <c r="AG175" s="183"/>
      <c r="AH175" s="34"/>
      <c r="AI175" s="16">
        <v>0</v>
      </c>
      <c r="AJ175" s="13">
        <f t="shared" si="22"/>
        <v>0</v>
      </c>
      <c r="AK175" s="12">
        <f t="shared" si="18"/>
        <v>0</v>
      </c>
      <c r="AT175" s="12" t="s">
        <v>56</v>
      </c>
    </row>
    <row r="176" spans="1:46" s="11" customFormat="1" ht="15" customHeight="1" x14ac:dyDescent="0.2">
      <c r="A176" s="1"/>
      <c r="B176" s="1"/>
      <c r="C176" s="1"/>
      <c r="D176" s="213"/>
      <c r="E176" s="214"/>
      <c r="F176" s="287"/>
      <c r="G176" s="215" t="s">
        <v>44</v>
      </c>
      <c r="H176" s="216"/>
      <c r="I176" s="216"/>
      <c r="J176" s="216"/>
      <c r="K176" s="216"/>
      <c r="L176" s="216"/>
      <c r="M176" s="217"/>
      <c r="N176" s="28"/>
      <c r="O176" s="28"/>
      <c r="P176" s="28"/>
      <c r="Q176" s="29"/>
      <c r="R176" s="29"/>
      <c r="S176" s="29"/>
      <c r="T176" s="29"/>
      <c r="U176" s="29"/>
      <c r="V176" s="425">
        <f>SUM(V25:V175)</f>
        <v>5108.0833340049994</v>
      </c>
      <c r="W176" s="426"/>
      <c r="X176" s="425">
        <f>SUM(X25:X175)</f>
        <v>4431.0833340049994</v>
      </c>
      <c r="Y176" s="426"/>
      <c r="Z176" s="20"/>
      <c r="AA176" s="20"/>
      <c r="AB176" s="20"/>
      <c r="AC176" s="20"/>
      <c r="AD176" s="20"/>
      <c r="AE176" s="20"/>
      <c r="AF176" s="20"/>
      <c r="AG176" s="20"/>
      <c r="AH176" s="20"/>
      <c r="AI176" s="21"/>
      <c r="AJ176" s="21"/>
      <c r="AT176" s="12"/>
    </row>
    <row r="177" spans="1:36" ht="24.95" customHeight="1" x14ac:dyDescent="0.2">
      <c r="A177" s="2"/>
      <c r="B177" s="2"/>
      <c r="C177" s="2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 t="s">
        <v>45</v>
      </c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0"/>
      <c r="AI177" s="22" t="s">
        <v>46</v>
      </c>
      <c r="AJ177" s="23">
        <f>SUM(AJ25:AJ163)</f>
        <v>291841.21669984295</v>
      </c>
    </row>
    <row r="178" spans="1:36" ht="24.95" customHeight="1" x14ac:dyDescent="0.25">
      <c r="A178" s="420" t="s">
        <v>47</v>
      </c>
      <c r="B178" s="420"/>
      <c r="C178" s="420"/>
      <c r="D178" s="421" t="str">
        <f>E18</f>
        <v>Зам. Упр.</v>
      </c>
      <c r="E178" s="421"/>
      <c r="F178" s="421"/>
      <c r="G178" s="421"/>
      <c r="H178" s="25"/>
      <c r="I178" s="422"/>
      <c r="J178" s="422"/>
      <c r="K178" s="25"/>
      <c r="L178" s="421" t="str">
        <f>I18</f>
        <v>Мещеряков А.А.</v>
      </c>
      <c r="M178" s="421"/>
      <c r="N178" s="421"/>
      <c r="O178" s="421"/>
      <c r="P178" s="421"/>
      <c r="Q178" s="25"/>
      <c r="R178" s="423" t="s">
        <v>48</v>
      </c>
      <c r="S178" s="423"/>
      <c r="T178" s="423"/>
      <c r="U178" s="424" t="s">
        <v>251</v>
      </c>
      <c r="V178" s="424"/>
      <c r="W178" s="424"/>
      <c r="X178" s="424"/>
      <c r="Y178" s="25"/>
      <c r="Z178" s="422"/>
      <c r="AA178" s="422"/>
      <c r="AB178" s="25"/>
      <c r="AC178" s="424" t="s">
        <v>315</v>
      </c>
      <c r="AD178" s="424"/>
      <c r="AE178" s="424"/>
      <c r="AF178" s="424"/>
      <c r="AG178" s="424"/>
      <c r="AH178" s="20"/>
      <c r="AI178" s="22" t="s">
        <v>49</v>
      </c>
      <c r="AJ178" s="24">
        <f>AJ177/AE11</f>
        <v>194.56081113322864</v>
      </c>
    </row>
    <row r="179" spans="1:36" ht="24.95" customHeight="1" x14ac:dyDescent="0.2">
      <c r="A179" s="2"/>
      <c r="B179" s="2"/>
      <c r="C179" s="2"/>
      <c r="D179" s="428" t="s">
        <v>50</v>
      </c>
      <c r="E179" s="428"/>
      <c r="F179" s="428"/>
      <c r="G179" s="428"/>
      <c r="H179" s="141"/>
      <c r="I179" s="429" t="s">
        <v>51</v>
      </c>
      <c r="J179" s="429"/>
      <c r="K179" s="25"/>
      <c r="L179" s="428" t="s">
        <v>52</v>
      </c>
      <c r="M179" s="428"/>
      <c r="N179" s="428"/>
      <c r="O179" s="428"/>
      <c r="P179" s="428"/>
      <c r="Q179" s="25"/>
      <c r="R179" s="25" t="s">
        <v>7</v>
      </c>
      <c r="S179" s="25"/>
      <c r="T179" s="25" t="s">
        <v>7</v>
      </c>
      <c r="U179" s="429" t="s">
        <v>53</v>
      </c>
      <c r="V179" s="429"/>
      <c r="W179" s="429"/>
      <c r="X179" s="429"/>
      <c r="Y179" s="141"/>
      <c r="Z179" s="429" t="s">
        <v>51</v>
      </c>
      <c r="AA179" s="429"/>
      <c r="AB179" s="25"/>
      <c r="AC179" s="428" t="s">
        <v>52</v>
      </c>
      <c r="AD179" s="428"/>
      <c r="AE179" s="428"/>
      <c r="AF179" s="428"/>
      <c r="AG179" s="428"/>
      <c r="AH179" s="20"/>
      <c r="AI179" s="25"/>
      <c r="AJ179" s="25"/>
    </row>
    <row r="180" spans="1:36" ht="6" customHeight="1" x14ac:dyDescent="0.2">
      <c r="A180" s="3"/>
      <c r="B180" s="3"/>
      <c r="C180" s="3"/>
      <c r="D180" s="139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20"/>
      <c r="AI180" s="22" t="s">
        <v>54</v>
      </c>
      <c r="AJ180" s="23">
        <f>SUM(AJ165:AJ175)</f>
        <v>0</v>
      </c>
    </row>
    <row r="181" spans="1:36" ht="16.5" customHeight="1" x14ac:dyDescent="0.2"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308" t="s">
        <v>101</v>
      </c>
      <c r="T181" s="308"/>
      <c r="U181" s="308"/>
      <c r="V181" s="308"/>
      <c r="W181" s="308"/>
      <c r="X181" s="308"/>
      <c r="Y181" s="308"/>
      <c r="Z181" s="308"/>
      <c r="AA181" s="308"/>
      <c r="AB181" s="308"/>
      <c r="AC181" s="308"/>
      <c r="AD181" s="308"/>
      <c r="AE181" s="308"/>
      <c r="AF181" s="308"/>
      <c r="AG181" s="308"/>
      <c r="AH181" s="308"/>
      <c r="AI181" s="22"/>
      <c r="AJ181" s="23"/>
    </row>
    <row r="182" spans="1:36" ht="17.25" customHeight="1" x14ac:dyDescent="0.25"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302" t="s">
        <v>102</v>
      </c>
      <c r="T182" s="303"/>
      <c r="U182" s="303"/>
      <c r="V182" s="303"/>
      <c r="W182" s="303"/>
      <c r="X182" s="303"/>
      <c r="Y182" s="303"/>
      <c r="Z182" s="304"/>
      <c r="AA182" s="309" t="s">
        <v>246</v>
      </c>
      <c r="AB182" s="306"/>
      <c r="AC182" s="306"/>
      <c r="AD182" s="306"/>
      <c r="AE182" s="306"/>
      <c r="AF182" s="306"/>
      <c r="AG182" s="306"/>
      <c r="AH182" s="307"/>
      <c r="AI182" s="22"/>
      <c r="AJ182" s="23"/>
    </row>
    <row r="183" spans="1:36" ht="19.5" customHeight="1" x14ac:dyDescent="0.25"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302" t="s">
        <v>103</v>
      </c>
      <c r="T183" s="303"/>
      <c r="U183" s="303"/>
      <c r="V183" s="303"/>
      <c r="W183" s="303"/>
      <c r="X183" s="303"/>
      <c r="Y183" s="303"/>
      <c r="Z183" s="304"/>
      <c r="AA183" s="309" t="s">
        <v>247</v>
      </c>
      <c r="AB183" s="306"/>
      <c r="AC183" s="306"/>
      <c r="AD183" s="306"/>
      <c r="AE183" s="306"/>
      <c r="AF183" s="306"/>
      <c r="AG183" s="306"/>
      <c r="AH183" s="307"/>
      <c r="AI183" s="22"/>
      <c r="AJ183" s="23"/>
    </row>
    <row r="184" spans="1:36" ht="18" customHeight="1" x14ac:dyDescent="0.25"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302" t="s">
        <v>104</v>
      </c>
      <c r="T184" s="303"/>
      <c r="U184" s="303"/>
      <c r="V184" s="303"/>
      <c r="W184" s="303"/>
      <c r="X184" s="303"/>
      <c r="Y184" s="303"/>
      <c r="Z184" s="304"/>
      <c r="AA184" s="309" t="s">
        <v>248</v>
      </c>
      <c r="AB184" s="306"/>
      <c r="AC184" s="306"/>
      <c r="AD184" s="306"/>
      <c r="AE184" s="306"/>
      <c r="AF184" s="306"/>
      <c r="AG184" s="306"/>
      <c r="AH184" s="307"/>
      <c r="AI184" s="22"/>
      <c r="AJ184" s="23"/>
    </row>
    <row r="185" spans="1:36" ht="17.25" customHeight="1" x14ac:dyDescent="0.25"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302" t="s">
        <v>105</v>
      </c>
      <c r="T185" s="303"/>
      <c r="U185" s="303"/>
      <c r="V185" s="303"/>
      <c r="W185" s="303"/>
      <c r="X185" s="303"/>
      <c r="Y185" s="303"/>
      <c r="Z185" s="304"/>
      <c r="AA185" s="309" t="s">
        <v>249</v>
      </c>
      <c r="AB185" s="306"/>
      <c r="AC185" s="306"/>
      <c r="AD185" s="306"/>
      <c r="AE185" s="306"/>
      <c r="AF185" s="306"/>
      <c r="AG185" s="306"/>
      <c r="AH185" s="307"/>
      <c r="AI185" s="22"/>
      <c r="AJ185" s="23"/>
    </row>
    <row r="186" spans="1:36" ht="48.75" customHeight="1" x14ac:dyDescent="0.25"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302" t="s">
        <v>106</v>
      </c>
      <c r="T186" s="303"/>
      <c r="U186" s="303"/>
      <c r="V186" s="303"/>
      <c r="W186" s="303"/>
      <c r="X186" s="303"/>
      <c r="Y186" s="303"/>
      <c r="Z186" s="304"/>
      <c r="AA186" s="309" t="s">
        <v>250</v>
      </c>
      <c r="AB186" s="306"/>
      <c r="AC186" s="306"/>
      <c r="AD186" s="306"/>
      <c r="AE186" s="306"/>
      <c r="AF186" s="306"/>
      <c r="AG186" s="306"/>
      <c r="AH186" s="307"/>
      <c r="AI186" s="22"/>
      <c r="AJ186" s="23"/>
    </row>
    <row r="187" spans="1:36" ht="17.25" customHeight="1" x14ac:dyDescent="0.25"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302" t="s">
        <v>107</v>
      </c>
      <c r="T187" s="303"/>
      <c r="U187" s="303"/>
      <c r="V187" s="303"/>
      <c r="W187" s="303"/>
      <c r="X187" s="303"/>
      <c r="Y187" s="303"/>
      <c r="Z187" s="304"/>
      <c r="AA187" s="309">
        <v>1</v>
      </c>
      <c r="AB187" s="306"/>
      <c r="AC187" s="306"/>
      <c r="AD187" s="306"/>
      <c r="AE187" s="306"/>
      <c r="AF187" s="306"/>
      <c r="AG187" s="306"/>
      <c r="AH187" s="307"/>
      <c r="AI187" s="22"/>
      <c r="AJ187" s="23"/>
    </row>
    <row r="188" spans="1:36" ht="18" customHeight="1" x14ac:dyDescent="0.25"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302" t="s">
        <v>108</v>
      </c>
      <c r="T188" s="303"/>
      <c r="U188" s="303"/>
      <c r="V188" s="303"/>
      <c r="W188" s="303"/>
      <c r="X188" s="303"/>
      <c r="Y188" s="303"/>
      <c r="Z188" s="304"/>
      <c r="AA188" s="305">
        <f>Y5</f>
        <v>45009</v>
      </c>
      <c r="AB188" s="306"/>
      <c r="AC188" s="306"/>
      <c r="AD188" s="306"/>
      <c r="AE188" s="306"/>
      <c r="AF188" s="306"/>
      <c r="AG188" s="306"/>
      <c r="AH188" s="307"/>
      <c r="AI188" s="22" t="s">
        <v>49</v>
      </c>
      <c r="AJ188" s="24" t="e">
        <f>AJ180/AE15</f>
        <v>#DIV/0!</v>
      </c>
    </row>
    <row r="189" spans="1:36" ht="24.95" customHeight="1" x14ac:dyDescent="0.2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6"/>
      <c r="W189" s="427"/>
      <c r="X189" s="427"/>
      <c r="Y189" s="427"/>
      <c r="Z189" s="427"/>
      <c r="AA189" s="26"/>
      <c r="AB189" s="20"/>
      <c r="AC189" s="20"/>
      <c r="AD189" s="26"/>
      <c r="AE189" s="20"/>
      <c r="AF189" s="20"/>
      <c r="AG189" s="20"/>
      <c r="AH189" s="20"/>
      <c r="AI189" s="25" t="s">
        <v>55</v>
      </c>
      <c r="AJ189" s="27" t="e">
        <f>AJ178+AJ188</f>
        <v>#DIV/0!</v>
      </c>
    </row>
    <row r="191" spans="1:36" x14ac:dyDescent="0.2">
      <c r="AJ191" s="316">
        <f>AJ177+AJ180</f>
        <v>291841.21669984295</v>
      </c>
    </row>
    <row r="192" spans="1:36" x14ac:dyDescent="0.2">
      <c r="AJ192" s="317"/>
    </row>
  </sheetData>
  <protectedRanges>
    <protectedRange sqref="N24:P176" name="Комментарий по замене"/>
    <protectedRange sqref="AH25:AH176" name="Норма с.д"/>
    <protectedRange sqref="M5 K4:L4 N4:U4 A6:N19 Q5:Q9 O5:P10 U5:U9 V5:V10 R5:T10 X5:Y5 Z5:AH10 Z11:AA11 AE11:AH15 W6:Y11 W16:AH16 O17:AH19 O13:U15 W12:AA15 S11:U12" name="Шапка"/>
    <protectedRange sqref="AB11:AD15" name="Шапка_1"/>
    <protectedRange sqref="O11:R12" name="Шапка_3"/>
    <protectedRange sqref="O16:V16" name="Шапка_2_1"/>
  </protectedRanges>
  <autoFilter ref="AE24:AG189" xr:uid="{00000000-0009-0000-0000-000002000000}">
    <filterColumn colId="0" showButton="0">
      <filters blank="1">
        <filter val="1"/>
        <filter val="10"/>
        <filter val="11"/>
        <filter val="12"/>
        <filter val="13"/>
        <filter val="14"/>
        <filter val="15"/>
        <filter val="16"/>
        <filter val="17"/>
        <filter val="18"/>
        <filter val="19"/>
        <filter val="2"/>
        <filter val="20"/>
        <filter val="21"/>
        <filter val="22"/>
        <filter val="23"/>
        <filter val="24"/>
        <filter val="25"/>
        <filter val="26"/>
        <filter val="27"/>
        <filter val="28"/>
        <filter val="29"/>
        <filter val="3"/>
        <filter val="30"/>
        <filter val="31"/>
        <filter val="32"/>
        <filter val="33"/>
        <filter val="34"/>
        <filter val="35"/>
        <filter val="36"/>
        <filter val="37"/>
        <filter val="38"/>
        <filter val="39"/>
        <filter val="4"/>
        <filter val="40"/>
        <filter val="41"/>
        <filter val="42"/>
        <filter val="43"/>
        <filter val="44"/>
        <filter val="45"/>
        <filter val="46"/>
        <filter val="47"/>
        <filter val="48"/>
        <filter val="49"/>
        <filter val="5"/>
        <filter val="50"/>
        <filter val="51"/>
        <filter val="52"/>
        <filter val="53"/>
        <filter val="54"/>
        <filter val="55"/>
        <filter val="56"/>
        <filter val="57"/>
        <filter val="58"/>
        <filter val="6"/>
        <filter val="7"/>
        <filter val="8"/>
        <filter val="9"/>
      </filters>
    </filterColumn>
    <filterColumn colId="1" showButton="0"/>
  </autoFilter>
  <mergeCells count="1817">
    <mergeCell ref="X63:Y63"/>
    <mergeCell ref="X62:Y62"/>
    <mergeCell ref="X22:Y22"/>
    <mergeCell ref="Z22:AA22"/>
    <mergeCell ref="AB22:AD22"/>
    <mergeCell ref="AE22:AG22"/>
    <mergeCell ref="V22:W22"/>
    <mergeCell ref="S22:U22"/>
    <mergeCell ref="Q22:R22"/>
    <mergeCell ref="N22:P22"/>
    <mergeCell ref="G22:M22"/>
    <mergeCell ref="A22:C22"/>
    <mergeCell ref="D22:F22"/>
    <mergeCell ref="AE80:AG80"/>
    <mergeCell ref="S73:U73"/>
    <mergeCell ref="V73:W73"/>
    <mergeCell ref="X73:Y73"/>
    <mergeCell ref="Z73:AA73"/>
    <mergeCell ref="X67:Y67"/>
    <mergeCell ref="A34:C34"/>
    <mergeCell ref="D34:F34"/>
    <mergeCell ref="G34:M34"/>
    <mergeCell ref="N34:P34"/>
    <mergeCell ref="Q34:R34"/>
    <mergeCell ref="Z34:AA34"/>
    <mergeCell ref="AB34:AD34"/>
    <mergeCell ref="AE34:AG34"/>
    <mergeCell ref="V34:W34"/>
    <mergeCell ref="X34:Y34"/>
    <mergeCell ref="S34:U34"/>
    <mergeCell ref="G65:M65"/>
    <mergeCell ref="N65:P65"/>
    <mergeCell ref="X74:Y74"/>
    <mergeCell ref="Z74:AA74"/>
    <mergeCell ref="AB74:AD74"/>
    <mergeCell ref="Q62:R62"/>
    <mergeCell ref="X64:Y64"/>
    <mergeCell ref="AB59:AD59"/>
    <mergeCell ref="A59:C59"/>
    <mergeCell ref="D59:F59"/>
    <mergeCell ref="G59:M59"/>
    <mergeCell ref="N59:P59"/>
    <mergeCell ref="S63:U63"/>
    <mergeCell ref="V63:W63"/>
    <mergeCell ref="AB72:AD72"/>
    <mergeCell ref="AE72:AG72"/>
    <mergeCell ref="S68:U68"/>
    <mergeCell ref="AB61:AD61"/>
    <mergeCell ref="AB64:AD64"/>
    <mergeCell ref="S74:U74"/>
    <mergeCell ref="V74:W74"/>
    <mergeCell ref="S69:U69"/>
    <mergeCell ref="Z69:AA69"/>
    <mergeCell ref="AB69:AD69"/>
    <mergeCell ref="V69:W69"/>
    <mergeCell ref="X69:Y69"/>
    <mergeCell ref="S67:U67"/>
    <mergeCell ref="AE74:AG74"/>
    <mergeCell ref="V70:W70"/>
    <mergeCell ref="X70:Y70"/>
    <mergeCell ref="Z70:AA70"/>
    <mergeCell ref="AB70:AD70"/>
    <mergeCell ref="AE70:AG70"/>
    <mergeCell ref="S70:U70"/>
    <mergeCell ref="D76:F76"/>
    <mergeCell ref="G76:M76"/>
    <mergeCell ref="N76:P76"/>
    <mergeCell ref="A77:C77"/>
    <mergeCell ref="D77:F77"/>
    <mergeCell ref="Z62:AA62"/>
    <mergeCell ref="AB62:AD62"/>
    <mergeCell ref="S62:U62"/>
    <mergeCell ref="S61:U61"/>
    <mergeCell ref="AB63:AD63"/>
    <mergeCell ref="AE63:AG63"/>
    <mergeCell ref="V62:W62"/>
    <mergeCell ref="AB73:AD73"/>
    <mergeCell ref="AE73:AG73"/>
    <mergeCell ref="AB77:AD77"/>
    <mergeCell ref="AE77:AG77"/>
    <mergeCell ref="V76:W76"/>
    <mergeCell ref="X76:Y76"/>
    <mergeCell ref="Z76:AA76"/>
    <mergeCell ref="AB76:AD76"/>
    <mergeCell ref="AE76:AG76"/>
    <mergeCell ref="V72:W72"/>
    <mergeCell ref="X72:Y72"/>
    <mergeCell ref="Z72:AA72"/>
    <mergeCell ref="AE64:AG64"/>
    <mergeCell ref="V68:W68"/>
    <mergeCell ref="X68:Y68"/>
    <mergeCell ref="Z68:AA68"/>
    <mergeCell ref="AB68:AD68"/>
    <mergeCell ref="AE68:AG68"/>
    <mergeCell ref="AE61:AG61"/>
    <mergeCell ref="AE62:AG62"/>
    <mergeCell ref="Q78:R78"/>
    <mergeCell ref="X77:Y77"/>
    <mergeCell ref="A79:C79"/>
    <mergeCell ref="D79:F79"/>
    <mergeCell ref="N80:P80"/>
    <mergeCell ref="V80:W80"/>
    <mergeCell ref="Q80:R80"/>
    <mergeCell ref="S80:U80"/>
    <mergeCell ref="G79:M79"/>
    <mergeCell ref="N79:P79"/>
    <mergeCell ref="Q79:R79"/>
    <mergeCell ref="D78:F78"/>
    <mergeCell ref="G78:M78"/>
    <mergeCell ref="X79:Y79"/>
    <mergeCell ref="X80:Y80"/>
    <mergeCell ref="Z80:AA80"/>
    <mergeCell ref="AB80:AD80"/>
    <mergeCell ref="A74:C74"/>
    <mergeCell ref="D74:F74"/>
    <mergeCell ref="G74:M74"/>
    <mergeCell ref="N74:P74"/>
    <mergeCell ref="Q74:R74"/>
    <mergeCell ref="S75:U75"/>
    <mergeCell ref="V75:W75"/>
    <mergeCell ref="Z77:AA77"/>
    <mergeCell ref="Z79:AA79"/>
    <mergeCell ref="AB79:AD79"/>
    <mergeCell ref="X83:Y83"/>
    <mergeCell ref="AB83:AD83"/>
    <mergeCell ref="V81:W81"/>
    <mergeCell ref="X81:Y81"/>
    <mergeCell ref="Z81:AA81"/>
    <mergeCell ref="AB81:AD81"/>
    <mergeCell ref="AE81:AG81"/>
    <mergeCell ref="Z83:AA83"/>
    <mergeCell ref="AE83:AG83"/>
    <mergeCell ref="AE78:AG78"/>
    <mergeCell ref="V79:W79"/>
    <mergeCell ref="X75:Y75"/>
    <mergeCell ref="Z75:AA75"/>
    <mergeCell ref="AB75:AD75"/>
    <mergeCell ref="AE75:AG75"/>
    <mergeCell ref="A82:C82"/>
    <mergeCell ref="D82:F82"/>
    <mergeCell ref="G82:M82"/>
    <mergeCell ref="Q81:R81"/>
    <mergeCell ref="S81:U81"/>
    <mergeCell ref="S82:U82"/>
    <mergeCell ref="V82:W82"/>
    <mergeCell ref="A75:C75"/>
    <mergeCell ref="W189:Z189"/>
    <mergeCell ref="Z178:AA178"/>
    <mergeCell ref="AC178:AG178"/>
    <mergeCell ref="D179:G179"/>
    <mergeCell ref="I179:J179"/>
    <mergeCell ref="L179:P179"/>
    <mergeCell ref="U179:X179"/>
    <mergeCell ref="Z179:AA179"/>
    <mergeCell ref="AC179:AG179"/>
    <mergeCell ref="X170:Y170"/>
    <mergeCell ref="Z170:AA170"/>
    <mergeCell ref="Q165:R165"/>
    <mergeCell ref="V174:W174"/>
    <mergeCell ref="X174:Y174"/>
    <mergeCell ref="Z174:AA174"/>
    <mergeCell ref="AB174:AD174"/>
    <mergeCell ref="AE174:AG174"/>
    <mergeCell ref="V173:W173"/>
    <mergeCell ref="X173:Y173"/>
    <mergeCell ref="Z173:AA173"/>
    <mergeCell ref="AB173:AD173"/>
    <mergeCell ref="AE173:AG173"/>
    <mergeCell ref="AE79:AG79"/>
    <mergeCell ref="V78:W78"/>
    <mergeCell ref="S77:U77"/>
    <mergeCell ref="V77:W77"/>
    <mergeCell ref="X78:Y78"/>
    <mergeCell ref="Z78:AA78"/>
    <mergeCell ref="Q76:R76"/>
    <mergeCell ref="S76:U76"/>
    <mergeCell ref="AB78:AD78"/>
    <mergeCell ref="AB172:AD172"/>
    <mergeCell ref="AE172:AG172"/>
    <mergeCell ref="V172:W172"/>
    <mergeCell ref="X172:Y172"/>
    <mergeCell ref="A178:C178"/>
    <mergeCell ref="D178:G178"/>
    <mergeCell ref="I178:J178"/>
    <mergeCell ref="L178:P178"/>
    <mergeCell ref="R178:T178"/>
    <mergeCell ref="U178:X178"/>
    <mergeCell ref="V175:W175"/>
    <mergeCell ref="X175:Y175"/>
    <mergeCell ref="Z175:AA175"/>
    <mergeCell ref="AB175:AD175"/>
    <mergeCell ref="AE175:AG175"/>
    <mergeCell ref="D176:F176"/>
    <mergeCell ref="G176:M176"/>
    <mergeCell ref="V176:W176"/>
    <mergeCell ref="X176:Y176"/>
    <mergeCell ref="A175:C175"/>
    <mergeCell ref="D175:F175"/>
    <mergeCell ref="G175:M175"/>
    <mergeCell ref="N175:P175"/>
    <mergeCell ref="Q175:R175"/>
    <mergeCell ref="S175:U175"/>
    <mergeCell ref="Z172:AA172"/>
    <mergeCell ref="A174:C174"/>
    <mergeCell ref="D174:F174"/>
    <mergeCell ref="G174:M174"/>
    <mergeCell ref="N174:P174"/>
    <mergeCell ref="Q174:R174"/>
    <mergeCell ref="A173:C173"/>
    <mergeCell ref="AE82:AG82"/>
    <mergeCell ref="V167:W167"/>
    <mergeCell ref="D171:F171"/>
    <mergeCell ref="G171:M171"/>
    <mergeCell ref="N171:P171"/>
    <mergeCell ref="Q171:R171"/>
    <mergeCell ref="S171:U171"/>
    <mergeCell ref="Z171:AA171"/>
    <mergeCell ref="AB171:AD171"/>
    <mergeCell ref="AE171:AG171"/>
    <mergeCell ref="X167:Y167"/>
    <mergeCell ref="Z167:AA167"/>
    <mergeCell ref="AB167:AD167"/>
    <mergeCell ref="AE167:AG167"/>
    <mergeCell ref="AB170:AD170"/>
    <mergeCell ref="AE170:AG170"/>
    <mergeCell ref="Z168:AA168"/>
    <mergeCell ref="AB168:AD168"/>
    <mergeCell ref="AE168:AG168"/>
    <mergeCell ref="AB169:AD169"/>
    <mergeCell ref="AE169:AG169"/>
    <mergeCell ref="V170:W170"/>
    <mergeCell ref="X163:Y163"/>
    <mergeCell ref="Z163:AA163"/>
    <mergeCell ref="S166:U166"/>
    <mergeCell ref="V168:W168"/>
    <mergeCell ref="X168:Y168"/>
    <mergeCell ref="S83:U83"/>
    <mergeCell ref="V83:W83"/>
    <mergeCell ref="N82:P82"/>
    <mergeCell ref="Q82:R82"/>
    <mergeCell ref="X166:Y166"/>
    <mergeCell ref="A168:C168"/>
    <mergeCell ref="D168:F168"/>
    <mergeCell ref="G168:M168"/>
    <mergeCell ref="N168:P168"/>
    <mergeCell ref="Q168:R168"/>
    <mergeCell ref="S168:U168"/>
    <mergeCell ref="A170:C170"/>
    <mergeCell ref="D170:F170"/>
    <mergeCell ref="G170:M170"/>
    <mergeCell ref="N170:P170"/>
    <mergeCell ref="Q170:R170"/>
    <mergeCell ref="A171:C171"/>
    <mergeCell ref="V169:W169"/>
    <mergeCell ref="X169:Y169"/>
    <mergeCell ref="X82:Y82"/>
    <mergeCell ref="Z82:AA82"/>
    <mergeCell ref="AB82:AD82"/>
    <mergeCell ref="Z169:AA169"/>
    <mergeCell ref="A166:C166"/>
    <mergeCell ref="D166:F166"/>
    <mergeCell ref="G166:M166"/>
    <mergeCell ref="N166:P166"/>
    <mergeCell ref="Q166:R166"/>
    <mergeCell ref="V165:W165"/>
    <mergeCell ref="X165:Y165"/>
    <mergeCell ref="Z165:AA165"/>
    <mergeCell ref="AB165:AD165"/>
    <mergeCell ref="A165:C165"/>
    <mergeCell ref="D165:F165"/>
    <mergeCell ref="G165:M165"/>
    <mergeCell ref="S165:U165"/>
    <mergeCell ref="V166:W166"/>
    <mergeCell ref="D173:F173"/>
    <mergeCell ref="G173:M173"/>
    <mergeCell ref="N173:P173"/>
    <mergeCell ref="Q173:R173"/>
    <mergeCell ref="S173:U173"/>
    <mergeCell ref="S172:U172"/>
    <mergeCell ref="A172:C172"/>
    <mergeCell ref="D172:F172"/>
    <mergeCell ref="G172:M172"/>
    <mergeCell ref="N172:P172"/>
    <mergeCell ref="Q172:R172"/>
    <mergeCell ref="S174:U174"/>
    <mergeCell ref="V171:W171"/>
    <mergeCell ref="X171:Y171"/>
    <mergeCell ref="S170:U170"/>
    <mergeCell ref="Q169:R169"/>
    <mergeCell ref="S169:U169"/>
    <mergeCell ref="Z166:AA166"/>
    <mergeCell ref="AB166:AD166"/>
    <mergeCell ref="N165:P165"/>
    <mergeCell ref="G164:M164"/>
    <mergeCell ref="AB164:AD164"/>
    <mergeCell ref="A164:C164"/>
    <mergeCell ref="D164:F164"/>
    <mergeCell ref="S164:U164"/>
    <mergeCell ref="V164:W164"/>
    <mergeCell ref="X164:Y164"/>
    <mergeCell ref="Z164:AA164"/>
    <mergeCell ref="A96:C96"/>
    <mergeCell ref="D96:F96"/>
    <mergeCell ref="G96:M96"/>
    <mergeCell ref="N96:P96"/>
    <mergeCell ref="Q96:R96"/>
    <mergeCell ref="S96:U96"/>
    <mergeCell ref="A106:C106"/>
    <mergeCell ref="D106:F106"/>
    <mergeCell ref="G106:M106"/>
    <mergeCell ref="N106:P106"/>
    <mergeCell ref="Q106:R106"/>
    <mergeCell ref="S106:U106"/>
    <mergeCell ref="V106:W106"/>
    <mergeCell ref="X106:Y106"/>
    <mergeCell ref="Z106:AA106"/>
    <mergeCell ref="AB106:AD106"/>
    <mergeCell ref="A109:C109"/>
    <mergeCell ref="D109:F109"/>
    <mergeCell ref="G109:M109"/>
    <mergeCell ref="N109:P109"/>
    <mergeCell ref="Q109:R109"/>
    <mergeCell ref="S94:U94"/>
    <mergeCell ref="V94:W94"/>
    <mergeCell ref="X94:Y94"/>
    <mergeCell ref="Z94:AA94"/>
    <mergeCell ref="AB94:AD94"/>
    <mergeCell ref="AB98:AD98"/>
    <mergeCell ref="A100:C100"/>
    <mergeCell ref="D100:F100"/>
    <mergeCell ref="G100:M100"/>
    <mergeCell ref="N100:P100"/>
    <mergeCell ref="Q100:R100"/>
    <mergeCell ref="S100:U100"/>
    <mergeCell ref="V100:W100"/>
    <mergeCell ref="X100:Y100"/>
    <mergeCell ref="Z100:AA100"/>
    <mergeCell ref="AB100:AD100"/>
    <mergeCell ref="A103:C103"/>
    <mergeCell ref="D103:F103"/>
    <mergeCell ref="G103:M103"/>
    <mergeCell ref="N103:P103"/>
    <mergeCell ref="Q103:R103"/>
    <mergeCell ref="S103:U103"/>
    <mergeCell ref="V103:W103"/>
    <mergeCell ref="X103:Y103"/>
    <mergeCell ref="Z103:AA103"/>
    <mergeCell ref="AB103:AD103"/>
    <mergeCell ref="AE94:AG94"/>
    <mergeCell ref="AB95:AD95"/>
    <mergeCell ref="AE95:AG95"/>
    <mergeCell ref="V95:W95"/>
    <mergeCell ref="V96:W96"/>
    <mergeCell ref="X96:Y96"/>
    <mergeCell ref="Z96:AA96"/>
    <mergeCell ref="AB96:AD96"/>
    <mergeCell ref="AE96:AG96"/>
    <mergeCell ref="X95:Y95"/>
    <mergeCell ref="A95:C95"/>
    <mergeCell ref="D95:F95"/>
    <mergeCell ref="N95:P95"/>
    <mergeCell ref="S95:U95"/>
    <mergeCell ref="Q95:R95"/>
    <mergeCell ref="Z95:AA95"/>
    <mergeCell ref="G89:M89"/>
    <mergeCell ref="D89:F89"/>
    <mergeCell ref="A89:C89"/>
    <mergeCell ref="N89:P89"/>
    <mergeCell ref="Z89:AA89"/>
    <mergeCell ref="AB89:AD89"/>
    <mergeCell ref="V93:W93"/>
    <mergeCell ref="X93:Y93"/>
    <mergeCell ref="Z93:AA93"/>
    <mergeCell ref="AB93:AD93"/>
    <mergeCell ref="AE93:AG93"/>
    <mergeCell ref="A94:C94"/>
    <mergeCell ref="D94:F94"/>
    <mergeCell ref="G94:M94"/>
    <mergeCell ref="N94:P94"/>
    <mergeCell ref="Q94:R94"/>
    <mergeCell ref="A93:C93"/>
    <mergeCell ref="D93:F93"/>
    <mergeCell ref="G93:M93"/>
    <mergeCell ref="N93:P93"/>
    <mergeCell ref="Q93:R93"/>
    <mergeCell ref="S93:U93"/>
    <mergeCell ref="AE89:AG89"/>
    <mergeCell ref="S89:U89"/>
    <mergeCell ref="V89:W89"/>
    <mergeCell ref="X89:Y89"/>
    <mergeCell ref="S92:U92"/>
    <mergeCell ref="V92:W92"/>
    <mergeCell ref="X92:Y92"/>
    <mergeCell ref="Z92:AA92"/>
    <mergeCell ref="AB92:AD92"/>
    <mergeCell ref="AE92:AG92"/>
    <mergeCell ref="V91:W91"/>
    <mergeCell ref="X91:Y91"/>
    <mergeCell ref="Z91:AA91"/>
    <mergeCell ref="AB91:AD91"/>
    <mergeCell ref="AE91:AG91"/>
    <mergeCell ref="A92:C92"/>
    <mergeCell ref="D92:F92"/>
    <mergeCell ref="G92:M92"/>
    <mergeCell ref="N92:P92"/>
    <mergeCell ref="Q92:R92"/>
    <mergeCell ref="A91:C91"/>
    <mergeCell ref="D91:F91"/>
    <mergeCell ref="G91:M91"/>
    <mergeCell ref="N91:P91"/>
    <mergeCell ref="Q91:R91"/>
    <mergeCell ref="S91:U91"/>
    <mergeCell ref="AB84:AD84"/>
    <mergeCell ref="AE84:AG84"/>
    <mergeCell ref="A84:C84"/>
    <mergeCell ref="S88:U88"/>
    <mergeCell ref="V88:W88"/>
    <mergeCell ref="X88:Y88"/>
    <mergeCell ref="Z88:AA88"/>
    <mergeCell ref="AB88:AD88"/>
    <mergeCell ref="AE88:AG88"/>
    <mergeCell ref="V87:W87"/>
    <mergeCell ref="X87:Y87"/>
    <mergeCell ref="Z87:AA87"/>
    <mergeCell ref="AB87:AD87"/>
    <mergeCell ref="AE87:AG87"/>
    <mergeCell ref="A88:C88"/>
    <mergeCell ref="D88:F88"/>
    <mergeCell ref="G88:M88"/>
    <mergeCell ref="N88:P88"/>
    <mergeCell ref="Q88:R88"/>
    <mergeCell ref="A87:C87"/>
    <mergeCell ref="D87:F87"/>
    <mergeCell ref="G87:M87"/>
    <mergeCell ref="N87:P87"/>
    <mergeCell ref="Q87:R87"/>
    <mergeCell ref="S87:U87"/>
    <mergeCell ref="D84:F84"/>
    <mergeCell ref="G84:M84"/>
    <mergeCell ref="N84:P84"/>
    <mergeCell ref="Q84:R84"/>
    <mergeCell ref="V86:W86"/>
    <mergeCell ref="X86:Y86"/>
    <mergeCell ref="Z86:AA86"/>
    <mergeCell ref="N71:P71"/>
    <mergeCell ref="Q71:R71"/>
    <mergeCell ref="S71:U71"/>
    <mergeCell ref="A83:C83"/>
    <mergeCell ref="D83:F83"/>
    <mergeCell ref="G83:M83"/>
    <mergeCell ref="S86:U86"/>
    <mergeCell ref="S84:U84"/>
    <mergeCell ref="A71:C71"/>
    <mergeCell ref="D71:F71"/>
    <mergeCell ref="G71:M71"/>
    <mergeCell ref="N83:P83"/>
    <mergeCell ref="Q83:R83"/>
    <mergeCell ref="A78:C78"/>
    <mergeCell ref="G77:M77"/>
    <mergeCell ref="N77:P77"/>
    <mergeCell ref="Q77:R77"/>
    <mergeCell ref="A76:C76"/>
    <mergeCell ref="N78:P78"/>
    <mergeCell ref="S78:U78"/>
    <mergeCell ref="S79:U79"/>
    <mergeCell ref="D75:F75"/>
    <mergeCell ref="G75:M75"/>
    <mergeCell ref="N75:P75"/>
    <mergeCell ref="Q75:R75"/>
    <mergeCell ref="A81:C81"/>
    <mergeCell ref="D81:F81"/>
    <mergeCell ref="G81:M81"/>
    <mergeCell ref="N81:P81"/>
    <mergeCell ref="A80:C80"/>
    <mergeCell ref="D80:F80"/>
    <mergeCell ref="G80:M80"/>
    <mergeCell ref="AB86:AD86"/>
    <mergeCell ref="AE86:AG86"/>
    <mergeCell ref="V85:W85"/>
    <mergeCell ref="X85:Y85"/>
    <mergeCell ref="Z85:AA85"/>
    <mergeCell ref="AB85:AD85"/>
    <mergeCell ref="AE85:AG85"/>
    <mergeCell ref="A86:C86"/>
    <mergeCell ref="D86:F86"/>
    <mergeCell ref="G86:M86"/>
    <mergeCell ref="N86:P86"/>
    <mergeCell ref="Q86:R86"/>
    <mergeCell ref="A85:C85"/>
    <mergeCell ref="D85:F85"/>
    <mergeCell ref="G85:M85"/>
    <mergeCell ref="N85:P85"/>
    <mergeCell ref="Q85:R85"/>
    <mergeCell ref="S85:U85"/>
    <mergeCell ref="V84:W84"/>
    <mergeCell ref="X84:Y84"/>
    <mergeCell ref="Z84:AA84"/>
    <mergeCell ref="AB60:AD60"/>
    <mergeCell ref="AE60:AG60"/>
    <mergeCell ref="A61:C61"/>
    <mergeCell ref="D61:F61"/>
    <mergeCell ref="G61:M61"/>
    <mergeCell ref="N61:P61"/>
    <mergeCell ref="Q61:R61"/>
    <mergeCell ref="A60:C60"/>
    <mergeCell ref="D60:F60"/>
    <mergeCell ref="G60:M60"/>
    <mergeCell ref="N60:P60"/>
    <mergeCell ref="Q60:R60"/>
    <mergeCell ref="S60:U60"/>
    <mergeCell ref="A73:C73"/>
    <mergeCell ref="D73:F73"/>
    <mergeCell ref="G73:M73"/>
    <mergeCell ref="N73:P73"/>
    <mergeCell ref="Q73:R73"/>
    <mergeCell ref="A72:C72"/>
    <mergeCell ref="D72:F72"/>
    <mergeCell ref="G72:M72"/>
    <mergeCell ref="N72:P72"/>
    <mergeCell ref="Q72:R72"/>
    <mergeCell ref="S72:U72"/>
    <mergeCell ref="V71:W71"/>
    <mergeCell ref="X71:Y71"/>
    <mergeCell ref="Z71:AA71"/>
    <mergeCell ref="AB71:AD71"/>
    <mergeCell ref="AE71:AG71"/>
    <mergeCell ref="A68:C68"/>
    <mergeCell ref="D68:F68"/>
    <mergeCell ref="G68:M68"/>
    <mergeCell ref="N68:P68"/>
    <mergeCell ref="Q68:R68"/>
    <mergeCell ref="G69:M69"/>
    <mergeCell ref="N69:P69"/>
    <mergeCell ref="A69:C69"/>
    <mergeCell ref="D69:F69"/>
    <mergeCell ref="Q69:R69"/>
    <mergeCell ref="AE69:AG69"/>
    <mergeCell ref="A67:C67"/>
    <mergeCell ref="D67:F67"/>
    <mergeCell ref="G67:M67"/>
    <mergeCell ref="N67:P67"/>
    <mergeCell ref="Q67:R67"/>
    <mergeCell ref="D64:F64"/>
    <mergeCell ref="G64:M64"/>
    <mergeCell ref="N64:P64"/>
    <mergeCell ref="V67:W67"/>
    <mergeCell ref="Z67:AA67"/>
    <mergeCell ref="AB67:AD67"/>
    <mergeCell ref="X66:Y66"/>
    <mergeCell ref="Z66:AA66"/>
    <mergeCell ref="AB66:AD66"/>
    <mergeCell ref="AE66:AG66"/>
    <mergeCell ref="AE67:AG67"/>
    <mergeCell ref="S64:U64"/>
    <mergeCell ref="V65:W65"/>
    <mergeCell ref="X65:Y65"/>
    <mergeCell ref="A65:C65"/>
    <mergeCell ref="D65:F65"/>
    <mergeCell ref="A70:C70"/>
    <mergeCell ref="D70:F70"/>
    <mergeCell ref="G70:M70"/>
    <mergeCell ref="N70:P70"/>
    <mergeCell ref="Q70:R70"/>
    <mergeCell ref="G66:M66"/>
    <mergeCell ref="V66:W66"/>
    <mergeCell ref="N66:P66"/>
    <mergeCell ref="Q64:R64"/>
    <mergeCell ref="Z64:AA64"/>
    <mergeCell ref="V64:W64"/>
    <mergeCell ref="A64:C64"/>
    <mergeCell ref="A63:C63"/>
    <mergeCell ref="D63:F63"/>
    <mergeCell ref="G63:M63"/>
    <mergeCell ref="N63:P63"/>
    <mergeCell ref="V60:W60"/>
    <mergeCell ref="X60:Y60"/>
    <mergeCell ref="Z60:AA60"/>
    <mergeCell ref="Q63:R63"/>
    <mergeCell ref="A62:C62"/>
    <mergeCell ref="D62:F62"/>
    <mergeCell ref="G62:M62"/>
    <mergeCell ref="N62:P62"/>
    <mergeCell ref="V61:W61"/>
    <mergeCell ref="X61:Y61"/>
    <mergeCell ref="Z61:AA61"/>
    <mergeCell ref="Z63:AA63"/>
    <mergeCell ref="A66:C66"/>
    <mergeCell ref="D66:F66"/>
    <mergeCell ref="Q66:R66"/>
    <mergeCell ref="S66:U66"/>
    <mergeCell ref="Z57:AA57"/>
    <mergeCell ref="AB57:AD57"/>
    <mergeCell ref="AE57:AG57"/>
    <mergeCell ref="A58:C58"/>
    <mergeCell ref="D58:F58"/>
    <mergeCell ref="G58:M58"/>
    <mergeCell ref="N58:P58"/>
    <mergeCell ref="Q58:R58"/>
    <mergeCell ref="A57:C57"/>
    <mergeCell ref="D57:F57"/>
    <mergeCell ref="G57:M57"/>
    <mergeCell ref="N57:P57"/>
    <mergeCell ref="Q57:R57"/>
    <mergeCell ref="S57:U57"/>
    <mergeCell ref="S59:U59"/>
    <mergeCell ref="V59:W59"/>
    <mergeCell ref="X59:Y59"/>
    <mergeCell ref="Z59:AA59"/>
    <mergeCell ref="Q59:R59"/>
    <mergeCell ref="S58:U58"/>
    <mergeCell ref="V58:W58"/>
    <mergeCell ref="X58:Y58"/>
    <mergeCell ref="Z58:AA58"/>
    <mergeCell ref="AB58:AD58"/>
    <mergeCell ref="AE58:AG58"/>
    <mergeCell ref="V57:W57"/>
    <mergeCell ref="X57:Y57"/>
    <mergeCell ref="AE59:AG59"/>
    <mergeCell ref="S56:U56"/>
    <mergeCell ref="V56:W56"/>
    <mergeCell ref="X56:Y56"/>
    <mergeCell ref="Z56:AA56"/>
    <mergeCell ref="AB56:AD56"/>
    <mergeCell ref="AE56:AG56"/>
    <mergeCell ref="V55:W55"/>
    <mergeCell ref="X55:Y55"/>
    <mergeCell ref="Z55:AA55"/>
    <mergeCell ref="AB55:AD55"/>
    <mergeCell ref="AE55:AG55"/>
    <mergeCell ref="A56:C56"/>
    <mergeCell ref="D56:F56"/>
    <mergeCell ref="G56:M56"/>
    <mergeCell ref="N56:P56"/>
    <mergeCell ref="Q56:R56"/>
    <mergeCell ref="A55:C55"/>
    <mergeCell ref="D55:F55"/>
    <mergeCell ref="G55:M55"/>
    <mergeCell ref="N55:P55"/>
    <mergeCell ref="Q55:R55"/>
    <mergeCell ref="S55:U55"/>
    <mergeCell ref="X53:Y53"/>
    <mergeCell ref="Z53:AA53"/>
    <mergeCell ref="AB53:AD53"/>
    <mergeCell ref="AE53:AG53"/>
    <mergeCell ref="A54:C54"/>
    <mergeCell ref="D54:F54"/>
    <mergeCell ref="G54:M54"/>
    <mergeCell ref="N54:P54"/>
    <mergeCell ref="Q54:R54"/>
    <mergeCell ref="A53:C53"/>
    <mergeCell ref="D53:F53"/>
    <mergeCell ref="G53:M53"/>
    <mergeCell ref="N53:P53"/>
    <mergeCell ref="Q53:R53"/>
    <mergeCell ref="S53:U53"/>
    <mergeCell ref="A52:C52"/>
    <mergeCell ref="D52:F52"/>
    <mergeCell ref="Q52:R52"/>
    <mergeCell ref="Z52:AA52"/>
    <mergeCell ref="AB52:AD52"/>
    <mergeCell ref="AE52:AG52"/>
    <mergeCell ref="A42:C42"/>
    <mergeCell ref="G50:M50"/>
    <mergeCell ref="N50:P50"/>
    <mergeCell ref="V50:W50"/>
    <mergeCell ref="X50:Y50"/>
    <mergeCell ref="G51:M51"/>
    <mergeCell ref="N51:P51"/>
    <mergeCell ref="V51:W51"/>
    <mergeCell ref="X51:Y51"/>
    <mergeCell ref="V45:W45"/>
    <mergeCell ref="X45:Y45"/>
    <mergeCell ref="Z45:AA45"/>
    <mergeCell ref="AB45:AD45"/>
    <mergeCell ref="AE45:AG45"/>
    <mergeCell ref="G46:M46"/>
    <mergeCell ref="N46:P46"/>
    <mergeCell ref="V46:W46"/>
    <mergeCell ref="X46:Y46"/>
    <mergeCell ref="G48:M48"/>
    <mergeCell ref="S48:U48"/>
    <mergeCell ref="V48:W48"/>
    <mergeCell ref="X48:Y48"/>
    <mergeCell ref="N48:P48"/>
    <mergeCell ref="S51:U51"/>
    <mergeCell ref="G47:M47"/>
    <mergeCell ref="N47:P47"/>
    <mergeCell ref="S47:U47"/>
    <mergeCell ref="V47:W47"/>
    <mergeCell ref="X47:Y47"/>
    <mergeCell ref="G49:M49"/>
    <mergeCell ref="N49:P49"/>
    <mergeCell ref="S49:U49"/>
    <mergeCell ref="N37:P37"/>
    <mergeCell ref="A45:C45"/>
    <mergeCell ref="D45:F45"/>
    <mergeCell ref="G45:M45"/>
    <mergeCell ref="N45:P45"/>
    <mergeCell ref="Q45:R45"/>
    <mergeCell ref="S45:U45"/>
    <mergeCell ref="S44:U44"/>
    <mergeCell ref="V44:W44"/>
    <mergeCell ref="X44:Y44"/>
    <mergeCell ref="Z44:AA44"/>
    <mergeCell ref="AB44:AD44"/>
    <mergeCell ref="G40:M40"/>
    <mergeCell ref="N40:P40"/>
    <mergeCell ref="Q40:R40"/>
    <mergeCell ref="AE44:AG44"/>
    <mergeCell ref="V43:W43"/>
    <mergeCell ref="X43:Y43"/>
    <mergeCell ref="Z43:AA43"/>
    <mergeCell ref="AB43:AD43"/>
    <mergeCell ref="AE43:AG43"/>
    <mergeCell ref="A44:C44"/>
    <mergeCell ref="D44:F44"/>
    <mergeCell ref="G44:M44"/>
    <mergeCell ref="N44:P44"/>
    <mergeCell ref="Q44:R44"/>
    <mergeCell ref="A43:C43"/>
    <mergeCell ref="D43:F43"/>
    <mergeCell ref="G43:M43"/>
    <mergeCell ref="N43:P43"/>
    <mergeCell ref="Q43:R43"/>
    <mergeCell ref="S43:U43"/>
    <mergeCell ref="D42:F42"/>
    <mergeCell ref="G42:M42"/>
    <mergeCell ref="N42:P42"/>
    <mergeCell ref="Q42:R42"/>
    <mergeCell ref="S42:U42"/>
    <mergeCell ref="N38:P38"/>
    <mergeCell ref="Q38:R38"/>
    <mergeCell ref="S38:U38"/>
    <mergeCell ref="S41:U41"/>
    <mergeCell ref="V41:W41"/>
    <mergeCell ref="X41:Y41"/>
    <mergeCell ref="Z41:AA41"/>
    <mergeCell ref="AB41:AD41"/>
    <mergeCell ref="AE41:AG41"/>
    <mergeCell ref="V40:W40"/>
    <mergeCell ref="X40:Y40"/>
    <mergeCell ref="Z40:AA40"/>
    <mergeCell ref="AB40:AD40"/>
    <mergeCell ref="AE40:AG40"/>
    <mergeCell ref="V42:W42"/>
    <mergeCell ref="X42:Y42"/>
    <mergeCell ref="Z42:AA42"/>
    <mergeCell ref="AB42:AD42"/>
    <mergeCell ref="AE42:AG42"/>
    <mergeCell ref="A41:C41"/>
    <mergeCell ref="D41:F41"/>
    <mergeCell ref="G41:M41"/>
    <mergeCell ref="N41:P41"/>
    <mergeCell ref="Q41:R41"/>
    <mergeCell ref="A40:C40"/>
    <mergeCell ref="D40:F40"/>
    <mergeCell ref="V38:W38"/>
    <mergeCell ref="X38:Y38"/>
    <mergeCell ref="Z38:AA38"/>
    <mergeCell ref="AB38:AD38"/>
    <mergeCell ref="AE38:AG38"/>
    <mergeCell ref="AE29:AG29"/>
    <mergeCell ref="N33:P33"/>
    <mergeCell ref="Q33:R33"/>
    <mergeCell ref="Z39:AA39"/>
    <mergeCell ref="AB39:AD39"/>
    <mergeCell ref="AE39:AG39"/>
    <mergeCell ref="V39:W39"/>
    <mergeCell ref="X39:Y39"/>
    <mergeCell ref="X37:Y37"/>
    <mergeCell ref="N29:P29"/>
    <mergeCell ref="Q29:R29"/>
    <mergeCell ref="S29:U29"/>
    <mergeCell ref="V33:W33"/>
    <mergeCell ref="X33:Y33"/>
    <mergeCell ref="Z33:AA33"/>
    <mergeCell ref="X29:Y29"/>
    <mergeCell ref="Z29:AA29"/>
    <mergeCell ref="AB37:AD37"/>
    <mergeCell ref="Z36:AA36"/>
    <mergeCell ref="AB36:AD36"/>
    <mergeCell ref="V27:W27"/>
    <mergeCell ref="D24:F24"/>
    <mergeCell ref="G24:M24"/>
    <mergeCell ref="N24:P24"/>
    <mergeCell ref="X27:Y27"/>
    <mergeCell ref="X28:Y28"/>
    <mergeCell ref="S32:U32"/>
    <mergeCell ref="V32:W32"/>
    <mergeCell ref="X32:Y32"/>
    <mergeCell ref="Z32:AA32"/>
    <mergeCell ref="AB32:AD32"/>
    <mergeCell ref="V29:W29"/>
    <mergeCell ref="S36:U36"/>
    <mergeCell ref="V36:W36"/>
    <mergeCell ref="X36:Y36"/>
    <mergeCell ref="G28:M28"/>
    <mergeCell ref="Q36:R36"/>
    <mergeCell ref="AB33:AD33"/>
    <mergeCell ref="G30:M30"/>
    <mergeCell ref="N32:P32"/>
    <mergeCell ref="AB28:AD28"/>
    <mergeCell ref="S28:U28"/>
    <mergeCell ref="Q28:R28"/>
    <mergeCell ref="D28:F28"/>
    <mergeCell ref="V28:W28"/>
    <mergeCell ref="V26:W26"/>
    <mergeCell ref="X26:Y26"/>
    <mergeCell ref="Z26:AA26"/>
    <mergeCell ref="AB26:AD26"/>
    <mergeCell ref="A32:C32"/>
    <mergeCell ref="D32:F32"/>
    <mergeCell ref="G32:M32"/>
    <mergeCell ref="A33:C33"/>
    <mergeCell ref="D33:F33"/>
    <mergeCell ref="G33:M33"/>
    <mergeCell ref="D26:F26"/>
    <mergeCell ref="G26:M26"/>
    <mergeCell ref="N26:P26"/>
    <mergeCell ref="Q26:R26"/>
    <mergeCell ref="A25:C25"/>
    <mergeCell ref="D25:F25"/>
    <mergeCell ref="G25:M25"/>
    <mergeCell ref="N25:P25"/>
    <mergeCell ref="Q25:R25"/>
    <mergeCell ref="S25:U25"/>
    <mergeCell ref="S24:U24"/>
    <mergeCell ref="G31:M31"/>
    <mergeCell ref="S31:U31"/>
    <mergeCell ref="A24:C24"/>
    <mergeCell ref="G27:M27"/>
    <mergeCell ref="A28:C28"/>
    <mergeCell ref="Q24:R24"/>
    <mergeCell ref="S26:U26"/>
    <mergeCell ref="AE26:AG26"/>
    <mergeCell ref="V25:W25"/>
    <mergeCell ref="X25:Y25"/>
    <mergeCell ref="Z25:AA25"/>
    <mergeCell ref="AB25:AD25"/>
    <mergeCell ref="A23:C23"/>
    <mergeCell ref="D23:F23"/>
    <mergeCell ref="G23:M23"/>
    <mergeCell ref="N23:P23"/>
    <mergeCell ref="Q23:R23"/>
    <mergeCell ref="S23:U23"/>
    <mergeCell ref="AE25:AG25"/>
    <mergeCell ref="A26:C26"/>
    <mergeCell ref="V24:W24"/>
    <mergeCell ref="X24:Y24"/>
    <mergeCell ref="Z24:AA24"/>
    <mergeCell ref="AB24:AD24"/>
    <mergeCell ref="V23:W23"/>
    <mergeCell ref="X23:Y23"/>
    <mergeCell ref="Z23:AA23"/>
    <mergeCell ref="AB23:AD23"/>
    <mergeCell ref="AE23:AG23"/>
    <mergeCell ref="AE24:AG24"/>
    <mergeCell ref="AJ20:AJ21"/>
    <mergeCell ref="A21:C21"/>
    <mergeCell ref="D21:F21"/>
    <mergeCell ref="G21:M21"/>
    <mergeCell ref="N21:P21"/>
    <mergeCell ref="Q21:R21"/>
    <mergeCell ref="S21:U21"/>
    <mergeCell ref="A20:F20"/>
    <mergeCell ref="G20:P20"/>
    <mergeCell ref="Q20:U20"/>
    <mergeCell ref="V20:Y20"/>
    <mergeCell ref="Z20:AA21"/>
    <mergeCell ref="AB20:AD21"/>
    <mergeCell ref="V21:W21"/>
    <mergeCell ref="X21:Y21"/>
    <mergeCell ref="O15:R15"/>
    <mergeCell ref="S15:X15"/>
    <mergeCell ref="AB15:AD15"/>
    <mergeCell ref="AE15:AG15"/>
    <mergeCell ref="AI20:AI21"/>
    <mergeCell ref="AE20:AG21"/>
    <mergeCell ref="AH20:AH21"/>
    <mergeCell ref="A1:AG1"/>
    <mergeCell ref="A2:AG2"/>
    <mergeCell ref="A3:AG3"/>
    <mergeCell ref="N4:T4"/>
    <mergeCell ref="U4:W4"/>
    <mergeCell ref="M5:T5"/>
    <mergeCell ref="U5:W5"/>
    <mergeCell ref="AB5:AG5"/>
    <mergeCell ref="Y10:AA10"/>
    <mergeCell ref="AB10:AD10"/>
    <mergeCell ref="A11:E15"/>
    <mergeCell ref="F11:H15"/>
    <mergeCell ref="I11:L15"/>
    <mergeCell ref="M11:M15"/>
    <mergeCell ref="N11:N15"/>
    <mergeCell ref="O11:R11"/>
    <mergeCell ref="S11:X11"/>
    <mergeCell ref="Y11:AA11"/>
    <mergeCell ref="A9:E10"/>
    <mergeCell ref="F9:H10"/>
    <mergeCell ref="I9:N9"/>
    <mergeCell ref="O9:X9"/>
    <mergeCell ref="Y9:AD9"/>
    <mergeCell ref="AE9:AG10"/>
    <mergeCell ref="I10:L10"/>
    <mergeCell ref="M10:N10"/>
    <mergeCell ref="O10:R10"/>
    <mergeCell ref="S10:X10"/>
    <mergeCell ref="AB11:AD11"/>
    <mergeCell ref="AE11:AG11"/>
    <mergeCell ref="O12:R12"/>
    <mergeCell ref="S12:X12"/>
    <mergeCell ref="AJ191:AJ192"/>
    <mergeCell ref="W6:AA6"/>
    <mergeCell ref="AB6:AG6"/>
    <mergeCell ref="A7:D7"/>
    <mergeCell ref="E7:X7"/>
    <mergeCell ref="Y7:AA7"/>
    <mergeCell ref="AB7:AG7"/>
    <mergeCell ref="A17:H17"/>
    <mergeCell ref="I17:AA17"/>
    <mergeCell ref="E18:H18"/>
    <mergeCell ref="I18:Q18"/>
    <mergeCell ref="R18:T18"/>
    <mergeCell ref="U18:Y18"/>
    <mergeCell ref="Z18:AG18"/>
    <mergeCell ref="E16:G16"/>
    <mergeCell ref="H16:L16"/>
    <mergeCell ref="M16:N16"/>
    <mergeCell ref="O16:V16"/>
    <mergeCell ref="Y16:Z16"/>
    <mergeCell ref="AA16:AD16"/>
    <mergeCell ref="Y15:AA15"/>
    <mergeCell ref="G95:M95"/>
    <mergeCell ref="D30:F30"/>
    <mergeCell ref="A30:C30"/>
    <mergeCell ref="N30:P30"/>
    <mergeCell ref="Q30:R30"/>
    <mergeCell ref="S30:U30"/>
    <mergeCell ref="V30:W30"/>
    <mergeCell ref="X30:Y30"/>
    <mergeCell ref="A29:C29"/>
    <mergeCell ref="D29:F29"/>
    <mergeCell ref="AB29:AD29"/>
    <mergeCell ref="S188:Z188"/>
    <mergeCell ref="AA188:AH188"/>
    <mergeCell ref="AB163:AD163"/>
    <mergeCell ref="AE35:AG35"/>
    <mergeCell ref="S27:U27"/>
    <mergeCell ref="G90:M90"/>
    <mergeCell ref="S181:AH181"/>
    <mergeCell ref="S182:Z182"/>
    <mergeCell ref="AA182:AH182"/>
    <mergeCell ref="S183:Z183"/>
    <mergeCell ref="AA183:AH183"/>
    <mergeCell ref="S184:Z184"/>
    <mergeCell ref="AA184:AH184"/>
    <mergeCell ref="S185:Z185"/>
    <mergeCell ref="AA185:AH185"/>
    <mergeCell ref="S186:Z186"/>
    <mergeCell ref="AA186:AH186"/>
    <mergeCell ref="S187:Z187"/>
    <mergeCell ref="AA187:AH187"/>
    <mergeCell ref="N164:P164"/>
    <mergeCell ref="Q164:R164"/>
    <mergeCell ref="AE37:AG37"/>
    <mergeCell ref="S40:U40"/>
    <mergeCell ref="G39:M39"/>
    <mergeCell ref="AE28:AG28"/>
    <mergeCell ref="G29:M29"/>
    <mergeCell ref="AE166:AG166"/>
    <mergeCell ref="Z98:AA98"/>
    <mergeCell ref="AE36:AG36"/>
    <mergeCell ref="V35:W35"/>
    <mergeCell ref="N28:P28"/>
    <mergeCell ref="Z28:AA28"/>
    <mergeCell ref="N90:P90"/>
    <mergeCell ref="Q90:R90"/>
    <mergeCell ref="S90:U90"/>
    <mergeCell ref="Z90:AA90"/>
    <mergeCell ref="AB90:AD90"/>
    <mergeCell ref="AE90:AG90"/>
    <mergeCell ref="V90:W90"/>
    <mergeCell ref="X90:Y90"/>
    <mergeCell ref="S65:U65"/>
    <mergeCell ref="Q89:R89"/>
    <mergeCell ref="AE30:AG30"/>
    <mergeCell ref="A35:C35"/>
    <mergeCell ref="D35:F35"/>
    <mergeCell ref="S46:U46"/>
    <mergeCell ref="S50:U50"/>
    <mergeCell ref="S52:U52"/>
    <mergeCell ref="A36:C36"/>
    <mergeCell ref="D36:F36"/>
    <mergeCell ref="G36:M36"/>
    <mergeCell ref="N36:P36"/>
    <mergeCell ref="G35:M35"/>
    <mergeCell ref="N35:P35"/>
    <mergeCell ref="Q35:R35"/>
    <mergeCell ref="S35:U35"/>
    <mergeCell ref="A37:C37"/>
    <mergeCell ref="S33:U33"/>
    <mergeCell ref="Q32:R32"/>
    <mergeCell ref="Z30:AA30"/>
    <mergeCell ref="AB30:AD30"/>
    <mergeCell ref="AE32:AG32"/>
    <mergeCell ref="V31:W31"/>
    <mergeCell ref="X31:Y31"/>
    <mergeCell ref="A167:C167"/>
    <mergeCell ref="D167:F167"/>
    <mergeCell ref="G167:M167"/>
    <mergeCell ref="N167:P167"/>
    <mergeCell ref="Q167:R167"/>
    <mergeCell ref="S167:U167"/>
    <mergeCell ref="A169:C169"/>
    <mergeCell ref="D169:F169"/>
    <mergeCell ref="G169:M169"/>
    <mergeCell ref="N169:P169"/>
    <mergeCell ref="Y12:AA12"/>
    <mergeCell ref="AB12:AD12"/>
    <mergeCell ref="AE12:AG12"/>
    <mergeCell ref="A97:C97"/>
    <mergeCell ref="D97:F97"/>
    <mergeCell ref="G97:M97"/>
    <mergeCell ref="N97:P97"/>
    <mergeCell ref="Q97:R97"/>
    <mergeCell ref="S97:U97"/>
    <mergeCell ref="V97:W97"/>
    <mergeCell ref="X97:Y97"/>
    <mergeCell ref="Z97:AA97"/>
    <mergeCell ref="AB97:AD97"/>
    <mergeCell ref="AE97:AG97"/>
    <mergeCell ref="A98:C98"/>
    <mergeCell ref="D98:F98"/>
    <mergeCell ref="G98:M98"/>
    <mergeCell ref="N98:P98"/>
    <mergeCell ref="Q98:R98"/>
    <mergeCell ref="S98:U98"/>
    <mergeCell ref="V98:W98"/>
    <mergeCell ref="X98:Y98"/>
    <mergeCell ref="AE98:AG98"/>
    <mergeCell ref="A27:C27"/>
    <mergeCell ref="D27:F27"/>
    <mergeCell ref="N27:P27"/>
    <mergeCell ref="Q27:R27"/>
    <mergeCell ref="Z27:AA27"/>
    <mergeCell ref="AB27:AD27"/>
    <mergeCell ref="AE27:AG27"/>
    <mergeCell ref="A99:C99"/>
    <mergeCell ref="D99:F99"/>
    <mergeCell ref="G99:M99"/>
    <mergeCell ref="N99:P99"/>
    <mergeCell ref="Q99:R99"/>
    <mergeCell ref="S99:U99"/>
    <mergeCell ref="V99:W99"/>
    <mergeCell ref="X99:Y99"/>
    <mergeCell ref="Z99:AA99"/>
    <mergeCell ref="AB99:AD99"/>
    <mergeCell ref="AE99:AG99"/>
    <mergeCell ref="AE47:AG47"/>
    <mergeCell ref="S37:U37"/>
    <mergeCell ref="V37:W37"/>
    <mergeCell ref="AE49:AG49"/>
    <mergeCell ref="X49:Y49"/>
    <mergeCell ref="A39:C39"/>
    <mergeCell ref="D39:F39"/>
    <mergeCell ref="N39:P39"/>
    <mergeCell ref="Q39:R39"/>
    <mergeCell ref="S39:U39"/>
    <mergeCell ref="A90:C90"/>
    <mergeCell ref="D90:F90"/>
    <mergeCell ref="Q50:R50"/>
    <mergeCell ref="AE100:AG100"/>
    <mergeCell ref="A101:C101"/>
    <mergeCell ref="D101:F101"/>
    <mergeCell ref="G101:M101"/>
    <mergeCell ref="N101:P101"/>
    <mergeCell ref="Q101:R101"/>
    <mergeCell ref="S101:U101"/>
    <mergeCell ref="V101:W101"/>
    <mergeCell ref="X101:Y101"/>
    <mergeCell ref="Z101:AA101"/>
    <mergeCell ref="AB101:AD101"/>
    <mergeCell ref="AE101:AG101"/>
    <mergeCell ref="A102:C102"/>
    <mergeCell ref="D102:F102"/>
    <mergeCell ref="G102:M102"/>
    <mergeCell ref="N102:P102"/>
    <mergeCell ref="Q102:R102"/>
    <mergeCell ref="S102:U102"/>
    <mergeCell ref="V102:W102"/>
    <mergeCell ref="X102:Y102"/>
    <mergeCell ref="Z102:AA102"/>
    <mergeCell ref="AB102:AD102"/>
    <mergeCell ref="AE102:AG102"/>
    <mergeCell ref="AE103:AG103"/>
    <mergeCell ref="A104:C104"/>
    <mergeCell ref="D104:F104"/>
    <mergeCell ref="G104:M104"/>
    <mergeCell ref="N104:P104"/>
    <mergeCell ref="Q104:R104"/>
    <mergeCell ref="S104:U104"/>
    <mergeCell ref="V104:W104"/>
    <mergeCell ref="X104:Y104"/>
    <mergeCell ref="Z104:AA104"/>
    <mergeCell ref="AB104:AD104"/>
    <mergeCell ref="AE104:AG104"/>
    <mergeCell ref="A105:C105"/>
    <mergeCell ref="D105:F105"/>
    <mergeCell ref="G105:M105"/>
    <mergeCell ref="N105:P105"/>
    <mergeCell ref="Q105:R105"/>
    <mergeCell ref="S105:U105"/>
    <mergeCell ref="V105:W105"/>
    <mergeCell ref="X105:Y105"/>
    <mergeCell ref="Z105:AA105"/>
    <mergeCell ref="AB105:AD105"/>
    <mergeCell ref="AE105:AG105"/>
    <mergeCell ref="AE106:AG106"/>
    <mergeCell ref="A107:C107"/>
    <mergeCell ref="D107:F107"/>
    <mergeCell ref="G107:M107"/>
    <mergeCell ref="N107:P107"/>
    <mergeCell ref="Q107:R107"/>
    <mergeCell ref="S107:U107"/>
    <mergeCell ref="V107:W107"/>
    <mergeCell ref="X107:Y107"/>
    <mergeCell ref="Z107:AA107"/>
    <mergeCell ref="AB107:AD107"/>
    <mergeCell ref="AE107:AG107"/>
    <mergeCell ref="A108:C108"/>
    <mergeCell ref="D108:F108"/>
    <mergeCell ref="G108:M108"/>
    <mergeCell ref="N108:P108"/>
    <mergeCell ref="Q108:R108"/>
    <mergeCell ref="S108:U108"/>
    <mergeCell ref="V108:W108"/>
    <mergeCell ref="X108:Y108"/>
    <mergeCell ref="Z108:AA108"/>
    <mergeCell ref="AB108:AD108"/>
    <mergeCell ref="AE108:AG108"/>
    <mergeCell ref="S109:U109"/>
    <mergeCell ref="V109:W109"/>
    <mergeCell ref="X109:Y109"/>
    <mergeCell ref="Z109:AA109"/>
    <mergeCell ref="AB109:AD109"/>
    <mergeCell ref="AE109:AG109"/>
    <mergeCell ref="A110:C110"/>
    <mergeCell ref="D110:F110"/>
    <mergeCell ref="G110:M110"/>
    <mergeCell ref="N110:P110"/>
    <mergeCell ref="Q110:R110"/>
    <mergeCell ref="S110:U110"/>
    <mergeCell ref="V110:W110"/>
    <mergeCell ref="X110:Y110"/>
    <mergeCell ref="Z110:AA110"/>
    <mergeCell ref="AB110:AD110"/>
    <mergeCell ref="AE110:AG110"/>
    <mergeCell ref="A111:C111"/>
    <mergeCell ref="D111:F111"/>
    <mergeCell ref="G111:M111"/>
    <mergeCell ref="N111:P111"/>
    <mergeCell ref="Q111:R111"/>
    <mergeCell ref="S111:U111"/>
    <mergeCell ref="V111:W111"/>
    <mergeCell ref="X111:Y111"/>
    <mergeCell ref="Z111:AA111"/>
    <mergeCell ref="AB111:AD111"/>
    <mergeCell ref="AE111:AG111"/>
    <mergeCell ref="A112:C112"/>
    <mergeCell ref="D112:F112"/>
    <mergeCell ref="G112:M112"/>
    <mergeCell ref="N112:P112"/>
    <mergeCell ref="Q112:R112"/>
    <mergeCell ref="S112:U112"/>
    <mergeCell ref="V112:W112"/>
    <mergeCell ref="X112:Y112"/>
    <mergeCell ref="Z112:AA112"/>
    <mergeCell ref="AB112:AD112"/>
    <mergeCell ref="AE112:AG112"/>
    <mergeCell ref="A113:C113"/>
    <mergeCell ref="D113:F113"/>
    <mergeCell ref="G113:M113"/>
    <mergeCell ref="N113:P113"/>
    <mergeCell ref="Q113:R113"/>
    <mergeCell ref="S113:U113"/>
    <mergeCell ref="V113:W113"/>
    <mergeCell ref="X113:Y113"/>
    <mergeCell ref="Z113:AA113"/>
    <mergeCell ref="AB113:AD113"/>
    <mergeCell ref="AE113:AG113"/>
    <mergeCell ref="A114:C114"/>
    <mergeCell ref="D114:F114"/>
    <mergeCell ref="G114:M114"/>
    <mergeCell ref="N114:P114"/>
    <mergeCell ref="Q114:R114"/>
    <mergeCell ref="S114:U114"/>
    <mergeCell ref="V114:W114"/>
    <mergeCell ref="X114:Y114"/>
    <mergeCell ref="Z114:AA114"/>
    <mergeCell ref="AB114:AD114"/>
    <mergeCell ref="AE114:AG114"/>
    <mergeCell ref="A115:C115"/>
    <mergeCell ref="D115:F115"/>
    <mergeCell ref="G115:M115"/>
    <mergeCell ref="N115:P115"/>
    <mergeCell ref="Q115:R115"/>
    <mergeCell ref="S115:U115"/>
    <mergeCell ref="V115:W115"/>
    <mergeCell ref="X115:Y115"/>
    <mergeCell ref="Z115:AA115"/>
    <mergeCell ref="AB115:AD115"/>
    <mergeCell ref="AE115:AG115"/>
    <mergeCell ref="A116:C116"/>
    <mergeCell ref="D116:F116"/>
    <mergeCell ref="G116:M116"/>
    <mergeCell ref="N116:P116"/>
    <mergeCell ref="Q116:R116"/>
    <mergeCell ref="S116:U116"/>
    <mergeCell ref="V116:W116"/>
    <mergeCell ref="X116:Y116"/>
    <mergeCell ref="Z116:AA116"/>
    <mergeCell ref="AB116:AD116"/>
    <mergeCell ref="AE116:AG116"/>
    <mergeCell ref="A117:C117"/>
    <mergeCell ref="D117:F117"/>
    <mergeCell ref="G117:M117"/>
    <mergeCell ref="N117:P117"/>
    <mergeCell ref="Q117:R117"/>
    <mergeCell ref="S117:U117"/>
    <mergeCell ref="V117:W117"/>
    <mergeCell ref="X117:Y117"/>
    <mergeCell ref="Z117:AA117"/>
    <mergeCell ref="AB117:AD117"/>
    <mergeCell ref="AE117:AG117"/>
    <mergeCell ref="A118:C118"/>
    <mergeCell ref="D118:F118"/>
    <mergeCell ref="G118:M118"/>
    <mergeCell ref="N118:P118"/>
    <mergeCell ref="Q118:R118"/>
    <mergeCell ref="S118:U118"/>
    <mergeCell ref="V118:W118"/>
    <mergeCell ref="X118:Y118"/>
    <mergeCell ref="Z118:AA118"/>
    <mergeCell ref="AB118:AD118"/>
    <mergeCell ref="AE118:AG118"/>
    <mergeCell ref="A119:C119"/>
    <mergeCell ref="D119:F119"/>
    <mergeCell ref="G119:M119"/>
    <mergeCell ref="N119:P119"/>
    <mergeCell ref="Q119:R119"/>
    <mergeCell ref="S119:U119"/>
    <mergeCell ref="V119:W119"/>
    <mergeCell ref="X119:Y119"/>
    <mergeCell ref="Z119:AA119"/>
    <mergeCell ref="AB119:AD119"/>
    <mergeCell ref="AE119:AG119"/>
    <mergeCell ref="A120:C120"/>
    <mergeCell ref="D120:F120"/>
    <mergeCell ref="G120:M120"/>
    <mergeCell ref="N120:P120"/>
    <mergeCell ref="Q120:R120"/>
    <mergeCell ref="S120:U120"/>
    <mergeCell ref="V120:W120"/>
    <mergeCell ref="X120:Y120"/>
    <mergeCell ref="Z120:AA120"/>
    <mergeCell ref="AB120:AD120"/>
    <mergeCell ref="AE120:AG120"/>
    <mergeCell ref="A121:C121"/>
    <mergeCell ref="D121:F121"/>
    <mergeCell ref="G121:M121"/>
    <mergeCell ref="N121:P121"/>
    <mergeCell ref="Q121:R121"/>
    <mergeCell ref="S121:U121"/>
    <mergeCell ref="V121:W121"/>
    <mergeCell ref="X121:Y121"/>
    <mergeCell ref="Z121:AA121"/>
    <mergeCell ref="AB121:AD121"/>
    <mergeCell ref="AE121:AG121"/>
    <mergeCell ref="A122:C122"/>
    <mergeCell ref="D122:F122"/>
    <mergeCell ref="G122:M122"/>
    <mergeCell ref="N122:P122"/>
    <mergeCell ref="Q122:R122"/>
    <mergeCell ref="S122:U122"/>
    <mergeCell ref="V122:W122"/>
    <mergeCell ref="X122:Y122"/>
    <mergeCell ref="Z122:AA122"/>
    <mergeCell ref="AB122:AD122"/>
    <mergeCell ref="AE122:AG122"/>
    <mergeCell ref="A123:C123"/>
    <mergeCell ref="D123:F123"/>
    <mergeCell ref="G123:M123"/>
    <mergeCell ref="N123:P123"/>
    <mergeCell ref="Q123:R123"/>
    <mergeCell ref="S123:U123"/>
    <mergeCell ref="V123:W123"/>
    <mergeCell ref="X123:Y123"/>
    <mergeCell ref="Z123:AA123"/>
    <mergeCell ref="AB123:AD123"/>
    <mergeCell ref="AE123:AG123"/>
    <mergeCell ref="A124:C124"/>
    <mergeCell ref="D124:F124"/>
    <mergeCell ref="G124:M124"/>
    <mergeCell ref="N124:P124"/>
    <mergeCell ref="Q124:R124"/>
    <mergeCell ref="S124:U124"/>
    <mergeCell ref="V124:W124"/>
    <mergeCell ref="X124:Y124"/>
    <mergeCell ref="Z124:AA124"/>
    <mergeCell ref="AB124:AD124"/>
    <mergeCell ref="AE124:AG124"/>
    <mergeCell ref="A125:C125"/>
    <mergeCell ref="D125:F125"/>
    <mergeCell ref="G125:M125"/>
    <mergeCell ref="N125:P125"/>
    <mergeCell ref="Q125:R125"/>
    <mergeCell ref="S125:U125"/>
    <mergeCell ref="V125:W125"/>
    <mergeCell ref="X125:Y125"/>
    <mergeCell ref="Z125:AA125"/>
    <mergeCell ref="AB125:AD125"/>
    <mergeCell ref="AE125:AG125"/>
    <mergeCell ref="A126:C126"/>
    <mergeCell ref="D126:F126"/>
    <mergeCell ref="G126:M126"/>
    <mergeCell ref="N126:P126"/>
    <mergeCell ref="Q126:R126"/>
    <mergeCell ref="S126:U126"/>
    <mergeCell ref="V126:W126"/>
    <mergeCell ref="X126:Y126"/>
    <mergeCell ref="Z126:AA126"/>
    <mergeCell ref="AB126:AD126"/>
    <mergeCell ref="AE126:AG126"/>
    <mergeCell ref="A127:C127"/>
    <mergeCell ref="D127:F127"/>
    <mergeCell ref="G127:M127"/>
    <mergeCell ref="N127:P127"/>
    <mergeCell ref="Q127:R127"/>
    <mergeCell ref="S127:U127"/>
    <mergeCell ref="V127:W127"/>
    <mergeCell ref="X127:Y127"/>
    <mergeCell ref="Z127:AA127"/>
    <mergeCell ref="AB127:AD127"/>
    <mergeCell ref="AE127:AG127"/>
    <mergeCell ref="A128:C128"/>
    <mergeCell ref="D128:F128"/>
    <mergeCell ref="G128:M128"/>
    <mergeCell ref="N128:P128"/>
    <mergeCell ref="Q128:R128"/>
    <mergeCell ref="S128:U128"/>
    <mergeCell ref="V128:W128"/>
    <mergeCell ref="X128:Y128"/>
    <mergeCell ref="Z128:AA128"/>
    <mergeCell ref="AB128:AD128"/>
    <mergeCell ref="AE128:AG128"/>
    <mergeCell ref="A129:C129"/>
    <mergeCell ref="D129:F129"/>
    <mergeCell ref="G129:M129"/>
    <mergeCell ref="N129:P129"/>
    <mergeCell ref="Q129:R129"/>
    <mergeCell ref="S129:U129"/>
    <mergeCell ref="V129:W129"/>
    <mergeCell ref="X129:Y129"/>
    <mergeCell ref="Z129:AA129"/>
    <mergeCell ref="AB129:AD129"/>
    <mergeCell ref="AE129:AG129"/>
    <mergeCell ref="A130:C130"/>
    <mergeCell ref="D130:F130"/>
    <mergeCell ref="G130:M130"/>
    <mergeCell ref="N130:P130"/>
    <mergeCell ref="Q130:R130"/>
    <mergeCell ref="S130:U130"/>
    <mergeCell ref="V130:W130"/>
    <mergeCell ref="X130:Y130"/>
    <mergeCell ref="Z130:AA130"/>
    <mergeCell ref="AB130:AD130"/>
    <mergeCell ref="AE130:AG130"/>
    <mergeCell ref="A131:C131"/>
    <mergeCell ref="D131:F131"/>
    <mergeCell ref="G131:M131"/>
    <mergeCell ref="N131:P131"/>
    <mergeCell ref="Q131:R131"/>
    <mergeCell ref="S131:U131"/>
    <mergeCell ref="V131:W131"/>
    <mergeCell ref="X131:Y131"/>
    <mergeCell ref="Z131:AA131"/>
    <mergeCell ref="AB131:AD131"/>
    <mergeCell ref="AE131:AG131"/>
    <mergeCell ref="A132:C132"/>
    <mergeCell ref="D132:F132"/>
    <mergeCell ref="G132:M132"/>
    <mergeCell ref="N132:P132"/>
    <mergeCell ref="Q132:R132"/>
    <mergeCell ref="S132:U132"/>
    <mergeCell ref="V132:W132"/>
    <mergeCell ref="X132:Y132"/>
    <mergeCell ref="Z132:AA132"/>
    <mergeCell ref="AB132:AD132"/>
    <mergeCell ref="AE132:AG132"/>
    <mergeCell ref="A133:C133"/>
    <mergeCell ref="D133:F133"/>
    <mergeCell ref="G133:M133"/>
    <mergeCell ref="N133:P133"/>
    <mergeCell ref="Q133:R133"/>
    <mergeCell ref="S133:U133"/>
    <mergeCell ref="V133:W133"/>
    <mergeCell ref="X133:Y133"/>
    <mergeCell ref="Z133:AA133"/>
    <mergeCell ref="AB133:AD133"/>
    <mergeCell ref="AE133:AG133"/>
    <mergeCell ref="A134:C134"/>
    <mergeCell ref="D134:F134"/>
    <mergeCell ref="G134:M134"/>
    <mergeCell ref="N134:P134"/>
    <mergeCell ref="Q134:R134"/>
    <mergeCell ref="S134:U134"/>
    <mergeCell ref="V134:W134"/>
    <mergeCell ref="X134:Y134"/>
    <mergeCell ref="Z134:AA134"/>
    <mergeCell ref="AB134:AD134"/>
    <mergeCell ref="AE134:AG134"/>
    <mergeCell ref="A135:C135"/>
    <mergeCell ref="D135:F135"/>
    <mergeCell ref="G135:M135"/>
    <mergeCell ref="N135:P135"/>
    <mergeCell ref="Q135:R135"/>
    <mergeCell ref="S135:U135"/>
    <mergeCell ref="V135:W135"/>
    <mergeCell ref="X135:Y135"/>
    <mergeCell ref="Z135:AA135"/>
    <mergeCell ref="AB135:AD135"/>
    <mergeCell ref="AE135:AG135"/>
    <mergeCell ref="A136:C136"/>
    <mergeCell ref="D136:F136"/>
    <mergeCell ref="G136:M136"/>
    <mergeCell ref="N136:P136"/>
    <mergeCell ref="Q136:R136"/>
    <mergeCell ref="S136:U136"/>
    <mergeCell ref="V136:W136"/>
    <mergeCell ref="X136:Y136"/>
    <mergeCell ref="Z136:AA136"/>
    <mergeCell ref="AB136:AD136"/>
    <mergeCell ref="AE136:AG136"/>
    <mergeCell ref="A137:C137"/>
    <mergeCell ref="D137:F137"/>
    <mergeCell ref="G137:M137"/>
    <mergeCell ref="N137:P137"/>
    <mergeCell ref="Q137:R137"/>
    <mergeCell ref="S137:U137"/>
    <mergeCell ref="V137:W137"/>
    <mergeCell ref="X137:Y137"/>
    <mergeCell ref="Z137:AA137"/>
    <mergeCell ref="AB137:AD137"/>
    <mergeCell ref="AE137:AG137"/>
    <mergeCell ref="A138:C138"/>
    <mergeCell ref="D138:F138"/>
    <mergeCell ref="G138:M138"/>
    <mergeCell ref="N138:P138"/>
    <mergeCell ref="Q138:R138"/>
    <mergeCell ref="S138:U138"/>
    <mergeCell ref="V138:W138"/>
    <mergeCell ref="X138:Y138"/>
    <mergeCell ref="Z138:AA138"/>
    <mergeCell ref="AB138:AD138"/>
    <mergeCell ref="AE138:AG138"/>
    <mergeCell ref="A139:C139"/>
    <mergeCell ref="D139:F139"/>
    <mergeCell ref="G139:M139"/>
    <mergeCell ref="N139:P139"/>
    <mergeCell ref="Q139:R139"/>
    <mergeCell ref="S139:U139"/>
    <mergeCell ref="V139:W139"/>
    <mergeCell ref="X139:Y139"/>
    <mergeCell ref="Z139:AA139"/>
    <mergeCell ref="AB139:AD139"/>
    <mergeCell ref="AE139:AG139"/>
    <mergeCell ref="A140:C140"/>
    <mergeCell ref="D140:F140"/>
    <mergeCell ref="G140:M140"/>
    <mergeCell ref="N140:P140"/>
    <mergeCell ref="Q140:R140"/>
    <mergeCell ref="S140:U140"/>
    <mergeCell ref="V140:W140"/>
    <mergeCell ref="X140:Y140"/>
    <mergeCell ref="Z140:AA140"/>
    <mergeCell ref="AB140:AD140"/>
    <mergeCell ref="AE140:AG140"/>
    <mergeCell ref="A141:C141"/>
    <mergeCell ref="D141:F141"/>
    <mergeCell ref="G141:M141"/>
    <mergeCell ref="N141:P141"/>
    <mergeCell ref="Q141:R141"/>
    <mergeCell ref="S141:U141"/>
    <mergeCell ref="V141:W141"/>
    <mergeCell ref="X141:Y141"/>
    <mergeCell ref="Z141:AA141"/>
    <mergeCell ref="AB141:AD141"/>
    <mergeCell ref="AE141:AG141"/>
    <mergeCell ref="A142:C142"/>
    <mergeCell ref="D142:F142"/>
    <mergeCell ref="G142:M142"/>
    <mergeCell ref="N142:P142"/>
    <mergeCell ref="Q142:R142"/>
    <mergeCell ref="S142:U142"/>
    <mergeCell ref="V142:W142"/>
    <mergeCell ref="X142:Y142"/>
    <mergeCell ref="Z142:AA142"/>
    <mergeCell ref="AB142:AD142"/>
    <mergeCell ref="AE142:AG142"/>
    <mergeCell ref="A143:C143"/>
    <mergeCell ref="D143:F143"/>
    <mergeCell ref="G143:M143"/>
    <mergeCell ref="N143:P143"/>
    <mergeCell ref="Q143:R143"/>
    <mergeCell ref="S143:U143"/>
    <mergeCell ref="V143:W143"/>
    <mergeCell ref="X143:Y143"/>
    <mergeCell ref="Z143:AA143"/>
    <mergeCell ref="AB143:AD143"/>
    <mergeCell ref="AE143:AG143"/>
    <mergeCell ref="A144:C144"/>
    <mergeCell ref="D144:F144"/>
    <mergeCell ref="G144:M144"/>
    <mergeCell ref="N144:P144"/>
    <mergeCell ref="Q144:R144"/>
    <mergeCell ref="S144:U144"/>
    <mergeCell ref="V144:W144"/>
    <mergeCell ref="X144:Y144"/>
    <mergeCell ref="Z144:AA144"/>
    <mergeCell ref="AB144:AD144"/>
    <mergeCell ref="AE144:AG144"/>
    <mergeCell ref="A145:C145"/>
    <mergeCell ref="D145:F145"/>
    <mergeCell ref="G145:M145"/>
    <mergeCell ref="N145:P145"/>
    <mergeCell ref="Q145:R145"/>
    <mergeCell ref="S145:U145"/>
    <mergeCell ref="V145:W145"/>
    <mergeCell ref="X145:Y145"/>
    <mergeCell ref="Z145:AA145"/>
    <mergeCell ref="AB145:AD145"/>
    <mergeCell ref="AE145:AG145"/>
    <mergeCell ref="A146:C146"/>
    <mergeCell ref="D146:F146"/>
    <mergeCell ref="G146:M146"/>
    <mergeCell ref="N146:P146"/>
    <mergeCell ref="Q146:R146"/>
    <mergeCell ref="S146:U146"/>
    <mergeCell ref="V146:W146"/>
    <mergeCell ref="X146:Y146"/>
    <mergeCell ref="Z146:AA146"/>
    <mergeCell ref="AB146:AD146"/>
    <mergeCell ref="AE146:AG146"/>
    <mergeCell ref="A147:C147"/>
    <mergeCell ref="D147:F147"/>
    <mergeCell ref="G147:M147"/>
    <mergeCell ref="N147:P147"/>
    <mergeCell ref="Q147:R147"/>
    <mergeCell ref="S147:U147"/>
    <mergeCell ref="V147:W147"/>
    <mergeCell ref="X147:Y147"/>
    <mergeCell ref="Z147:AA147"/>
    <mergeCell ref="AB147:AD147"/>
    <mergeCell ref="AE147:AG147"/>
    <mergeCell ref="A148:C148"/>
    <mergeCell ref="D148:F148"/>
    <mergeCell ref="G148:M148"/>
    <mergeCell ref="N148:P148"/>
    <mergeCell ref="Q148:R148"/>
    <mergeCell ref="S148:U148"/>
    <mergeCell ref="V148:W148"/>
    <mergeCell ref="X148:Y148"/>
    <mergeCell ref="Z148:AA148"/>
    <mergeCell ref="AB148:AD148"/>
    <mergeCell ref="AE148:AG148"/>
    <mergeCell ref="A149:C149"/>
    <mergeCell ref="D149:F149"/>
    <mergeCell ref="G149:M149"/>
    <mergeCell ref="N149:P149"/>
    <mergeCell ref="Q149:R149"/>
    <mergeCell ref="S149:U149"/>
    <mergeCell ref="V149:W149"/>
    <mergeCell ref="X149:Y149"/>
    <mergeCell ref="Z149:AA149"/>
    <mergeCell ref="AB149:AD149"/>
    <mergeCell ref="AE149:AG149"/>
    <mergeCell ref="A150:C150"/>
    <mergeCell ref="D150:F150"/>
    <mergeCell ref="G150:M150"/>
    <mergeCell ref="N150:P150"/>
    <mergeCell ref="Q150:R150"/>
    <mergeCell ref="S150:U150"/>
    <mergeCell ref="V150:W150"/>
    <mergeCell ref="X150:Y150"/>
    <mergeCell ref="Z150:AA150"/>
    <mergeCell ref="AB150:AD150"/>
    <mergeCell ref="AE150:AG150"/>
    <mergeCell ref="A151:C151"/>
    <mergeCell ref="D151:F151"/>
    <mergeCell ref="G151:M151"/>
    <mergeCell ref="N151:P151"/>
    <mergeCell ref="Q151:R151"/>
    <mergeCell ref="S151:U151"/>
    <mergeCell ref="V151:W151"/>
    <mergeCell ref="X151:Y151"/>
    <mergeCell ref="Z151:AA151"/>
    <mergeCell ref="AB151:AD151"/>
    <mergeCell ref="AE151:AG151"/>
    <mergeCell ref="A152:C152"/>
    <mergeCell ref="D152:F152"/>
    <mergeCell ref="G152:M152"/>
    <mergeCell ref="N152:P152"/>
    <mergeCell ref="Q152:R152"/>
    <mergeCell ref="S152:U152"/>
    <mergeCell ref="V152:W152"/>
    <mergeCell ref="X152:Y152"/>
    <mergeCell ref="Z152:AA152"/>
    <mergeCell ref="AB152:AD152"/>
    <mergeCell ref="AE152:AG152"/>
    <mergeCell ref="A153:C153"/>
    <mergeCell ref="D153:F153"/>
    <mergeCell ref="G153:M153"/>
    <mergeCell ref="N153:P153"/>
    <mergeCell ref="Q153:R153"/>
    <mergeCell ref="S153:U153"/>
    <mergeCell ref="V153:W153"/>
    <mergeCell ref="X153:Y153"/>
    <mergeCell ref="Z153:AA153"/>
    <mergeCell ref="AB153:AD153"/>
    <mergeCell ref="AE153:AG153"/>
    <mergeCell ref="A154:C154"/>
    <mergeCell ref="D154:F154"/>
    <mergeCell ref="G154:M154"/>
    <mergeCell ref="N154:P154"/>
    <mergeCell ref="Q154:R154"/>
    <mergeCell ref="S154:U154"/>
    <mergeCell ref="V154:W154"/>
    <mergeCell ref="X154:Y154"/>
    <mergeCell ref="Z154:AA154"/>
    <mergeCell ref="AB154:AD154"/>
    <mergeCell ref="AE154:AG154"/>
    <mergeCell ref="A155:C155"/>
    <mergeCell ref="D155:F155"/>
    <mergeCell ref="G155:M155"/>
    <mergeCell ref="N155:P155"/>
    <mergeCell ref="Q155:R155"/>
    <mergeCell ref="S155:U155"/>
    <mergeCell ref="V155:W155"/>
    <mergeCell ref="X155:Y155"/>
    <mergeCell ref="Z155:AA155"/>
    <mergeCell ref="AB155:AD155"/>
    <mergeCell ref="AE155:AG155"/>
    <mergeCell ref="A156:C156"/>
    <mergeCell ref="D156:F156"/>
    <mergeCell ref="G156:M156"/>
    <mergeCell ref="N156:P156"/>
    <mergeCell ref="Q156:R156"/>
    <mergeCell ref="S156:U156"/>
    <mergeCell ref="V156:W156"/>
    <mergeCell ref="X156:Y156"/>
    <mergeCell ref="Z156:AA156"/>
    <mergeCell ref="AB156:AD156"/>
    <mergeCell ref="AE156:AG156"/>
    <mergeCell ref="X160:Y160"/>
    <mergeCell ref="Z160:AA160"/>
    <mergeCell ref="AB160:AD160"/>
    <mergeCell ref="AE160:AG160"/>
    <mergeCell ref="A157:C157"/>
    <mergeCell ref="D157:F157"/>
    <mergeCell ref="G157:M157"/>
    <mergeCell ref="N157:P157"/>
    <mergeCell ref="Q157:R157"/>
    <mergeCell ref="S157:U157"/>
    <mergeCell ref="V157:W157"/>
    <mergeCell ref="X157:Y157"/>
    <mergeCell ref="Z157:AA157"/>
    <mergeCell ref="AB157:AD157"/>
    <mergeCell ref="AE157:AG157"/>
    <mergeCell ref="A158:C158"/>
    <mergeCell ref="D158:F158"/>
    <mergeCell ref="G158:M158"/>
    <mergeCell ref="N158:P158"/>
    <mergeCell ref="Q158:R158"/>
    <mergeCell ref="S158:U158"/>
    <mergeCell ref="V158:W158"/>
    <mergeCell ref="X158:Y158"/>
    <mergeCell ref="Z158:AA158"/>
    <mergeCell ref="AB158:AD158"/>
    <mergeCell ref="AE158:AG158"/>
    <mergeCell ref="Q162:R162"/>
    <mergeCell ref="S162:U162"/>
    <mergeCell ref="V162:W162"/>
    <mergeCell ref="X162:Y162"/>
    <mergeCell ref="Z162:AA162"/>
    <mergeCell ref="AB162:AD162"/>
    <mergeCell ref="AE162:AG162"/>
    <mergeCell ref="A163:C163"/>
    <mergeCell ref="D163:F163"/>
    <mergeCell ref="G163:M163"/>
    <mergeCell ref="N163:P163"/>
    <mergeCell ref="Q163:R163"/>
    <mergeCell ref="S163:U163"/>
    <mergeCell ref="V163:W163"/>
    <mergeCell ref="A159:C159"/>
    <mergeCell ref="D159:F159"/>
    <mergeCell ref="G159:M159"/>
    <mergeCell ref="N159:P159"/>
    <mergeCell ref="Q159:R159"/>
    <mergeCell ref="S159:U159"/>
    <mergeCell ref="V159:W159"/>
    <mergeCell ref="X159:Y159"/>
    <mergeCell ref="Z159:AA159"/>
    <mergeCell ref="AB159:AD159"/>
    <mergeCell ref="AE159:AG159"/>
    <mergeCell ref="A160:C160"/>
    <mergeCell ref="D160:F160"/>
    <mergeCell ref="G160:M160"/>
    <mergeCell ref="N160:P160"/>
    <mergeCell ref="Q160:R160"/>
    <mergeCell ref="S160:U160"/>
    <mergeCell ref="V160:W160"/>
    <mergeCell ref="Z47:AA47"/>
    <mergeCell ref="AB47:AD47"/>
    <mergeCell ref="N31:P31"/>
    <mergeCell ref="AE33:AG33"/>
    <mergeCell ref="X35:Y35"/>
    <mergeCell ref="Z35:AA35"/>
    <mergeCell ref="AB35:AD35"/>
    <mergeCell ref="Q37:R37"/>
    <mergeCell ref="A38:C38"/>
    <mergeCell ref="D38:F38"/>
    <mergeCell ref="G38:M38"/>
    <mergeCell ref="Z37:AA37"/>
    <mergeCell ref="D37:F37"/>
    <mergeCell ref="G37:M37"/>
    <mergeCell ref="AE165:AG165"/>
    <mergeCell ref="AE163:AG163"/>
    <mergeCell ref="AE164:AG164"/>
    <mergeCell ref="A161:C161"/>
    <mergeCell ref="D161:F161"/>
    <mergeCell ref="G161:M161"/>
    <mergeCell ref="N161:P161"/>
    <mergeCell ref="Q161:R161"/>
    <mergeCell ref="S161:U161"/>
    <mergeCell ref="V161:W161"/>
    <mergeCell ref="X161:Y161"/>
    <mergeCell ref="Z161:AA161"/>
    <mergeCell ref="AB161:AD161"/>
    <mergeCell ref="AE161:AG161"/>
    <mergeCell ref="A162:C162"/>
    <mergeCell ref="D162:F162"/>
    <mergeCell ref="G162:M162"/>
    <mergeCell ref="N162:P162"/>
    <mergeCell ref="Q65:R65"/>
    <mergeCell ref="Z65:AA65"/>
    <mergeCell ref="AB65:AD65"/>
    <mergeCell ref="AE65:AG65"/>
    <mergeCell ref="A48:C48"/>
    <mergeCell ref="D48:F48"/>
    <mergeCell ref="Q48:R48"/>
    <mergeCell ref="Z48:AA48"/>
    <mergeCell ref="AB48:AD48"/>
    <mergeCell ref="AE48:AG48"/>
    <mergeCell ref="A49:C49"/>
    <mergeCell ref="D49:F49"/>
    <mergeCell ref="Q49:R49"/>
    <mergeCell ref="Z49:AA49"/>
    <mergeCell ref="AB49:AD49"/>
    <mergeCell ref="A50:C50"/>
    <mergeCell ref="D50:F50"/>
    <mergeCell ref="Z50:AA50"/>
    <mergeCell ref="AB50:AD50"/>
    <mergeCell ref="AE50:AG50"/>
    <mergeCell ref="V49:W49"/>
    <mergeCell ref="G52:M52"/>
    <mergeCell ref="N52:P52"/>
    <mergeCell ref="V52:W52"/>
    <mergeCell ref="X52:Y52"/>
    <mergeCell ref="S54:U54"/>
    <mergeCell ref="V54:W54"/>
    <mergeCell ref="X54:Y54"/>
    <mergeCell ref="Z54:AA54"/>
    <mergeCell ref="AB54:AD54"/>
    <mergeCell ref="AE54:AG54"/>
    <mergeCell ref="V53:W53"/>
    <mergeCell ref="O13:R13"/>
    <mergeCell ref="S13:X13"/>
    <mergeCell ref="Y13:AA13"/>
    <mergeCell ref="AB13:AD13"/>
    <mergeCell ref="AE13:AG13"/>
    <mergeCell ref="O14:R14"/>
    <mergeCell ref="S14:X14"/>
    <mergeCell ref="Y14:AA14"/>
    <mergeCell ref="AB14:AD14"/>
    <mergeCell ref="AE14:AG14"/>
    <mergeCell ref="AK20:AK24"/>
    <mergeCell ref="A51:C51"/>
    <mergeCell ref="D51:F51"/>
    <mergeCell ref="Q51:R51"/>
    <mergeCell ref="Z51:AA51"/>
    <mergeCell ref="AB51:AD51"/>
    <mergeCell ref="AE51:AG51"/>
    <mergeCell ref="A31:C31"/>
    <mergeCell ref="D31:F31"/>
    <mergeCell ref="Q31:R31"/>
    <mergeCell ref="Z31:AA31"/>
    <mergeCell ref="AB31:AD31"/>
    <mergeCell ref="AE31:AG31"/>
    <mergeCell ref="A46:C46"/>
    <mergeCell ref="D46:F46"/>
    <mergeCell ref="Q46:R46"/>
    <mergeCell ref="Z46:AA46"/>
    <mergeCell ref="AB46:AD46"/>
    <mergeCell ref="AE46:AG46"/>
    <mergeCell ref="A47:C47"/>
    <mergeCell ref="D47:F47"/>
    <mergeCell ref="Q47:R47"/>
  </mergeCells>
  <pageMargins left="0.19685039370078741" right="0.19685039370078741" top="0.19685039370078741" bottom="0.19685039370078741" header="0" footer="0"/>
  <pageSetup scale="34" orientation="portrait" copies="2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5" r:id="rId4" name="CommandButton3">
          <controlPr autoLine="0" autoPict="0" r:id="rId5">
            <anchor moveWithCells="1">
              <from>
                <xdr:col>34</xdr:col>
                <xdr:colOff>0</xdr:colOff>
                <xdr:row>2</xdr:row>
                <xdr:rowOff>0</xdr:rowOff>
              </from>
              <to>
                <xdr:col>38</xdr:col>
                <xdr:colOff>600075</xdr:colOff>
                <xdr:row>5</xdr:row>
                <xdr:rowOff>47625</xdr:rowOff>
              </to>
            </anchor>
          </controlPr>
        </control>
      </mc:Choice>
      <mc:Fallback>
        <control shapeId="3075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autoPict="0" r:id="rId7">
            <anchor moveWithCells="1">
              <from>
                <xdr:col>34</xdr:col>
                <xdr:colOff>0</xdr:colOff>
                <xdr:row>11</xdr:row>
                <xdr:rowOff>0</xdr:rowOff>
              </from>
              <to>
                <xdr:col>38</xdr:col>
                <xdr:colOff>114300</xdr:colOff>
                <xdr:row>17</xdr:row>
                <xdr:rowOff>152400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34</xdr:col>
                <xdr:colOff>0</xdr:colOff>
                <xdr:row>11</xdr:row>
                <xdr:rowOff>0</xdr:rowOff>
              </from>
              <to>
                <xdr:col>38</xdr:col>
                <xdr:colOff>114300</xdr:colOff>
                <xdr:row>17</xdr:row>
                <xdr:rowOff>161925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Нормы</vt:lpstr>
      <vt:lpstr>моющие</vt:lpstr>
      <vt:lpstr>корабль</vt:lpstr>
      <vt:lpstr>корабль!Заголовки_для_печати</vt:lpstr>
      <vt:lpstr>корабль!Область_печати</vt:lpstr>
      <vt:lpstr>моющие!Область_печати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Рутковская Ольга Александровна</cp:lastModifiedBy>
  <cp:lastPrinted>2023-01-30T08:33:43Z</cp:lastPrinted>
  <dcterms:created xsi:type="dcterms:W3CDTF">2018-10-09T15:49:19Z</dcterms:created>
  <dcterms:modified xsi:type="dcterms:W3CDTF">2023-07-13T10:31:25Z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